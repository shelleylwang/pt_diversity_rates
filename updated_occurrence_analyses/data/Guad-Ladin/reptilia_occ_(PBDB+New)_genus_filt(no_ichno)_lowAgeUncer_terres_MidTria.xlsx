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aleontologia\Occurence Data\PBDB_PT_Tetrapods\FinalTables\Guad-Ladin\"/>
    </mc:Choice>
  </mc:AlternateContent>
  <xr:revisionPtr revIDLastSave="0" documentId="13_ncr:1_{98602089-934E-4385-9EA6-82ECAFD4B7C1}" xr6:coauthVersionLast="47" xr6:coauthVersionMax="47" xr10:uidLastSave="{00000000-0000-0000-0000-000000000000}"/>
  <bookViews>
    <workbookView xWindow="-103" yWindow="-103" windowWidth="33120" windowHeight="18000" xr2:uid="{EF4C1CC0-6D6D-4618-813F-A597A5C7ED30}"/>
  </bookViews>
  <sheets>
    <sheet name="reptilia_occ_(PBDB+New)_genus_f" sheetId="1" r:id="rId1"/>
  </sheets>
  <definedNames>
    <definedName name="_xlnm._FilterDatabase" localSheetId="0" hidden="1">'reptilia_occ_(PBDB+New)_genus_f'!$A$1:$BB$1364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01" i="1" l="1"/>
  <c r="W902" i="1"/>
  <c r="W903" i="1"/>
  <c r="W904" i="1"/>
  <c r="W905" i="1"/>
  <c r="W906" i="1"/>
  <c r="W907" i="1"/>
  <c r="W908" i="1"/>
  <c r="W909" i="1"/>
  <c r="W910" i="1"/>
  <c r="W911" i="1"/>
  <c r="W912" i="1"/>
  <c r="W913" i="1"/>
  <c r="W914" i="1"/>
  <c r="W915" i="1"/>
  <c r="W916" i="1"/>
  <c r="W917" i="1"/>
  <c r="W918" i="1"/>
  <c r="W919" i="1"/>
  <c r="W920" i="1"/>
  <c r="W921" i="1"/>
  <c r="W922" i="1"/>
  <c r="W923" i="1"/>
  <c r="W64" i="1"/>
  <c r="W65"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773" i="1"/>
  <c r="W774" i="1"/>
  <c r="W775" i="1"/>
  <c r="W776" i="1"/>
  <c r="W77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39" i="1"/>
  <c r="W40" i="1"/>
  <c r="W66" i="1"/>
  <c r="W67" i="1"/>
  <c r="W68" i="1"/>
  <c r="W69" i="1"/>
  <c r="W70" i="1"/>
  <c r="W71" i="1"/>
  <c r="W72" i="1"/>
  <c r="W73" i="1"/>
  <c r="W74" i="1"/>
  <c r="W75" i="1"/>
  <c r="W76" i="1"/>
  <c r="W77" i="1"/>
  <c r="W78" i="1"/>
  <c r="W79" i="1"/>
  <c r="W80" i="1"/>
  <c r="W81" i="1"/>
  <c r="W82" i="1"/>
  <c r="W83" i="1"/>
  <c r="W84" i="1"/>
  <c r="W85" i="1"/>
  <c r="W86" i="1"/>
  <c r="W87" i="1"/>
  <c r="W88" i="1"/>
  <c r="W44" i="1"/>
  <c r="W45" i="1"/>
  <c r="W46" i="1"/>
  <c r="W957" i="1"/>
  <c r="W41" i="1"/>
  <c r="W42" i="1"/>
  <c r="W43"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1202" i="1"/>
  <c r="W1203" i="1"/>
  <c r="W1204"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83" i="1"/>
  <c r="W884" i="1"/>
  <c r="W885" i="1"/>
  <c r="W886" i="1"/>
  <c r="W887" i="1"/>
  <c r="W888" i="1"/>
  <c r="W889" i="1"/>
  <c r="W890" i="1"/>
  <c r="W891" i="1"/>
  <c r="W892" i="1"/>
  <c r="W893" i="1"/>
  <c r="W894" i="1"/>
  <c r="W895" i="1"/>
  <c r="W896" i="1"/>
  <c r="W897" i="1"/>
  <c r="W898" i="1"/>
  <c r="W899" i="1"/>
  <c r="W900" i="1"/>
  <c r="W730" i="1"/>
  <c r="W731" i="1"/>
  <c r="W732" i="1"/>
  <c r="W733" i="1"/>
  <c r="W734" i="1"/>
  <c r="W636" i="1"/>
  <c r="W630" i="1"/>
  <c r="W631" i="1"/>
  <c r="W632" i="1"/>
  <c r="W633" i="1"/>
  <c r="W634" i="1"/>
  <c r="W635" i="1"/>
  <c r="W1345" i="1"/>
  <c r="W1346" i="1"/>
  <c r="W1347" i="1"/>
  <c r="W1348" i="1"/>
  <c r="W1349" i="1"/>
  <c r="W1350" i="1"/>
  <c r="W1351" i="1"/>
  <c r="W1352" i="1"/>
  <c r="W1353" i="1"/>
  <c r="W1354" i="1"/>
  <c r="W1355" i="1"/>
  <c r="W1356" i="1"/>
  <c r="W1205" i="1"/>
  <c r="W1357" i="1"/>
  <c r="W1358" i="1"/>
  <c r="W1359" i="1"/>
  <c r="W1360" i="1"/>
  <c r="W1361" i="1"/>
  <c r="W1362" i="1"/>
  <c r="W1363" i="1"/>
  <c r="W1364" i="1"/>
  <c r="W47" i="1"/>
  <c r="W48" i="1"/>
  <c r="W49" i="1"/>
  <c r="W50" i="1"/>
  <c r="W51" i="1"/>
  <c r="W52" i="1"/>
  <c r="W53" i="1"/>
  <c r="W54" i="1"/>
  <c r="W55" i="1"/>
  <c r="W56" i="1"/>
  <c r="W57" i="1"/>
  <c r="W58" i="1"/>
  <c r="W59" i="1"/>
  <c r="W60" i="1"/>
  <c r="W61" i="1"/>
  <c r="W62" i="1"/>
  <c r="W63" i="1"/>
  <c r="W1206" i="1"/>
  <c r="W1207" i="1"/>
  <c r="W1208" i="1"/>
  <c r="W1209" i="1"/>
  <c r="W1210" i="1"/>
  <c r="W1211" i="1"/>
  <c r="W1212" i="1"/>
  <c r="W1213" i="1"/>
  <c r="W1214" i="1"/>
  <c r="W1215" i="1"/>
  <c r="W1216" i="1"/>
  <c r="W1217" i="1"/>
  <c r="W1218" i="1"/>
  <c r="W1219" i="1"/>
  <c r="W1220" i="1"/>
  <c r="W1221" i="1"/>
  <c r="W1222" i="1"/>
  <c r="W1223" i="1"/>
  <c r="W1224" i="1"/>
  <c r="W1225" i="1"/>
  <c r="W1226" i="1"/>
  <c r="W1227" i="1"/>
  <c r="W851" i="1"/>
  <c r="W852" i="1"/>
  <c r="W1342" i="1"/>
  <c r="W1343" i="1"/>
  <c r="W853" i="1"/>
  <c r="W854" i="1"/>
  <c r="W855" i="1"/>
  <c r="W856" i="1"/>
  <c r="W857" i="1"/>
  <c r="W858" i="1"/>
  <c r="W859" i="1"/>
  <c r="W860" i="1"/>
  <c r="W861" i="1"/>
  <c r="W1344" i="1"/>
  <c r="W637" i="1"/>
  <c r="W638" i="1"/>
  <c r="W639" i="1"/>
  <c r="W640" i="1"/>
  <c r="W641" i="1"/>
  <c r="W642" i="1"/>
  <c r="W643" i="1"/>
  <c r="W644" i="1"/>
  <c r="W645" i="1"/>
  <c r="W646" i="1"/>
  <c r="W647" i="1"/>
  <c r="W648" i="1"/>
  <c r="W649" i="1"/>
  <c r="W650" i="1"/>
  <c r="W651" i="1"/>
  <c r="W652" i="1"/>
  <c r="W653" i="1"/>
  <c r="W654" i="1"/>
  <c r="W655" i="1"/>
  <c r="W1228" i="1"/>
  <c r="W1229" i="1"/>
  <c r="W1230" i="1"/>
  <c r="W1231" i="1"/>
  <c r="W1232" i="1"/>
  <c r="W1233" i="1"/>
  <c r="W862" i="1"/>
  <c r="W1234" i="1"/>
  <c r="W863" i="1"/>
  <c r="W864" i="1"/>
  <c r="W865" i="1"/>
  <c r="W866" i="1"/>
  <c r="W867" i="1"/>
  <c r="W868" i="1"/>
  <c r="W869" i="1"/>
  <c r="W870" i="1"/>
  <c r="W871" i="1"/>
  <c r="W872" i="1"/>
  <c r="W873" i="1"/>
  <c r="W874" i="1"/>
  <c r="W875" i="1"/>
  <c r="W876" i="1"/>
  <c r="W877" i="1"/>
  <c r="W878" i="1"/>
  <c r="W879" i="1"/>
  <c r="W880" i="1"/>
  <c r="W881" i="1"/>
  <c r="W882" i="1"/>
  <c r="W1235" i="1"/>
  <c r="W1236" i="1"/>
  <c r="W1237" i="1"/>
  <c r="W1238" i="1"/>
  <c r="W1239" i="1"/>
  <c r="W1240" i="1"/>
  <c r="W1241" i="1"/>
  <c r="W1242" i="1"/>
  <c r="W1243" i="1"/>
  <c r="W124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V901" i="1"/>
  <c r="V902" i="1"/>
  <c r="V903" i="1"/>
  <c r="V904" i="1"/>
  <c r="V905" i="1"/>
  <c r="V906" i="1"/>
  <c r="V907" i="1"/>
  <c r="V908" i="1"/>
  <c r="V909" i="1"/>
  <c r="V910" i="1"/>
  <c r="V911" i="1"/>
  <c r="V912" i="1"/>
  <c r="V913" i="1"/>
  <c r="V914" i="1"/>
  <c r="V915" i="1"/>
  <c r="V916" i="1"/>
  <c r="V917" i="1"/>
  <c r="V918" i="1"/>
  <c r="V919" i="1"/>
  <c r="V920" i="1"/>
  <c r="V921" i="1"/>
  <c r="V922" i="1"/>
  <c r="V923" i="1"/>
  <c r="V64" i="1"/>
  <c r="V65"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773" i="1"/>
  <c r="V774" i="1"/>
  <c r="V775" i="1"/>
  <c r="V776" i="1"/>
  <c r="V777"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39" i="1"/>
  <c r="V40" i="1"/>
  <c r="V66" i="1"/>
  <c r="V67" i="1"/>
  <c r="V68" i="1"/>
  <c r="V69" i="1"/>
  <c r="V70" i="1"/>
  <c r="V71" i="1"/>
  <c r="V72" i="1"/>
  <c r="V73" i="1"/>
  <c r="V74" i="1"/>
  <c r="V75" i="1"/>
  <c r="V76" i="1"/>
  <c r="V77" i="1"/>
  <c r="V78" i="1"/>
  <c r="V79" i="1"/>
  <c r="V80" i="1"/>
  <c r="V81" i="1"/>
  <c r="V82" i="1"/>
  <c r="V83" i="1"/>
  <c r="V84" i="1"/>
  <c r="V85" i="1"/>
  <c r="V86" i="1"/>
  <c r="V87" i="1"/>
  <c r="V88" i="1"/>
  <c r="V44" i="1"/>
  <c r="V45" i="1"/>
  <c r="V46" i="1"/>
  <c r="V957" i="1"/>
  <c r="V41" i="1"/>
  <c r="V42" i="1"/>
  <c r="V43"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1202" i="1"/>
  <c r="V1203" i="1"/>
  <c r="V1204"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83" i="1"/>
  <c r="V884" i="1"/>
  <c r="V885" i="1"/>
  <c r="V886" i="1"/>
  <c r="V887" i="1"/>
  <c r="V888" i="1"/>
  <c r="V889" i="1"/>
  <c r="V890" i="1"/>
  <c r="V891" i="1"/>
  <c r="V892" i="1"/>
  <c r="V893" i="1"/>
  <c r="V894" i="1"/>
  <c r="V895" i="1"/>
  <c r="V896" i="1"/>
  <c r="V897" i="1"/>
  <c r="V898" i="1"/>
  <c r="V899" i="1"/>
  <c r="V900" i="1"/>
  <c r="V730" i="1"/>
  <c r="V731" i="1"/>
  <c r="V732" i="1"/>
  <c r="V733" i="1"/>
  <c r="V734" i="1"/>
  <c r="V636" i="1"/>
  <c r="V630" i="1"/>
  <c r="V631" i="1"/>
  <c r="V632" i="1"/>
  <c r="V633" i="1"/>
  <c r="V634" i="1"/>
  <c r="V635" i="1"/>
  <c r="V1345" i="1"/>
  <c r="V1346" i="1"/>
  <c r="V1347" i="1"/>
  <c r="V1348" i="1"/>
  <c r="V1349" i="1"/>
  <c r="V1350" i="1"/>
  <c r="V1351" i="1"/>
  <c r="V1352" i="1"/>
  <c r="V1353" i="1"/>
  <c r="V1354" i="1"/>
  <c r="V1355" i="1"/>
  <c r="V1356" i="1"/>
  <c r="V1205" i="1"/>
  <c r="V1357" i="1"/>
  <c r="V1358" i="1"/>
  <c r="V1359" i="1"/>
  <c r="V1360" i="1"/>
  <c r="V1361" i="1"/>
  <c r="V1362" i="1"/>
  <c r="V1363" i="1"/>
  <c r="V1364" i="1"/>
  <c r="V47" i="1"/>
  <c r="V48" i="1"/>
  <c r="V49" i="1"/>
  <c r="V50" i="1"/>
  <c r="V51" i="1"/>
  <c r="V52" i="1"/>
  <c r="V53" i="1"/>
  <c r="V54" i="1"/>
  <c r="V55" i="1"/>
  <c r="V56" i="1"/>
  <c r="V57" i="1"/>
  <c r="V58" i="1"/>
  <c r="V59" i="1"/>
  <c r="V60" i="1"/>
  <c r="V61" i="1"/>
  <c r="V62" i="1"/>
  <c r="V63" i="1"/>
  <c r="V1206" i="1"/>
  <c r="V1207" i="1"/>
  <c r="V1208" i="1"/>
  <c r="V1209" i="1"/>
  <c r="V1210" i="1"/>
  <c r="V1211" i="1"/>
  <c r="V1212" i="1"/>
  <c r="V1213" i="1"/>
  <c r="V1214" i="1"/>
  <c r="V1215" i="1"/>
  <c r="V1216" i="1"/>
  <c r="V1217" i="1"/>
  <c r="V1218" i="1"/>
  <c r="V1219" i="1"/>
  <c r="V1220" i="1"/>
  <c r="V1221" i="1"/>
  <c r="V1222" i="1"/>
  <c r="V1223" i="1"/>
  <c r="V1224" i="1"/>
  <c r="V1225" i="1"/>
  <c r="V1226" i="1"/>
  <c r="V1227" i="1"/>
  <c r="V851" i="1"/>
  <c r="V852" i="1"/>
  <c r="V1342" i="1"/>
  <c r="V1343" i="1"/>
  <c r="V853" i="1"/>
  <c r="V854" i="1"/>
  <c r="V855" i="1"/>
  <c r="V856" i="1"/>
  <c r="V857" i="1"/>
  <c r="V858" i="1"/>
  <c r="V859" i="1"/>
  <c r="V860" i="1"/>
  <c r="V861" i="1"/>
  <c r="V1344" i="1"/>
  <c r="V637" i="1"/>
  <c r="V638" i="1"/>
  <c r="V639" i="1"/>
  <c r="V640" i="1"/>
  <c r="V641" i="1"/>
  <c r="V642" i="1"/>
  <c r="V643" i="1"/>
  <c r="V644" i="1"/>
  <c r="V645" i="1"/>
  <c r="V646" i="1"/>
  <c r="V647" i="1"/>
  <c r="V648" i="1"/>
  <c r="V649" i="1"/>
  <c r="V650" i="1"/>
  <c r="V651" i="1"/>
  <c r="V652" i="1"/>
  <c r="V653" i="1"/>
  <c r="V654" i="1"/>
  <c r="V655" i="1"/>
  <c r="V1228" i="1"/>
  <c r="V1229" i="1"/>
  <c r="V1230" i="1"/>
  <c r="V1231" i="1"/>
  <c r="V1232" i="1"/>
  <c r="V1233" i="1"/>
  <c r="V862" i="1"/>
  <c r="V1234" i="1"/>
  <c r="V863" i="1"/>
  <c r="V864" i="1"/>
  <c r="V865" i="1"/>
  <c r="V866" i="1"/>
  <c r="V867" i="1"/>
  <c r="V868" i="1"/>
  <c r="V869" i="1"/>
  <c r="V870" i="1"/>
  <c r="V871" i="1"/>
  <c r="V872" i="1"/>
  <c r="V873" i="1"/>
  <c r="V874" i="1"/>
  <c r="V875" i="1"/>
  <c r="V876" i="1"/>
  <c r="V877" i="1"/>
  <c r="V878" i="1"/>
  <c r="V879" i="1"/>
  <c r="V880" i="1"/>
  <c r="V881" i="1"/>
  <c r="V882" i="1"/>
  <c r="V1235" i="1"/>
  <c r="V1236" i="1"/>
  <c r="V1237" i="1"/>
  <c r="V1238" i="1"/>
  <c r="V1239" i="1"/>
  <c r="V1240" i="1"/>
  <c r="V1241" i="1"/>
  <c r="V1242" i="1"/>
  <c r="V1243" i="1"/>
  <c r="V124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alcChain>
</file>

<file path=xl/sharedStrings.xml><?xml version="1.0" encoding="utf-8"?>
<sst xmlns="http://schemas.openxmlformats.org/spreadsheetml/2006/main" count="38224" uniqueCount="2590">
  <si>
    <t>occurrence_no</t>
  </si>
  <si>
    <t>Rotated Lat</t>
  </si>
  <si>
    <t>Rotated Lon</t>
  </si>
  <si>
    <t>pres_mode</t>
  </si>
  <si>
    <t>preservation_quality</t>
  </si>
  <si>
    <t>common_body_parts</t>
  </si>
  <si>
    <t>abund_value</t>
  </si>
  <si>
    <t>abund_unit</t>
  </si>
  <si>
    <t>class</t>
  </si>
  <si>
    <t>order</t>
  </si>
  <si>
    <t>family</t>
  </si>
  <si>
    <t>genus</t>
  </si>
  <si>
    <t>taxon_environment</t>
  </si>
  <si>
    <t>life_habit</t>
  </si>
  <si>
    <t>diet</t>
  </si>
  <si>
    <t>early_interval</t>
  </si>
  <si>
    <t>late_interval</t>
  </si>
  <si>
    <t>Epoch</t>
  </si>
  <si>
    <t>Period</t>
  </si>
  <si>
    <t>age_max</t>
  </si>
  <si>
    <t>age_min</t>
  </si>
  <si>
    <t>age_median</t>
  </si>
  <si>
    <t>age_uncer_range</t>
  </si>
  <si>
    <t>lng</t>
  </si>
  <si>
    <t>lat</t>
  </si>
  <si>
    <t>environment</t>
  </si>
  <si>
    <t>cc</t>
  </si>
  <si>
    <t>state</t>
  </si>
  <si>
    <t>county</t>
  </si>
  <si>
    <t>formation</t>
  </si>
  <si>
    <t>stratgroup</t>
  </si>
  <si>
    <t>member</t>
  </si>
  <si>
    <t>zone</t>
  </si>
  <si>
    <t>accepted_rank</t>
  </si>
  <si>
    <t>ref_author</t>
  </si>
  <si>
    <t>ref_pubyr</t>
  </si>
  <si>
    <t>collection_name</t>
  </si>
  <si>
    <t>collection_no</t>
  </si>
  <si>
    <t>collection_aka</t>
  </si>
  <si>
    <t>latlng_basis</t>
  </si>
  <si>
    <t>latlng_precision</t>
  </si>
  <si>
    <t>geogscale</t>
  </si>
  <si>
    <t>geogcomments</t>
  </si>
  <si>
    <t>paleomodel</t>
  </si>
  <si>
    <t>geoplate</t>
  </si>
  <si>
    <t>paleoage</t>
  </si>
  <si>
    <t>paleolng</t>
  </si>
  <si>
    <t>paleolat</t>
  </si>
  <si>
    <t>paleomodel2</t>
  </si>
  <si>
    <t>geoplate2</t>
  </si>
  <si>
    <t>paleoage2</t>
  </si>
  <si>
    <t>paleolng2</t>
  </si>
  <si>
    <t>paleolat2</t>
  </si>
  <si>
    <t>paleomodel3</t>
  </si>
  <si>
    <t>body</t>
  </si>
  <si>
    <t>good</t>
  </si>
  <si>
    <t>individuals</t>
  </si>
  <si>
    <t>Reptilia</t>
  </si>
  <si>
    <t>Kuehneosauridae</t>
  </si>
  <si>
    <t>terrestrial</t>
  </si>
  <si>
    <t>volant</t>
  </si>
  <si>
    <t>Triassic</t>
  </si>
  <si>
    <t>lacustrine - large</t>
  </si>
  <si>
    <t>US</t>
  </si>
  <si>
    <t>Chatham</t>
  </si>
  <si>
    <t>species</t>
  </si>
  <si>
    <t>Colbert</t>
  </si>
  <si>
    <t>stated in text</t>
  </si>
  <si>
    <t>seconds</t>
  </si>
  <si>
    <t>outcrop</t>
  </si>
  <si>
    <t>gplates</t>
  </si>
  <si>
    <t>mid</t>
  </si>
  <si>
    <t>scotese</t>
  </si>
  <si>
    <t>seton</t>
  </si>
  <si>
    <t>specimens</t>
  </si>
  <si>
    <t>Parasuchidae</t>
  </si>
  <si>
    <t>carnivore</t>
  </si>
  <si>
    <t>fissure fill</t>
  </si>
  <si>
    <t>UK</t>
  </si>
  <si>
    <t>England</t>
  </si>
  <si>
    <t>Procolophonidae</t>
  </si>
  <si>
    <t>Procolophon</t>
  </si>
  <si>
    <t>Induan</t>
  </si>
  <si>
    <t>Olenekian</t>
  </si>
  <si>
    <t>Early Triassic</t>
  </si>
  <si>
    <t>fluvial indet.</t>
  </si>
  <si>
    <t>ZA</t>
  </si>
  <si>
    <t>Eastern Cape</t>
  </si>
  <si>
    <t>Chris Hani</t>
  </si>
  <si>
    <t>Katberg</t>
  </si>
  <si>
    <t>Beaufort</t>
  </si>
  <si>
    <t>Broom</t>
  </si>
  <si>
    <t>Donnybrook (Queenstown District)</t>
  </si>
  <si>
    <t>Donnybrooke; Tafelberg; Swart Kei River</t>
  </si>
  <si>
    <t>based on nearby landmark</t>
  </si>
  <si>
    <t>small collection</t>
  </si>
  <si>
    <t xml:space="preserve">"Upper Zwart Kei, between Queenstown and Tarkastad, no doubt at Tafelberg, a mountain near Donnybrook." (Broom, 1905).\r\nDMS coordinates are based upon elevation named "Tafelberg" on the map, near which are two places named Donnybrook (one about 7 km to the S and one about 10 km to the SE), all being situated in the area of the upper reaches of the Swart Kei River.\r\nNote: The locality is frequently said to be located in the (former) Tarkastad district. The "Tafelberg" as well as both places named Donnybrook in its vicinity, however, are on the right (eastern) bank of the Swart Kei River, in the (former) Queenstown District. </t>
  </si>
  <si>
    <t>ground dwelling</t>
  </si>
  <si>
    <t>Permian</t>
  </si>
  <si>
    <t>terrestrial indet.</t>
  </si>
  <si>
    <t>Texas</t>
  </si>
  <si>
    <t>insectivore, herbivore</t>
  </si>
  <si>
    <t>NO_FAMILY_SPECIFIED</t>
  </si>
  <si>
    <t>Sphenodontidae</t>
  </si>
  <si>
    <t>medium</t>
  </si>
  <si>
    <t>variable</t>
  </si>
  <si>
    <t>minutes</t>
  </si>
  <si>
    <t>herbivore</t>
  </si>
  <si>
    <t>body,concretion</t>
  </si>
  <si>
    <t>Silesauridae</t>
  </si>
  <si>
    <t>Lewisuchus</t>
  </si>
  <si>
    <t>Ladinian</t>
  </si>
  <si>
    <t>Middle Triassic</t>
  </si>
  <si>
    <t>fluvial-lacustrine indet.</t>
  </si>
  <si>
    <t>AR</t>
  </si>
  <si>
    <t>La Rioja</t>
  </si>
  <si>
    <t>ChaÃƒÂ±ares</t>
  </si>
  <si>
    <t>Agua de la PeÃƒÂ±a</t>
  </si>
  <si>
    <t>Romer</t>
  </si>
  <si>
    <t>ChaÃƒÂ±ares River, 4 km north</t>
  </si>
  <si>
    <t>Los ChaÃƒÂ±ares</t>
  </si>
  <si>
    <t>estimated from map</t>
  </si>
  <si>
    <t>4 km N of mouth of ChaÃƒÂ±ares River</t>
  </si>
  <si>
    <t>Lagerpetidae</t>
  </si>
  <si>
    <t>Lagerpeton</t>
  </si>
  <si>
    <t>Rauisuchidae</t>
  </si>
  <si>
    <t>"floodplain"</t>
  </si>
  <si>
    <t>Chatterjee</t>
  </si>
  <si>
    <t>DE</t>
  </si>
  <si>
    <t>Baden-WÃƒÂ¼rttemberg</t>
  </si>
  <si>
    <t>Keuper</t>
  </si>
  <si>
    <t>Anisian</t>
  </si>
  <si>
    <t>offshore indet.</t>
  </si>
  <si>
    <t>CH</t>
  </si>
  <si>
    <t>basin</t>
  </si>
  <si>
    <t>Nycteroleteridae</t>
  </si>
  <si>
    <t>Rhipaeosaurus</t>
  </si>
  <si>
    <t>Wordian</t>
  </si>
  <si>
    <t>Guadalupian</t>
  </si>
  <si>
    <t>RU</t>
  </si>
  <si>
    <t>Estemmenosuchus uralensis</t>
  </si>
  <si>
    <t>de Heinzelin</t>
  </si>
  <si>
    <t>Belebei</t>
  </si>
  <si>
    <t xml:space="preserve">ETE Locality 1518, Belebei, </t>
  </si>
  <si>
    <t>skeletons,partial skeletons</t>
  </si>
  <si>
    <t>Fraas</t>
  </si>
  <si>
    <t>Sachsen-Anhalt</t>
  </si>
  <si>
    <t>Jaekel</t>
  </si>
  <si>
    <t>Captorhinidae</t>
  </si>
  <si>
    <t>Captorhinus</t>
  </si>
  <si>
    <t>poor</t>
  </si>
  <si>
    <t>Fraser et al.</t>
  </si>
  <si>
    <t>body,concretion,original phosphate</t>
  </si>
  <si>
    <t>excellent</t>
  </si>
  <si>
    <t>Luperosuchus</t>
  </si>
  <si>
    <t>Rogers et al.</t>
  </si>
  <si>
    <t>ChaÃƒÂ±ares Tetrapod Assemblage</t>
  </si>
  <si>
    <t>ETE Locality 1586, Los ChaÃƒÂ±ares</t>
  </si>
  <si>
    <t>Classic Los Chanares locality, near Rio Chanares. NOTE: original ETE collection 1586 was listed separately, but has now been combined with this one, and original ETE comments are in brackets: []</t>
  </si>
  <si>
    <t>Proterochampsidae</t>
  </si>
  <si>
    <t>Chanaresuchus</t>
  </si>
  <si>
    <t>Gualosuchus</t>
  </si>
  <si>
    <t>Gracilisuchidae</t>
  </si>
  <si>
    <t>Gracilisuchus</t>
  </si>
  <si>
    <t>Marasuchus</t>
  </si>
  <si>
    <t>Tropidosuchus</t>
  </si>
  <si>
    <t>Doswelliidae</t>
  </si>
  <si>
    <t>Tarjadia</t>
  </si>
  <si>
    <t>Bradysaurus</t>
  </si>
  <si>
    <t>Capitanian</t>
  </si>
  <si>
    <t>Western Cape</t>
  </si>
  <si>
    <t>Beaufort West</t>
  </si>
  <si>
    <t>Abrahamskraal</t>
  </si>
  <si>
    <t>Tapinocephalus or Pristerognathus Assemblage</t>
  </si>
  <si>
    <t>Haughton and Boonstra</t>
  </si>
  <si>
    <t>Palmietfontein</t>
  </si>
  <si>
    <t>Palinut Fontein, Palmiet Fontein</t>
  </si>
  <si>
    <t>based on political unit</t>
  </si>
  <si>
    <t>"north-west of Tamboer, at the foot of the Nieuwveldt range" (Seeley, 1892). This is NOT the farm Palmietfontein about 50 km SSW of town of Beaufort West at National Road 12, but the farm upon Waikraal River, about 75 km W of town of Beaufort West. Original coordinates (32Ã‚Â°46'30"S, 22Ã‚Â°30'00"E) are modified accordingly.</t>
  </si>
  <si>
    <t>piscivore</t>
  </si>
  <si>
    <t>lacustrine - small</t>
  </si>
  <si>
    <t>lacustrine indet.</t>
  </si>
  <si>
    <t>local area</t>
  </si>
  <si>
    <t>alluvial fan</t>
  </si>
  <si>
    <t>Galton</t>
  </si>
  <si>
    <t>Eumetabolodon</t>
  </si>
  <si>
    <t>CN</t>
  </si>
  <si>
    <t>Nei Mongol</t>
  </si>
  <si>
    <t>Zhuengeerqi</t>
  </si>
  <si>
    <t>Heshanggou</t>
  </si>
  <si>
    <t>Li</t>
  </si>
  <si>
    <t>Zhuengeerqi (upper He-Shang-Gou Formation)</t>
  </si>
  <si>
    <t>Zhun ge er qi (He-Shan-Kou Formation); Ordos Basin</t>
  </si>
  <si>
    <t>"Northeastern part of the Shaan-Gan-Ning Basin, in the border region between Inner Mongolia and Shaanxi province." 17.5 km north of Gucheng locality. Approximately 60 km from the town of Fu gu, and less than 30 km southeast of the town of "Jungar Qi" (based on USGS TM map data).\nNote: The Shaan-Gan-Ning (or Shaanganning) Basin is more commonly known as Ordos Basin. (TL)</t>
  </si>
  <si>
    <t>Shaanxi</t>
  </si>
  <si>
    <t>Fugu</t>
  </si>
  <si>
    <t>Gucheng (upper He-Shang-Gou Formation)</t>
  </si>
  <si>
    <t>Gucheng (He-Shan-Kou Formation); Ordos Basin</t>
  </si>
  <si>
    <t>"Northeastern part of the Shaan-Gan-Ning Basin, in the border region between Inner Mongolia and Shaanxi province." 17. 5 km south of Zhuengeerqi locality. Approximately 60 km from the town of Fu gu, and less than 30 km southeast of the town of "Jungar Qi" (based on USGS TM map data).\nNote: The Shaan-Gan-Ning (or Shaanganning) Basin is more commonly known as Ordos Basin. (TL)</t>
  </si>
  <si>
    <t>Youngetta</t>
  </si>
  <si>
    <t>"Shihtienfeng"</t>
  </si>
  <si>
    <t>Wusilangou (Dongsheng Town)</t>
  </si>
  <si>
    <t>(Shih-Tien-Feng Formation); Hantai Valley</t>
  </si>
  <si>
    <t xml:space="preserve">"locality is Wusilangou, Hantai valley, Dongsheng town, Inner Mongolia, only several dozen kilometers from Zheungeerqi county, where the other fossils [associated collections of Ling 1983] were found." </t>
  </si>
  <si>
    <t>Bolosauridae</t>
  </si>
  <si>
    <t>Belebey</t>
  </si>
  <si>
    <t>Bashkortostan</t>
  </si>
  <si>
    <t>Ivakhnenko</t>
  </si>
  <si>
    <t>Belebei, PIN 164</t>
  </si>
  <si>
    <t>Belebey Suite</t>
  </si>
  <si>
    <t>lat longs and altitude are for the town of Belebey in Bashkortostan, Russia.</t>
  </si>
  <si>
    <t>Rothianiscus</t>
  </si>
  <si>
    <t>Roadian</t>
  </si>
  <si>
    <t>deltaic indet.</t>
  </si>
  <si>
    <t>Oklahoma</t>
  </si>
  <si>
    <t>Blaine</t>
  </si>
  <si>
    <t>Chickasha</t>
  </si>
  <si>
    <t>El Reno</t>
  </si>
  <si>
    <t>Olson</t>
  </si>
  <si>
    <t>BC-1 (Chickasha Formation)</t>
  </si>
  <si>
    <t>Chickasha Tongue; Flowerpot Shale; Flowerpot Formation</t>
  </si>
  <si>
    <t xml:space="preserve">SW 1/4 SW 1/4 Sec. 6, T. 17 N., R. 10 W, near the small town of Hitchcock\r\nlat long is for Sec., T., R. stated above.\r\n </t>
  </si>
  <si>
    <t>BC-7 (Chickasha Formation)</t>
  </si>
  <si>
    <t>SW 1/4 NW 1/4 Sec. 34, NE 1/4 Sec. 33, S 1/2 Sec. 28, T. 18 N., R. 11 W. Type locality of Rothia robustus is at BC-7, 1 3/4 NW of the small town of Hitchcock. DMS coordinates are for center of area described by PLSS coordinates.</t>
  </si>
  <si>
    <t>BC-8 (Chickasha Formation)</t>
  </si>
  <si>
    <t xml:space="preserve">W 1/2 Sec. 22, SE 1/4 SE 1/4 Sec. 21, NW 1/4 SE 1/4 Sec. 21, T. 18 N., R. 11 W, approx. 3 miles north of the small town of Hitchcock. DMS coordinates are for center of area described by PLSS coordinates. </t>
  </si>
  <si>
    <t>BC-9 (Chickasha Formation)</t>
  </si>
  <si>
    <t>S 1/2 Sec. 27, T. 18 N., R. 11 W, near the small town of Hitchcock. According to the locality data given by Olson (1965) this area, however, is already part of locality BC-6 (see PBDB coll. 27414). Since Blaine County site 9 is located between BC-6 and BC-8 but is closer to BC-8 (Olson, 1965, fig. 1), "S 1/2" perhaps is a misspelling and actually should read "N 1/2". DMS coordinates are for center of N 1/2 Sec. 27, T. 18 N., R. 11 W, Okeene 7.5' quadrangle.</t>
  </si>
  <si>
    <t>elements</t>
  </si>
  <si>
    <t>Kingfisher</t>
  </si>
  <si>
    <t>KF-3 (Chickasha Formation)</t>
  </si>
  <si>
    <t>Stream cut in NW 1/4 SW 1/4 Sec. 31, T. 17 N., R. 9 W.</t>
  </si>
  <si>
    <t>KF-5 (Chickasha Formation)</t>
  </si>
  <si>
    <t>"Secs. 34, 35, T. 16 N., R. 9 W.; sec. 2, T. 15 N., R. 9 W., Kingfisher County. This site includes a large series of exposures along a tributary of Kingfisher Creek."</t>
  </si>
  <si>
    <t>Canadian</t>
  </si>
  <si>
    <t>Flowerpot</t>
  </si>
  <si>
    <t>C-2 (Flowerpot Formation)</t>
  </si>
  <si>
    <t>Flowerpot Shale; Flowerpot Formation</t>
  </si>
  <si>
    <t>Sec. 19, T. 14 N., R. 7 W. Lat long is for this Sec., T., R. "A small exposure is present on both sides of a cut formed by a creek, just west of U.S. Highway 81 and about 4 miles south of Okarche."</t>
  </si>
  <si>
    <t>"channel"</t>
  </si>
  <si>
    <t>KF-1, Omega Quarry (Chickasha Formation)</t>
  </si>
  <si>
    <t>NW 1/4 NW 1/4 NW 1/4 Sec. 19, T. 17 N., R. 9 W. It lies at a road intersection but a few feet east of the Blaine County line.</t>
  </si>
  <si>
    <t>fragments</t>
  </si>
  <si>
    <t>KF-2 (Chickasha Formation)</t>
  </si>
  <si>
    <t>NW 1/4 NW 1/4 Sec. 34, T. 17 N., R. 9 W., Loyal NW 7.5' quadrangle</t>
  </si>
  <si>
    <t>Knox</t>
  </si>
  <si>
    <t>body,mold/impression,concretion</t>
  </si>
  <si>
    <t>Pareiasauridae</t>
  </si>
  <si>
    <t>Deltavjatia</t>
  </si>
  <si>
    <t>Kirov</t>
  </si>
  <si>
    <t>Kotelnich</t>
  </si>
  <si>
    <t>Urpalov</t>
  </si>
  <si>
    <t>Vanyushonki</t>
  </si>
  <si>
    <t>Deltavjatia vjatkensis</t>
  </si>
  <si>
    <t>Hartmann-Weinberg</t>
  </si>
  <si>
    <t>Kotelnich, Vjatka River ("Sarmin" series), PIN 2212</t>
  </si>
  <si>
    <t>Kotel'nich; Volki, Volky; Vanyushonki</t>
  </si>
  <si>
    <t>Right bank of the Vjatka river (middle reaches), in the vicinity of the villages Volky and Tsemtsy, 4-5 km upstream from Vishkil'. (Hartmann-Weinberg, 1937).\r\n" [...] 18 km south of the town Kotel'nich near the Vanyushonki village on the western bank of the Vyatka River, Kirov district, Russia." (Kordikova &amp; Khlyupin, 2001). DMS coordinates approximately mark the western bank of Vyatka river, halfway between Volki and Vanyushonki villages.\r\n \r\nNote on modification of prevoiusly entered location details: &gt;&gt;2 km upstream from the type locality of Anthodon rossicus (reported by A. P. Hartmann-Weinberg 1937).&lt;&lt;, presumably cited from Efremov (1940), is incorrect since Efremov (1940) states that the Kotel'nich locality is "2 km downstream of the point, where S.G. Kashtanov had found his specimen", a specimen which was originally intended to be made the type of "Anthodon chlynoviensis", but which Efremov (1940) then referred to A. rossicus (TL).</t>
  </si>
  <si>
    <t>Scutosaurus</t>
  </si>
  <si>
    <t>Wuchiapingian</t>
  </si>
  <si>
    <t>Lopingian</t>
  </si>
  <si>
    <t>Tatarstan</t>
  </si>
  <si>
    <t>Tetyushi</t>
  </si>
  <si>
    <t>IV</t>
  </si>
  <si>
    <t>Efremov</t>
  </si>
  <si>
    <t>Klyutchevoy Ravine ("Sarmin" series)</t>
  </si>
  <si>
    <t>Volga locality, coll. No. 156, PIN, Volga Expedition of 1931; Klyuchevoy Ravine; Ilinskoe, Il'inskoe, Ilyinskoe, Iljinskoje</t>
  </si>
  <si>
    <t>"...on the right bank of the Volga river, vicinity of Ilyinskoe village, Tetyushi district, Tartar Republic, 9 km ups[t]ream of the Tetyushi landing place." (Efremov, 1940).\nAdditional notes: The Klyuchevskoy Ravine is a cutting into the relatively steep western bank of the Volga River (here dammed to form the huge Kuybyshev Reservoir Lake).\nPolar coordinates are for Il'inskoe village (originally entered coordinates: 54Ã‚Â°55'N, 48Ã‚Â°50'E).</t>
  </si>
  <si>
    <t>marine indet.</t>
  </si>
  <si>
    <t>FR</t>
  </si>
  <si>
    <t>not computable using this model</t>
  </si>
  <si>
    <t>Nevada</t>
  </si>
  <si>
    <t>Pershing</t>
  </si>
  <si>
    <t>Pareiasuchus</t>
  </si>
  <si>
    <t>Northern Cape</t>
  </si>
  <si>
    <t>Leeuwkloof pareiasaur locality</t>
  </si>
  <si>
    <t>Nieuwveld, Karoo, Karroo</t>
  </si>
  <si>
    <t>Lat long is for Loxton in the southern Karoo.</t>
  </si>
  <si>
    <t>body,charcoalification</t>
  </si>
  <si>
    <t>Ctenosauriscidae</t>
  </si>
  <si>
    <t>Arizonasaurus</t>
  </si>
  <si>
    <t>fine channel fill</t>
  </si>
  <si>
    <t>Arizona</t>
  </si>
  <si>
    <t>Navajo</t>
  </si>
  <si>
    <t>Moenkopi</t>
  </si>
  <si>
    <t>Holbrook</t>
  </si>
  <si>
    <t>Welles</t>
  </si>
  <si>
    <t>Holbrook quarry, UCMP V3922</t>
  </si>
  <si>
    <t>Geronimo Quarry</t>
  </si>
  <si>
    <t xml:space="preserve">Sec. 31, T. 18 N., R. 20 E., "most of the material was found in an area about 15 by 30 ft. ...the few exceptions are isolated finds from the same level, and all were within a half mile of the main quarry. </t>
  </si>
  <si>
    <t>Anisodontosaurus</t>
  </si>
  <si>
    <t>IT</t>
  </si>
  <si>
    <t>Udine</t>
  </si>
  <si>
    <t>body,adpression,soft parts</t>
  </si>
  <si>
    <t>partial skeletons</t>
  </si>
  <si>
    <t>shallow subtidal indet.</t>
  </si>
  <si>
    <t>Vonhuenia</t>
  </si>
  <si>
    <t>Nizhegorod</t>
  </si>
  <si>
    <t>Vetluga</t>
  </si>
  <si>
    <t>Vokhminskaya</t>
  </si>
  <si>
    <t>Sennikov</t>
  </si>
  <si>
    <t>Spasskoye settlement (Vokhma Formation), PIN 1025</t>
  </si>
  <si>
    <t>Vetluga River; Spasskoe village</t>
  </si>
  <si>
    <t>Nizhegorodskaya region; watershed of Vyatka and Vetluga Rivers; Vetluga River basin</t>
  </si>
  <si>
    <t>Stormberg</t>
  </si>
  <si>
    <t>Lower</t>
  </si>
  <si>
    <t>Haughton</t>
  </si>
  <si>
    <t>Chasmatosuchus</t>
  </si>
  <si>
    <t>Komi</t>
  </si>
  <si>
    <t>Luza/Pre-Luza</t>
  </si>
  <si>
    <t>Sludka</t>
  </si>
  <si>
    <t>Ochev (Otschev)</t>
  </si>
  <si>
    <t>Korzhinskoye</t>
  </si>
  <si>
    <t>Korzha, Korzhinskii; Luza River</t>
  </si>
  <si>
    <t>hand sample</t>
  </si>
  <si>
    <t>Korzhinskoye on the Luza River (PIN 3583/1) (Ochev, 1978).\r\nThe locality bearing that catalogue number is named "Korzha" and is said to be located in the Luza District of the Kirov Region by Sennikov (2008). The name "Korzha" appears to refer to a tributary of the Luza River. Near the junction of the two rivers is a small town or village named "Korzhinskii" on the map. This probably is the place referred to as "Korzhinskoye" by Ochev (1978). Korzhinskii, as well as the mouth of the Korzha River into the Luza river, actually are not in Kirov Region but immediately across the border in the Pre-Luza District of the Komi Republic. Polar coordinates originally entered (64Ã‚Â°56'27"N, 55Ã‚Â°52'38", for general Luza River) are modified and now are based on Korzhinskii village upon Luza River (TL).</t>
  </si>
  <si>
    <t>Orenburg</t>
  </si>
  <si>
    <t>Belyaevka</t>
  </si>
  <si>
    <t>Kopanaskya</t>
  </si>
  <si>
    <t>Blumenthal 1 locality</t>
  </si>
  <si>
    <t>Blyumental-1, locality 27 (Tverdokhlebov et al, 2003); Burtya River basin, Saratov Univ 104/13, 19</t>
  </si>
  <si>
    <t>Blumenthal 1 locality in the Burtya River basin (Saratov Univ 1043/13, 19) (Ochev, 1978).\n"Orenburg Region, 0.5 km east of Blyumental village (drainage basin of left bank of the Ural River)" (Tverdokhlebov et al., 2003).\nOriginally entered polar coordinates (51Ã‚Â°31'20"N, 56Ã‚Â°2'32"E) are altered according to position of Blyumental' village, Belyaevka District, Orenburg Region.</t>
  </si>
  <si>
    <t>Krasnaya yaruga gully</t>
  </si>
  <si>
    <t>Obshchiy Syrt, Fedorovka hamlet, Sorochka River, FÃƒÂ«dorovka</t>
  </si>
  <si>
    <t>"...from the Obshchiy Syrt (Krasnaya yaruga gully near Fedorovka hamlet on the Sorochka River). FÃƒÂ«dorovka (also called Zorovka?) (Ochev, 1978).\nTverdokhlebov et al. (2003) list two sublocalities, Krasnaya Yaruga I and II, which are said to be 4 and 5 km, respectively, east from Fedorovka village. Polar coordinates originally entered (53Ã‚Â°43'N, 53Ã‚Â°16'E) are modified and now are based on Fedorovka village, Belyaevka District, Orenburg Region. Geographic resolution (originally &gt;&gt;local area&lt;&lt;) is enhanced to &gt;&gt;outcrop&lt;&lt; (TL).</t>
  </si>
  <si>
    <t>Sorochinsk</t>
  </si>
  <si>
    <t>Kamennyy yar gully</t>
  </si>
  <si>
    <t>Troitskoye village, Troyitzkoe village, Troitskoe village, Sorochka River</t>
  </si>
  <si>
    <t>Kamennyy yar gully near Troitskoye village on the Sorochka River, Saratov Univ. 104/3833.\nNotes: Polar coordinates originally entered as 52Ã‚Â°32'N, 52Ã‚Â°34'E (based upon the Sorochka River) are rendered more precisely now and are based on little reservoir lake within the Kamenny Yar Ravine, situated about 6 km SE from Troitskoe village.\nState/province name originally entered as &gt;&gt;Orenburgskaya Oblast'&lt;&lt; is changed to &gt;&gt;Orenburg&lt;&lt;. Name of subordinate administrative unit (raion) is added.\nGeographic resolution (originally &gt;&gt;local area&lt;&lt;) is changed to &gt;&gt;outcrop&lt;&lt;.\n</t>
  </si>
  <si>
    <t>Anhui</t>
  </si>
  <si>
    <t>degrees</t>
  </si>
  <si>
    <t>Motani et al.</t>
  </si>
  <si>
    <t>Guizhou</t>
  </si>
  <si>
    <t>Young</t>
  </si>
  <si>
    <t>Warwickshire</t>
  </si>
  <si>
    <t>Huene</t>
  </si>
  <si>
    <t>Czatkowiella</t>
  </si>
  <si>
    <t>PL</t>
  </si>
  <si>
    <t>Malopolskie</t>
  </si>
  <si>
    <t>Krakowski</t>
  </si>
  <si>
    <t>BorsukBiaynicka and Evans</t>
  </si>
  <si>
    <t>Czatkowice 1 quarry</t>
  </si>
  <si>
    <t xml:space="preserve">Czatkowice I quarry, near Krzeszowice, KrakÃƒÂ³w Uplands, south-central Poland. Coordinates based on Krzeszowice </t>
  </si>
  <si>
    <t>Sophineta</t>
  </si>
  <si>
    <t>Evans and BorsukBiaynicka</t>
  </si>
  <si>
    <t>Euparkeriidae</t>
  </si>
  <si>
    <t>Osmolskina</t>
  </si>
  <si>
    <t>Borsuk-Bialynicka and Evans</t>
  </si>
  <si>
    <t>Pamelina</t>
  </si>
  <si>
    <t>Evans</t>
  </si>
  <si>
    <t>Procolina</t>
  </si>
  <si>
    <t>BorsukBiaynicka and Lubka</t>
  </si>
  <si>
    <t>skulls</t>
  </si>
  <si>
    <t>Sues et al.</t>
  </si>
  <si>
    <t>wet floodplain</t>
  </si>
  <si>
    <t>Tanystropheidae</t>
  </si>
  <si>
    <t>Parasuchus</t>
  </si>
  <si>
    <t>Kuhn-Schnyder</t>
  </si>
  <si>
    <t>Muschelkalk-Bonebed, Crailsheim</t>
  </si>
  <si>
    <t>Germany, Baden-WÃƒÂ¼rttemberg, Crailsheim</t>
  </si>
  <si>
    <t>Timanophon</t>
  </si>
  <si>
    <t>Charkabozh</t>
  </si>
  <si>
    <t>Novikov et al.</t>
  </si>
  <si>
    <t>Tsilma River</t>
  </si>
  <si>
    <t>Tsilma-1, Cherepanka-1, Cherepanka-3</t>
  </si>
  <si>
    <t>several localities in the drainage basin of the Tsilma River ("Pechora Syneclisis") (Novikov et al, 1990)\r\nOriginally entered coordinates were 69Ã‚Â°58'13" N 54Ã‚Â°15' E (original comment: "Coordinates taken from map in The Portable World: A Complete Atlas"). These coordinates, however, defined a place in the Pechora Sea off the southwestern coast of the southern island of Novaya Zemlya. The new coordinates (entered on 2015-04-22) are for the junction of the Tsilma and Pechora rivers at the town of Ust'-Tsilma, Komi Republic, Ust'-Tsilma District. (TL)</t>
  </si>
  <si>
    <t>Hunt and Lucas</t>
  </si>
  <si>
    <t>BR</t>
  </si>
  <si>
    <t>Rio Grande do Sul</t>
  </si>
  <si>
    <t>RosÃƒÂ¡rio do Sul</t>
  </si>
  <si>
    <t>Coconino</t>
  </si>
  <si>
    <t>Yunnan</t>
  </si>
  <si>
    <t>dry floodplain</t>
  </si>
  <si>
    <t>Rhynchosauridae</t>
  </si>
  <si>
    <t>New Mexico</t>
  </si>
  <si>
    <t>unpublished field data</t>
  </si>
  <si>
    <t>body,adpression</t>
  </si>
  <si>
    <t>Teratosaurus</t>
  </si>
  <si>
    <t>Meyer</t>
  </si>
  <si>
    <t>crevasse splay</t>
  </si>
  <si>
    <t>Langer et al.</t>
  </si>
  <si>
    <t>body,trace</t>
  </si>
  <si>
    <t>Santa Maria</t>
  </si>
  <si>
    <t>Alemoa</t>
  </si>
  <si>
    <t>Spondylosoma</t>
  </si>
  <si>
    <t>Dinodontosaurus</t>
  </si>
  <si>
    <t>Baum-Sanga (excavation 44), ChiniquÃƒÂ¡</t>
  </si>
  <si>
    <t>Spondylosoma type site</t>
  </si>
  <si>
    <t xml:space="preserve">vicinity of ChiniquÃƒÂ¡ (XiniquÃƒÂ¡), W of Santa Maria, Rio Grande do Sul, Parana Basin; Langer et al. (2007) show the locality to be approximately 12-15 km west of Sao Pedro do Sul. "Grabung 44" = excavation 44. </t>
  </si>
  <si>
    <t>Zanclodon</t>
  </si>
  <si>
    <t>Erfurt</t>
  </si>
  <si>
    <t>Lower Lettenkeuper</t>
  </si>
  <si>
    <t>Plieninger</t>
  </si>
  <si>
    <t>SwÃƒÂ¤bisch Hall, Gaildorf</t>
  </si>
  <si>
    <t>Zanclodon type site, SchwÃƒÂ¤bisch</t>
  </si>
  <si>
    <t>Gaildorf, near SwÃƒÂ¤bisch Hall (SchwÃƒÂ¤bisch), Baden-WÃƒÂ¼rttemberg</t>
  </si>
  <si>
    <t>delta plain</t>
  </si>
  <si>
    <t>Thuringia</t>
  </si>
  <si>
    <t>marginal marine indet.</t>
  </si>
  <si>
    <t>Ammorhynchus</t>
  </si>
  <si>
    <t>Nesbitt and Whatley</t>
  </si>
  <si>
    <t>MSM 02-153</t>
  </si>
  <si>
    <t>Moenkopi rhynchosaur, Ammorhynchus navajoi type</t>
  </si>
  <si>
    <t>Locality MSM 02-153 is within the Holbrook Member of the Moenkopi Formation and is ~10 miles southeast of Woodruff, Navajo County, AZ. Lat long is for Woodruff.</t>
  </si>
  <si>
    <t>MSM 00-99, ~2 km SE of Joseph City</t>
  </si>
  <si>
    <t>Locality MSM 00-99 is within the Holbrook Member of the Moenkopi Formation and is ~2 km southeast of Joseph City, Navajo County, AZ. Lat long is for Winslow.</t>
  </si>
  <si>
    <t>MSM 02-145, NW of Winslow</t>
  </si>
  <si>
    <t xml:space="preserve">Locality MSM 02-145 is within the Holbrook Member of the Moenkopi Formation and lies between the Little Colorado River and the town of Winslow, Navajo County, AZ. </t>
  </si>
  <si>
    <t>MSM 00-103, between Winslow and Holbrook</t>
  </si>
  <si>
    <t>Locality MSM 00-103 is within the Holbrook Member of the Moenkopi Formation and lies between Winslow and Holbrook, north of I-40, Navajo County, AZ. Lat long is for Winslow.</t>
  </si>
  <si>
    <t>Thecodontosaurus</t>
  </si>
  <si>
    <t>Owen</t>
  </si>
  <si>
    <t>Benton et al.</t>
  </si>
  <si>
    <t>Nesbitt et al.</t>
  </si>
  <si>
    <t>Niedersachsen</t>
  </si>
  <si>
    <t>Upper</t>
  </si>
  <si>
    <t>teeth</t>
  </si>
  <si>
    <t>IN</t>
  </si>
  <si>
    <t>Andhra Pradesh</t>
  </si>
  <si>
    <t>Adilabad</t>
  </si>
  <si>
    <t>Rhombopholis</t>
  </si>
  <si>
    <t>Bromsgrove Sandstone</t>
  </si>
  <si>
    <t>Sherwood Sandstone</t>
  </si>
  <si>
    <t>Benton and Walker</t>
  </si>
  <si>
    <t>Coten End Quarry</t>
  </si>
  <si>
    <t>Coton End Quarry</t>
  </si>
  <si>
    <t>OSGB SP 29006550. At Coton End, on the SE side of Warwick, at Blakedon Hill</t>
  </si>
  <si>
    <t>Bromsgroveia</t>
  </si>
  <si>
    <t>coastal indet.</t>
  </si>
  <si>
    <t>Langeronyx</t>
  </si>
  <si>
    <t>Benton</t>
  </si>
  <si>
    <t>Azendohsauridae</t>
  </si>
  <si>
    <t>MA</t>
  </si>
  <si>
    <t>Dutuit</t>
  </si>
  <si>
    <t>postcrania</t>
  </si>
  <si>
    <t>ChaÃƒÂ±ares River, 2 km north</t>
  </si>
  <si>
    <t>"2 km N of mouth of ChaÃƒÂ±ares River" according to Romer (1971), but "the exposures of the Los Chanares localtiy are more accurately located 3 km north of the north branch of the Chanares River and 5 km southwest of the Puerta de Talampaya" (Sereno &amp; Arcucci 1994)</t>
  </si>
  <si>
    <t>ChaÃƒÂ±ares River, 5 km northeast</t>
  </si>
  <si>
    <t>5 km NE of where the ChaÃƒÂ±ares River enters the Campo de Talampaya</t>
  </si>
  <si>
    <t>ChaÃƒÂ±ares River, 4.5 km east</t>
  </si>
  <si>
    <t>4.5 km E of mouth of ChaÃƒÂ±ares River</t>
  </si>
  <si>
    <t>ChaÃƒÂ±ares River, south fork valley</t>
  </si>
  <si>
    <t>0.5 mi SE of volcanic plug in the valley of the south fork of the ChaÃƒÂ±ares River</t>
  </si>
  <si>
    <t>ChaÃƒÂ±ares River, north fork valley</t>
  </si>
  <si>
    <t>5 mi E of where the ChaÃƒÂ±ares River enters the Talampaya Plain, in the valley of the north fork of the river</t>
  </si>
  <si>
    <t>Erpetosuchidae</t>
  </si>
  <si>
    <t>Olsen</t>
  </si>
  <si>
    <t>IL</t>
  </si>
  <si>
    <t>Brotzen</t>
  </si>
  <si>
    <t>Wadi Raman is situated about 70 km south of Beersheva, Negev Desert</t>
  </si>
  <si>
    <t>Beneckeia beds, Member B, Wadi Raman, Negev Desert</t>
  </si>
  <si>
    <t>Tanystropheus</t>
  </si>
  <si>
    <t>open shallow subtidal</t>
  </si>
  <si>
    <t>Parringtonia</t>
  </si>
  <si>
    <t>fluvial-deltaic indet.</t>
  </si>
  <si>
    <t>TZ</t>
  </si>
  <si>
    <t>Ruvuma</t>
  </si>
  <si>
    <t>Songea</t>
  </si>
  <si>
    <t>Manda Beds</t>
  </si>
  <si>
    <t>Lifua</t>
  </si>
  <si>
    <t>Cynognathus subzone C</t>
  </si>
  <si>
    <t>Parrington, Upper Bone Bed, Ruhuhu (Loc. B 15/1)</t>
  </si>
  <si>
    <t>Mkonoleko/Njalila, northwest of Songea, Ruhuhu Valley, Ruvuma region, southwestern Tanzania, E of Lake Nyasa (Njassa)</t>
  </si>
  <si>
    <t>Muschelkalk</t>
  </si>
  <si>
    <t>Reisz et al.</t>
  </si>
  <si>
    <t>lagoonal/restricted shallow subtidal</t>
  </si>
  <si>
    <t>Prestosuchus</t>
  </si>
  <si>
    <t>Cynodontier-Sanga, Fundgruppe 1045, ChiniquÃƒÂ¡</t>
  </si>
  <si>
    <t>vicinity of ChiniquÃƒÂ¡ (XiniquÃƒÂ¡), W of Santa Maria, Rio Grande do Sul, Parana Basin. This collection represents material grouped together by Huene as "Fundgruppe 1045"</t>
  </si>
  <si>
    <t>coarse channel fill</t>
  </si>
  <si>
    <t>CA</t>
  </si>
  <si>
    <t>Nova Scotia</t>
  </si>
  <si>
    <t>Butler et al.</t>
  </si>
  <si>
    <t>Old Leamington Quarry</t>
  </si>
  <si>
    <t>?SP 325666, Warwick-Leamington area</t>
  </si>
  <si>
    <t>Weigeltisauridae</t>
  </si>
  <si>
    <t>Weigeltisaurus</t>
  </si>
  <si>
    <t>Tyne and Wear</t>
  </si>
  <si>
    <t>Marl Slate</t>
  </si>
  <si>
    <t>Zechstein</t>
  </si>
  <si>
    <t>Eppleton Quarry (base of Marl Slate)</t>
  </si>
  <si>
    <t>Hetton-le-Hole</t>
  </si>
  <si>
    <t>"near Hetton-le-Hole, Tyne and Wear (NZ 351484)" (Pettigrew, 1979); "O.S. reference NZ 357484-not NZ 351484 as previously published" (Evans, 1982); coordinate based on Hetton-le-Hole</t>
  </si>
  <si>
    <t>peritidal</t>
  </si>
  <si>
    <t>Rottweil</t>
  </si>
  <si>
    <t>Trigonodus-Dolomit, Hall</t>
  </si>
  <si>
    <t>quarry near Hall</t>
  </si>
  <si>
    <t>Provelosaurus</t>
  </si>
  <si>
    <t>SÃƒÂ£o Gabriel</t>
  </si>
  <si>
    <t>Rio do Rasto</t>
  </si>
  <si>
    <t>Passa Dois</t>
  </si>
  <si>
    <t>Morro Pelado</t>
  </si>
  <si>
    <t>Malabarba et al.</t>
  </si>
  <si>
    <t>Posto Queimado</t>
  </si>
  <si>
    <t>ParanÃƒÂ¡ Basin</t>
  </si>
  <si>
    <t>Coletta</t>
  </si>
  <si>
    <t>Inxuba Yethemba</t>
  </si>
  <si>
    <t>Lystrosaurus Assemblage</t>
  </si>
  <si>
    <t>Modesto et al.</t>
  </si>
  <si>
    <t>Brakfontein 333</t>
  </si>
  <si>
    <t>" [...] farm Brakfontein 333, Cradock District, Eastern Cape Province, Republic of South Africa; [...] " (Modesto et al., 2002).\r\nNote: Inxuba Yethemba is the name now used for the Cradock District.</t>
  </si>
  <si>
    <t>Sanchuansaurus</t>
  </si>
  <si>
    <t>Changhsingian</t>
  </si>
  <si>
    <t>Shanxi</t>
  </si>
  <si>
    <t>Liulin</t>
  </si>
  <si>
    <t xml:space="preserve">Shihtienfeng, Shiqianfeng, Sunjiagou </t>
  </si>
  <si>
    <t>Gao</t>
  </si>
  <si>
    <t>Tianjialing, Xuecun Town</t>
  </si>
  <si>
    <t>"Tianjialing Village, Liulin County, Shanxi Province" (Gao, 1989). \r\n\r\n"Shansisaurus xuecunensis is from Tianjialing village, near Xuecun (Cheng, 1980: 115), and Sanchuansaurus pygmaeus and the other pareiasaur bones reported by Gao (1989: 1234) are also Ã¢Â€Â˜from a locality near Tianjialing village, Liulin CountyÃ¢Â€Â™. The find site of Huanghesaurus liulinensis seemed less clear from GaoÃ¢Â€Â™s (1983) description, but Li &amp; Liu (2013: 199Ã¢Â€Â“200) state that it was from the same location. It turns out that Tianjialing village no longer exists Ã¢Â€Â“ it was a former habitation of the Tian family (Tianjialing means Ã¢Â€Â˜Tian family hillÃ¢Â€Â™), located at coordinates 37.410Ã‚Â°N, 110.811Ã‚Â°E, but the fossil site (37.412757Ã‚Â°N, 110.815922Ã‚Â°E), as confirmed by Li &amp; Liu (2013: 200), lies at the top of the cliff on the south bank of the Sanchuan River, opposite the G307 road, east of the bridge leading to Beigou village, and to the west of the G20 expressway bridge that crosses the Sanchuan valley, and just above a water tank for Beigou village, which carries the label Ã¢Â€Â˜TianjialingÃ¢Â€Â™ (as noted during fieldwork in July 2015)." (Benton 2016)\r\n</t>
  </si>
  <si>
    <t>Gecatogomphius</t>
  </si>
  <si>
    <t>Acrodenta</t>
  </si>
  <si>
    <t>Marrakech-Tensift-Al Haouz</t>
  </si>
  <si>
    <t>Ikakern</t>
  </si>
  <si>
    <t>Tourbihine</t>
  </si>
  <si>
    <t>Irerhi village</t>
  </si>
  <si>
    <t>Argana Basin</t>
  </si>
  <si>
    <t>200 m SW of the douar (= moroccan mountain village) of Irerhi, halfway between the towns of Timesgadiouine and Argana; polar coordinates are for the village of Irerhi</t>
  </si>
  <si>
    <t>Kapes</t>
  </si>
  <si>
    <t>Petropavlovka</t>
  </si>
  <si>
    <t>Yarensk</t>
  </si>
  <si>
    <t>Novikov and Sues</t>
  </si>
  <si>
    <t>Petropavlovka I (Locality 19)</t>
  </si>
  <si>
    <t>"Orenburg Region, southern outskirts of Petropavlovka village, right bank of the Sakmara River"; for details see map on p. 25/26 in Tverdokhlebov et al. (2003)</t>
  </si>
  <si>
    <t>Nycteroleter</t>
  </si>
  <si>
    <t>Arkhangelsk</t>
  </si>
  <si>
    <t>Mezen'</t>
  </si>
  <si>
    <t>Ennatosaurus tecton</t>
  </si>
  <si>
    <t>Kiselikha, PIN 158, Lower Mezen' River</t>
  </si>
  <si>
    <t>Nizhnyaya Mezen'; Mezen' Basin</t>
  </si>
  <si>
    <t>One of a series of "localities in the lower reaches of the Mezen' River and its tributaries, the Kimzha (Kimja) and Peza" (Ivakhnenko, 1997), all located in Mezenskii District. \r\nLat long is for the junction area of the three rivers.</t>
  </si>
  <si>
    <t>Nyctiphruretidae</t>
  </si>
  <si>
    <t>Tverdokhlebova and Ivakhnenko</t>
  </si>
  <si>
    <t>Macroleter</t>
  </si>
  <si>
    <t>carbonate indet.</t>
  </si>
  <si>
    <t>Krymskiy, locality 7 of Tverdokhlebov et al. 2005</t>
  </si>
  <si>
    <t>Krimskii, Krymskii</t>
  </si>
  <si>
    <t>"Orenburg region, 1.2 km NE of Krymskii village, right bank of Molochai stream,\r\nSamara drainage basin" (Tverdokhlebov et al., 2005)</t>
  </si>
  <si>
    <t>Owenettidae</t>
  </si>
  <si>
    <t>Saurodektes</t>
  </si>
  <si>
    <t>Middelburg</t>
  </si>
  <si>
    <t>Balfour</t>
  </si>
  <si>
    <t>Palingkloof</t>
  </si>
  <si>
    <t>Manhaar Hill</t>
  </si>
  <si>
    <t>Barendskraal Farm, Klipfontein 234</t>
  </si>
  <si>
    <t>"on the slopes of 'Maanhaar', a koppie [term for a small hill in Afrikaans] on the farm Barendskraal (annex of Klipfontein 234), Middelburg District, Eastern Cape Province, South Africa"</t>
  </si>
  <si>
    <t>Wolfville</t>
  </si>
  <si>
    <t>Free State</t>
  </si>
  <si>
    <t>Kopanong</t>
  </si>
  <si>
    <t>Reisz and Scott</t>
  </si>
  <si>
    <t>Donovan's Kop</t>
  </si>
  <si>
    <t>"DonovanÃ¢Â€Â™s Kop, Tweefontein, Bethulie District"; Note: Kopanong is the name now used for the former Bethulie municipality.</t>
  </si>
  <si>
    <t>Millerettidae</t>
  </si>
  <si>
    <t>Milleropsis</t>
  </si>
  <si>
    <t>Dicynodon Assemblage</t>
  </si>
  <si>
    <t>Gow</t>
  </si>
  <si>
    <t>Swaelkrans, Murraysburg</t>
  </si>
  <si>
    <t>Swalekranz</t>
  </si>
  <si>
    <t>"Locality Swaelkrans, Murraysburg." (Gow, 1972). This site is mentioned as "Swalekranz" by Watson (1957, Phil. Trans. R. Soc. B 240). Polar coordinates are for Murraysburg.</t>
  </si>
  <si>
    <t>Milleretta</t>
  </si>
  <si>
    <t>Central Karoo</t>
  </si>
  <si>
    <t>Ringsfontein</t>
  </si>
  <si>
    <t>Locality Ringsfontein, Murraysburg</t>
  </si>
  <si>
    <t>Camdeboo</t>
  </si>
  <si>
    <t>Doornplaas</t>
  </si>
  <si>
    <t>Doornplaats; Rust</t>
  </si>
  <si>
    <t>"Locality Doornplaas, Graff Reinet" (Gow, 1972).\r\n"Doornplaats, Graaff-Reinet, South Africa" (Evans &amp; van den Heever, 1987).\r\nPolar coordinates are for farm Rust, situated about 35 km NW of Graaff-Reinet. Note: Camdeboo is the name now used for former Graaff-Reinet District.\r\n</t>
  </si>
  <si>
    <t>body,permineralized</t>
  </si>
  <si>
    <t>Dicynodon Assemblage Zone</t>
  </si>
  <si>
    <t>New Bethesda Commonage</t>
  </si>
  <si>
    <t>Nieu-Bethesda</t>
  </si>
  <si>
    <t>This collection comprises specimens collected from strata of the Dicynodon Assemblage biozone in the vicinity of New Bethesda, Graaff-Reinet (municipality currently called Camdeboo); lat long is for Nieu-Bethesda</t>
  </si>
  <si>
    <t>Millerosaurus</t>
  </si>
  <si>
    <t>Daptocephalus Assemblage</t>
  </si>
  <si>
    <t>Weltevreden, Nieu Bethesda (Graaff-Reinet)</t>
  </si>
  <si>
    <t>"Locality Weltevreden, Graaff Reinet"; polar coordinates are for farm Weltevreden, situated about 45 km NNW of Graaff-Reinet and about 10 km W of Nieu-Bethesda; Note: Camdeboo is the name now used for Graaff-Reinet municipality</t>
  </si>
  <si>
    <t>Teekloof</t>
  </si>
  <si>
    <t>Grootdriefontein (Dicynodon Assemblage Zone)</t>
  </si>
  <si>
    <t>Groot Driefontein</t>
  </si>
  <si>
    <t>"Locality Grootdriefontein, Murraysburg"; polar coordinates are for the farm houses of the farm Groot Driefontein, situated about 15 km NE of Murraysburg</t>
  </si>
  <si>
    <t>Daptocephalus or Dicynodon Assemblage Zone</t>
  </si>
  <si>
    <t>"Ganora", New Bethesda</t>
  </si>
  <si>
    <t>Afrikanderskloof</t>
  </si>
  <si>
    <t>Locality "Ganora", New Bethesda</t>
  </si>
  <si>
    <t>Millerinoides</t>
  </si>
  <si>
    <t>Wellwood (Dicynodon Assemblage Zone)</t>
  </si>
  <si>
    <t>"Locality Wellwood, Graaff Reinet"; polar coordinates are for farm Wellwood, a small area situated about 30 km NNE of Graaff-Reinet; Note: Camdeboo is the name now used for Graaff-Reinet municipality</t>
  </si>
  <si>
    <t>basinal (carbonate)</t>
  </si>
  <si>
    <t>Dalla Vecchia</t>
  </si>
  <si>
    <t>Saurorictus</t>
  </si>
  <si>
    <t>Hoedemaker</t>
  </si>
  <si>
    <t>Tropidostoma Assemblage</t>
  </si>
  <si>
    <t>Modesto and Smith</t>
  </si>
  <si>
    <t>Leeukloof 43</t>
  </si>
  <si>
    <t>Leeuw Kloof, Leeuwkloof</t>
  </si>
  <si>
    <t>"A locality on the farm Leeukloof 43 in Beaufort West District, Western Cape Province, Republic of South Africa" (Modesto &amp; Smith, 2001). Polar coodinates are for the farm Leeuw Kloof 43, situated east of Regional Road 381, about 50 km NNW of Beaufort West.</t>
  </si>
  <si>
    <t>Moradisaurus</t>
  </si>
  <si>
    <t>NE</t>
  </si>
  <si>
    <t>Agadez</t>
  </si>
  <si>
    <t>Arlit</t>
  </si>
  <si>
    <t>Moradi</t>
  </si>
  <si>
    <t>IzÃƒÂ©gouandane</t>
  </si>
  <si>
    <t>Taquet</t>
  </si>
  <si>
    <t>Tchimozenogue Area</t>
  </si>
  <si>
    <t>Moradi Fauna</t>
  </si>
  <si>
    <t>about 25 km south-southeast of the mining town of Arlit; for details see map on p. 310 in O'Keefe et al. (2005)</t>
  </si>
  <si>
    <t>Protorosaurus</t>
  </si>
  <si>
    <t>Hesse</t>
  </si>
  <si>
    <t>Waldeck-Frankenberg</t>
  </si>
  <si>
    <t>Werra</t>
  </si>
  <si>
    <t>Sues and Munk</t>
  </si>
  <si>
    <t>Korbach Fissure</t>
  </si>
  <si>
    <t>Fisseler quarry, Korbacher Spalte, Steinbruch Fisseler</t>
  </si>
  <si>
    <t>"1km south of the city of Korbach"</t>
  </si>
  <si>
    <t>Parasaurus</t>
  </si>
  <si>
    <t>Bunostegos</t>
  </si>
  <si>
    <t>Sidor et al.</t>
  </si>
  <si>
    <t>Ibadanane Area II</t>
  </si>
  <si>
    <t>"approximately 20 km west of Arlit"</t>
  </si>
  <si>
    <t>cast</t>
  </si>
  <si>
    <t>ZM</t>
  </si>
  <si>
    <t>Eastern</t>
  </si>
  <si>
    <t>Lundazi</t>
  </si>
  <si>
    <t>Madumabisa Mudstone</t>
  </si>
  <si>
    <t>Cistecephalus Assemblage</t>
  </si>
  <si>
    <t>Upper Luangwa Valley (Cistecephalus Zone fauna)</t>
  </si>
  <si>
    <t>"upper Luangwa Valley";\r\n"eastern margin of the Luangwa Valley near its northern extremity" (Kitching, 1963); locality coordinate is based on map on p. 259 in Kitching (1963); no exact locality data is given</t>
  </si>
  <si>
    <t>Li et al.</t>
  </si>
  <si>
    <t>Wang et al.</t>
  </si>
  <si>
    <t>MÃƒÂ¼ller et al.</t>
  </si>
  <si>
    <t>O'Keefe et al.</t>
  </si>
  <si>
    <t>partial skulls,mandibles</t>
  </si>
  <si>
    <t>Gansu</t>
  </si>
  <si>
    <t>Qingtoushan</t>
  </si>
  <si>
    <t>Dashankou locality</t>
  </si>
  <si>
    <t>"The Dashankou locality is located about 20 km southwest of Old Yumen City, 50 km west of Jiayuguan City, 2500 m above the sea level. It lies on the north side of the Qilian Mountains." (Liu et al., 2009, APP). Polar coordinates are for Provincial Road 215 about 20 km SW from Old Yumen (Yumen Dongzhen).\r\nReisz et al. (2011) imply that Dashankou is (more or less) identical to Qingtoushan.</t>
  </si>
  <si>
    <t>Wapitisaurus</t>
  </si>
  <si>
    <t>transition zone/lower shoreface</t>
  </si>
  <si>
    <t>British Columbia</t>
  </si>
  <si>
    <t>Sulphur Mountain</t>
  </si>
  <si>
    <t>Vega-Phroso Siltstone</t>
  </si>
  <si>
    <t>Brinkman</t>
  </si>
  <si>
    <t>Wapiti Lake</t>
  </si>
  <si>
    <t>"UTM 647,000 E., 6045000 N., Zone 10, map 931/10. Near Wapiti lake, British Columbia, Canada"</t>
  </si>
  <si>
    <t>Novikov</t>
  </si>
  <si>
    <t>Ust-Vymskii</t>
  </si>
  <si>
    <t>Yarenskian</t>
  </si>
  <si>
    <t>Gamskaya</t>
  </si>
  <si>
    <t>Spencer and Storrs</t>
  </si>
  <si>
    <t>Zheshart</t>
  </si>
  <si>
    <t>Vychegda River, Vichegda River, Zheshard</t>
  </si>
  <si>
    <t>"Zheshart settlement, Vichegda River, north-west of Siktivkar, Komi Semi-Autonomous Republic, north-east European Russia" (Spencer &amp; Storrs, 2002); Lat long is for Zheshart.</t>
  </si>
  <si>
    <t>Bashkyroleter</t>
  </si>
  <si>
    <t>Erythrosuchidae</t>
  </si>
  <si>
    <t>Chalishevia</t>
  </si>
  <si>
    <t>Bukobay</t>
  </si>
  <si>
    <t>Berdyankian</t>
  </si>
  <si>
    <t>Gower and Sennikov</t>
  </si>
  <si>
    <t>Starokoltaevo I (Locality 8)</t>
  </si>
  <si>
    <t>Koltayevo I</t>
  </si>
  <si>
    <t>"Bashkortostan. 10 km NE of Oktyabrsky town, right bank of the Bolshoy Yushatir\r\nRiver (Sakmara drainage basin)"</t>
  </si>
  <si>
    <t>Energosuchus</t>
  </si>
  <si>
    <t>Rautiania</t>
  </si>
  <si>
    <t>lacustrine deltaic indet.</t>
  </si>
  <si>
    <t>Saraktash</t>
  </si>
  <si>
    <t>Vyasovka</t>
  </si>
  <si>
    <t>Bulanov and Sennikov</t>
  </si>
  <si>
    <t>KulÃ¢Â€Â™chumovo-A</t>
  </si>
  <si>
    <t>Kulchumovo, Kultchumovo</t>
  </si>
  <si>
    <t>"Russia, Orenburg Region, Saraktashskii District" (Bulanov &amp; Sennikov, 2006); Lat long is for the village of KulÃ¢Â€Â™chumovo</t>
  </si>
  <si>
    <t>offshore</t>
  </si>
  <si>
    <t>Saxony Anhalt</t>
  </si>
  <si>
    <t>Mansfelder Land</t>
  </si>
  <si>
    <t>Kupferschiefer</t>
  </si>
  <si>
    <t>Evans and Haubold</t>
  </si>
  <si>
    <t>Mansfeld mining district</t>
  </si>
  <si>
    <t>Mansfelder Revier, Mansfelder Mulde, Mansfelder Land, Kupferschiefer, Copper Shale, Wolfsschacht, Otto-Schacht</t>
  </si>
  <si>
    <t>The Mansfeld Trough lies SE of the Hartz Mountains, and has many old mining facilities. Lat long is for the town of Eisleben.</t>
  </si>
  <si>
    <t>Hersfeld-Rotenburg</t>
  </si>
  <si>
    <t>Schaumberg</t>
  </si>
  <si>
    <t>Schwarzer Philipp</t>
  </si>
  <si>
    <t>Nentershausen-Bauhaus, Kupferschiefer, Copper Shale, Richelsdorfer Gebirge, Richelsdorf Mountains</t>
  </si>
  <si>
    <t>The specimen comes from the spoil heap of the abandoned copper mine "Schwarzer Philipp" at the graveyard of Bauhaus, a small village near the small town of Nentershausen in the central part of the Richelsdorf Mts. (NE Hesse), Central Germany.</t>
  </si>
  <si>
    <t>Wolfsberg Mine</t>
  </si>
  <si>
    <t>Iba, Kupferschiefer, Copper Shale, Richelsdorfer Gebirge, Richelsdorf Mountains</t>
  </si>
  <si>
    <t>The specimens come from the spoil heap of the abandoned Wolfsberg Mine near Iba, a village in the Richelsdorf Mts. of NE Hesse, Central Germany. Lat long is for Iba.</t>
  </si>
  <si>
    <t>Nordhausen</t>
  </si>
  <si>
    <t>Frey et al.</t>
  </si>
  <si>
    <t>Ellrich</t>
  </si>
  <si>
    <t>Ilfeld Basin, Kupferschiefer, Copper Shale</t>
  </si>
  <si>
    <t>Ellrich is a small town in the Ilfeld Rotliegend Basin at the southern margin of the Hartz Mountains, Central Germany.</t>
  </si>
  <si>
    <t>Younginidae</t>
  </si>
  <si>
    <t>Thadeosaurus</t>
  </si>
  <si>
    <t>MG</t>
  </si>
  <si>
    <t>Tulear</t>
  </si>
  <si>
    <t>Lower Sakamena</t>
  </si>
  <si>
    <t>Sakamena</t>
  </si>
  <si>
    <t>Carroll</t>
  </si>
  <si>
    <t>Mt. Eliva (Sakamena Fm.)</t>
  </si>
  <si>
    <t>Sakamena River Valley; Morondava Basin</t>
  </si>
  <si>
    <t>"Sakamena River Valley in the vicinity of Mount Eliva, southwestern Madagascar"; Lat long is estimated from map on Pl. 2 in Carroll (1981)</t>
  </si>
  <si>
    <t>Claudiosauridae</t>
  </si>
  <si>
    <t>Claudiosaurus</t>
  </si>
  <si>
    <t>paralic indet.</t>
  </si>
  <si>
    <t>Fianarantsoa</t>
  </si>
  <si>
    <t>Leoposa (Sakamena Fm.)</t>
  </si>
  <si>
    <t>Morondava Basin</t>
  </si>
  <si>
    <t>Locality is near Leoposa. Lat long is for Leoposa.</t>
  </si>
  <si>
    <t>Benenitra (Sakamena Fm.)</t>
  </si>
  <si>
    <t>Locality is near the village of Benenitra. Lat long is for Benenitra.</t>
  </si>
  <si>
    <t>Sakamaniga (Sakamena Fm.)</t>
  </si>
  <si>
    <t>Ranohira; Morondava Basin</t>
  </si>
  <si>
    <t>Locality is near the town of Ranohira. Lat long is for Ranohira.</t>
  </si>
  <si>
    <t>Coelurosauravus</t>
  </si>
  <si>
    <t>Emeroleter</t>
  </si>
  <si>
    <t>lacustrine delta plain</t>
  </si>
  <si>
    <t>Abdulino</t>
  </si>
  <si>
    <t>Tverdokhlebov et al.</t>
  </si>
  <si>
    <t>Saray Gir, locality 8 of Tverdokhlebov et al. 2005</t>
  </si>
  <si>
    <t>Sarai Gir, Sarai-Gir</t>
  </si>
  <si>
    <t>"Orenburg region, left bank of Saray Gir stream, 1 km upstream of Kluchevka village from where it empties into Zhilaya River, a left tributary of Ik River, Ural drainage basin" (Tverdokhlebov et al., 2005).\r\nNote: The tributary of Ik River in which the Saray-Gir River empties is designated as "Tiris" and the village at the mouth of Saray-Gir River is designated as "Novoyakupovo" on the topographic map (1:200.000, sheet Abdulino).</t>
  </si>
  <si>
    <t>Weigelt</t>
  </si>
  <si>
    <t>Bodental (Nentershausen)</t>
  </si>
  <si>
    <t>Kupferschiefer, Copper Shale, Richelsdorfer Gebirge, Richelsdorf Mountains</t>
  </si>
  <si>
    <t>The Bodental locality is a few kilometers SW of Nentershausen in the central part of the Richelsdorf Mts. (NE Hesse), Central Germany.</t>
  </si>
  <si>
    <t>Prolacertidae</t>
  </si>
  <si>
    <t>Kadimakara</t>
  </si>
  <si>
    <t>AU</t>
  </si>
  <si>
    <t>Queensland</t>
  </si>
  <si>
    <t>Arcadia</t>
  </si>
  <si>
    <t>Rewan</t>
  </si>
  <si>
    <t>Bartholomai</t>
  </si>
  <si>
    <t>QMF L78 (Rewan Formation)</t>
  </si>
  <si>
    <t>"The Crater", QML 78</t>
  </si>
  <si>
    <t>"approximately 72 km southwest of Rolleston, central Queensland" (Bartholomai, 1979)</t>
  </si>
  <si>
    <t>Kudnu</t>
  </si>
  <si>
    <t>Lower Saxony</t>
  </si>
  <si>
    <t>Osterode</t>
  </si>
  <si>
    <t>Tsuji and MÃƒÂ¼ller</t>
  </si>
  <si>
    <t>Walkenried</t>
  </si>
  <si>
    <t>Walkenried is a small town in the Ilfeld Rotliegend Basin at the southern margin of the Hartz Mountains, Central Germany. Lat long is for Walkenried.</t>
  </si>
  <si>
    <t>Ilm-Kreis</t>
  </si>
  <si>
    <t>Ilmenau</t>
  </si>
  <si>
    <t>Kupferschiefer, Copper Shale</t>
  </si>
  <si>
    <t>Ilmenau is a small town at the northern margin of the southeastern part of the Thuringian Forest Mts. (ThÃƒÂ¼ringer Wald)</t>
  </si>
  <si>
    <t>Buchholz</t>
  </si>
  <si>
    <t>Spoil heaps near Buchholz, a village in the Ilfeld Rotliegend Basin at the southern margin of the Hartz Mountains, Central Germany. Lat long is for Buchholz.</t>
  </si>
  <si>
    <t>Middleton/Balfour</t>
  </si>
  <si>
    <t>Lee et al.</t>
  </si>
  <si>
    <t>Graaff-Reinet Commonage</t>
  </si>
  <si>
    <t>Lat long is for the town of Graaff-Reinet.</t>
  </si>
  <si>
    <t>Halde Schnepfenbusch</t>
  </si>
  <si>
    <t>Schachtanlage Schnepfenbusch, Nentershausen-Bauhaus, Kupferschiefer, Copper Shale, Richelsdorfer Gebirge, Richelsdorf Mountains</t>
  </si>
  <si>
    <t>"spoil heaps of the former mine Schachtanlage Schnepfenbusch near Nentershausen-Bauhaus (topographic map 1: 25 000, sheet no. 5925 - HÃƒÂ¶nebach; coordinates: r: 35 65 500, h: 56 51 200)" (Munk &amp; Sues, 1993)</t>
  </si>
  <si>
    <t>Munk and Sues</t>
  </si>
  <si>
    <t>Schaumberg et al.</t>
  </si>
  <si>
    <t>Sclerosaurus</t>
  </si>
  <si>
    <t>LÃƒÂ¶rrach</t>
  </si>
  <si>
    <t>Plattensandstein/RÃƒÂ¶tton</t>
  </si>
  <si>
    <t>Upper Buntsandstein</t>
  </si>
  <si>
    <t>Sues and Reisz</t>
  </si>
  <si>
    <t>Warmbach near Rheinfelden</t>
  </si>
  <si>
    <t>Sclerosaurus holotype site</t>
  </si>
  <si>
    <t>"quarry at Warmbach near Rheinfelden, Baden, Germany"</t>
  </si>
  <si>
    <t>body,mold/impression</t>
  </si>
  <si>
    <t>Basel-Stadt</t>
  </si>
  <si>
    <t>? Plattensandstein</t>
  </si>
  <si>
    <t>Riehen, Wiedersheim 1878</t>
  </si>
  <si>
    <t>Ã¢Â€ÂœLabyrinthodonÃ¢Â€Â ruetimeyeri holotype site</t>
  </si>
  <si>
    <t>"abandoned quarry at Riehen near Basel, Switzerland"</t>
  </si>
  <si>
    <t>Rieppel</t>
  </si>
  <si>
    <t>Noteosuchus</t>
  </si>
  <si>
    <t>Watson</t>
  </si>
  <si>
    <t>Grassy Ridge</t>
  </si>
  <si>
    <t>Grass Ridge, Grassridge</t>
  </si>
  <si>
    <t>"Grassy Ridge, Cape Province, at the very base of the Lystrosaurus zone" (Carroll, 1976); no further informations are given.\r\nKitching (1977) gives "Grassridge, Cradock" as the type locality of Noteosuchus colletti.\r\nThere is a farm called "Grass Ridge" just west of a reservoir lake called "Grass Ridge" as well at the eastern margin of the Inxuba Yethemba local municipality (former Cradock and Middelburg districts) in the Eastern Cape Province. It is very likely that this is the locality Carroll (1976) and Kitching (1977) refers to. Polar coordinates are for farm Grass Ridge, Inxuba Yethemba, Eastern Cape.</t>
  </si>
  <si>
    <t>Euparkeria</t>
  </si>
  <si>
    <t>Maletswai</t>
  </si>
  <si>
    <t>Burgersdorp</t>
  </si>
  <si>
    <t>Cynognathus Assemblage</t>
  </si>
  <si>
    <t>Ewer</t>
  </si>
  <si>
    <t>Euparkeria site, Aliwal North</t>
  </si>
  <si>
    <t>"Krielfontein", "Quarry Commonage"</t>
  </si>
  <si>
    <t>"one of the commonages over the brow of a hill on the left of the road to Lady Grey just outside Aliwal North" (Ewer, 1965);\r\n"Although others have also investigated exposures of the Cynognathus Assemblage Zone around Aliwal North and claims of knowledge of the true location of the site have been made, the site remains unknown" (Dilkes, 1998);\r\nLat Long is for the city of Aliwal North</t>
  </si>
  <si>
    <t>Mesosuchus</t>
  </si>
  <si>
    <t>Dilkes</t>
  </si>
  <si>
    <t>Sauropareion</t>
  </si>
  <si>
    <t>Barendskraal Farm</t>
  </si>
  <si>
    <t>"A locality on the farm Barendskraal, Middelburg District, Eastern Cape Province, Republic of South Africa" (Modesto et al., 2007); polar coordinates are for farm Klip Fonteyn 234 (said to include the Barendskraal farm in other Modesto papers, see, e.g., collection 80064) about 25 km SSW of Middelburg; Note: The former Middelburg district now is part of the Inxuba Yethemba local municipality.</t>
  </si>
  <si>
    <t>Phaanthosaurus</t>
  </si>
  <si>
    <t>Spencer and Benton</t>
  </si>
  <si>
    <t>Nizhnii Novgorod</t>
  </si>
  <si>
    <t>Krasnye Baki</t>
  </si>
  <si>
    <t>Krasnie Baki, Vetluga River</t>
  </si>
  <si>
    <t>"Krasnie Baki village, Vetluga River, Nizhnii Novgorod Province"; Lat long is for Krasnye Baki</t>
  </si>
  <si>
    <t>Anomoiodon</t>
  </si>
  <si>
    <t>Hildburghausen</t>
  </si>
  <si>
    <t>Solling</t>
  </si>
  <si>
    <t>Middle Buntsandstein</t>
  </si>
  <si>
    <t>Chirotherien Sandstein</t>
  </si>
  <si>
    <t>SÃƒÂ¤ilÃƒÂ¤</t>
  </si>
  <si>
    <t>Reurieth</t>
  </si>
  <si>
    <t>"Reurieth, near Hildburghausen" (SÃƒÂ¤ilÃƒÂ¤, 2008).</t>
  </si>
  <si>
    <t>Nyctiphruretus</t>
  </si>
  <si>
    <t>Reisz and Laurin</t>
  </si>
  <si>
    <t>Drysdall &amp; Kitching locality 21, Upper Luangwa Valley</t>
  </si>
  <si>
    <t>"upper Luangwa Valley" (Lee et al., 1977);\r\n"eastern margin of the Luangwa Valley near its northern extremity" (Kitching, 1963); locality coordinate is based on map on p. 259 in Kitching (1963); no exact locality data is given</t>
  </si>
  <si>
    <t>Proterosuchidae</t>
  </si>
  <si>
    <t>Archosaurus</t>
  </si>
  <si>
    <t>Vladimir</t>
  </si>
  <si>
    <t>Vyazniki</t>
  </si>
  <si>
    <t>Archosaurus rossicus</t>
  </si>
  <si>
    <t>Vyazniki Localities, PIN 1100</t>
  </si>
  <si>
    <t>Klyazma River; Bykovka gully; Zelenaya Gorka; Bykovka lake; Bykovka; Vyazniki-1; Vyazniki-2; Metallist; Yartsevo; Tolmachevo; Balymotikha-1; Balymotikha-2</t>
  </si>
  <si>
    <t>"Vyazniki locality, near Vyazniki, Vladimir Province" (Gower &amp; Sennikov, 2000); there is a total of 8 sub-localities, all close together at the peripherals of the town of Vyazniki; Lat long is based on map on p. S475 in Sennikov &amp; Golubev (2006)</t>
  </si>
  <si>
    <t>Elginiidae</t>
  </si>
  <si>
    <t>Obirkovia</t>
  </si>
  <si>
    <t>Bulanov and Yashina</t>
  </si>
  <si>
    <t>Tonshaevo</t>
  </si>
  <si>
    <t>Purly Locality, PIN 1538</t>
  </si>
  <si>
    <t>"Purly localitiy in the Nishnii Novgorod region" (Gower &amp; Sennikov, 2000); "Purly locality (Tonshaevskii District, Nizhni Novgorod Region, Russia)" (Ivakhnenko, 2008). Lat long is for the area of Purly, 1km north of Pizhma in Tonshaevo County.</t>
  </si>
  <si>
    <t>Kinelia</t>
  </si>
  <si>
    <t>Grachevskii</t>
  </si>
  <si>
    <t>Kutulukskaya</t>
  </si>
  <si>
    <t>Bulanov</t>
  </si>
  <si>
    <t>Vozdvizhenka, PIN 4538, locality 76 of Tverdokhlebov et al. 2005</t>
  </si>
  <si>
    <t>"Orenburg region, right bank of the Malaya Kinel River, 1 km downstream from\r\nVozdvizhenka village, Samara drainage basin" (Tverdokhlebov et al., 2005)</t>
  </si>
  <si>
    <t>Macrocnemus</t>
  </si>
  <si>
    <t>Piedmont</t>
  </si>
  <si>
    <t>Varese</t>
  </si>
  <si>
    <t>Besano</t>
  </si>
  <si>
    <t>Besano (Scisti bituminosi)</t>
  </si>
  <si>
    <t>Cava di Besano; beds equivalent to those at Monte San Giorgio</t>
  </si>
  <si>
    <t>"above Besano near Porto Ceresio"</t>
  </si>
  <si>
    <t>Ticino</t>
  </si>
  <si>
    <t>Mendrisio</t>
  </si>
  <si>
    <t>Mittlere Grenzbitumenzone</t>
  </si>
  <si>
    <t>Ticinites polymorphus</t>
  </si>
  <si>
    <t>Cava Tre Fontane</t>
  </si>
  <si>
    <t>Miniera Tre Fontane; Monte San Giorgio; Serpiano</t>
  </si>
  <si>
    <t>The Cava (or Miniera) Tre Fontane is an abandoned mine near Serpiano at the western flanks of the Mte. S. Giorgio</t>
  </si>
  <si>
    <t>body,adpression,coprolite</t>
  </si>
  <si>
    <t>Kanton Tessin</t>
  </si>
  <si>
    <t>Grenzbitumen-horizon</t>
  </si>
  <si>
    <t>Val Porina (incl. tetto nuovo)</t>
  </si>
  <si>
    <t>Valporina; Valle Porina; Miniera della Val Porina; Monte San Giorgio</t>
  </si>
  <si>
    <t>The Cava (or Miniera) della Val Porina is an abandoned mine in the Porina Valley about 1 km SW of the peak of Mte. S. Giorgio.\r\nThis collection comprises specimens for which no exact stratigraphic data are reported.</t>
  </si>
  <si>
    <t>Meride Limestone</t>
  </si>
  <si>
    <t>Alla Cascina</t>
  </si>
  <si>
    <t>Monte San Giorgio</t>
  </si>
  <si>
    <t>The Alla Cascina Locality is situated about 1 km SSW from the peak of Mte. S. Giorgio</t>
  </si>
  <si>
    <t>Adelosaurus</t>
  </si>
  <si>
    <t>Durham</t>
  </si>
  <si>
    <t>Middridge, Durham</t>
  </si>
  <si>
    <t>type locality of Adelosaurus huxleyi</t>
  </si>
  <si>
    <t>"Railway cutting, 1 km south-south-west of Middridge, Durham, England (NZ 2455 2535)" (Evans, 1988). Middridge is a small village near the town of Shildon, about 25 km WNW of Middlesbrough, and about 40 km S of Newcastle, northeastern England.</t>
  </si>
  <si>
    <t>mold/impression</t>
  </si>
  <si>
    <t>Tangasauridae</t>
  </si>
  <si>
    <t>Kenyasaurus</t>
  </si>
  <si>
    <t>KE</t>
  </si>
  <si>
    <t>Coast</t>
  </si>
  <si>
    <t>Kaloleni/Kinango</t>
  </si>
  <si>
    <t>Maji-Ya-Chumvi</t>
  </si>
  <si>
    <t>Duruma</t>
  </si>
  <si>
    <t>Harris and Carroll</t>
  </si>
  <si>
    <t>Mariakani</t>
  </si>
  <si>
    <t>"road cutting on the northeast side of the Nairobi-Mombasa road, approximately 3\r\nkilometers north of the village of Mariakani, 40 kilometers north of Mombasa, Kenya" (Harris &amp; Carroll, 1977); Mariakani lies on the border of Kaloleni and Kinango districts (formerly Kilifi and Kwale respectively) in the Coast Province of Kenya; lat long is for the town of Mariakani</t>
  </si>
  <si>
    <t>AA</t>
  </si>
  <si>
    <t>Fremouw</t>
  </si>
  <si>
    <t>Beacon</t>
  </si>
  <si>
    <t>Colbert and Kitching</t>
  </si>
  <si>
    <t>Kitching Ridge (Fremouw Fm.)</t>
  </si>
  <si>
    <t>Cumulus Hills</t>
  </si>
  <si>
    <t>Cumulus Hills, "east side of Shackleton Glacier, opposite its confluence with Logie Glacier and about 15 km. above the junctions of Baldwin Glacier on the east and McGregor Glacier on the west with Shackleton Glacier." (Colbert &amp; Kitching, 1975);\r\nIn the primary reference (Colbert &amp; Kitching, 1975) they say that the locality is 177Ã‚Â°E, but in Collinson et al. (2006, GSA Bull. 118(5/6) fig. 3) it is shown that in reality it is located about 177Ã‚Â°W.</t>
  </si>
  <si>
    <t>Collinson Ridge (Fremouw Fm., 85 m above base)</t>
  </si>
  <si>
    <t>Cumulus Hills; Halfmoon Bluff; Sentinel Hill</t>
  </si>
  <si>
    <t>Cumulus Hills, west side of Shackleton Glacier;\r\nIn the primary reference (Colbert &amp; Kitching, 1975) they say that the locality is 175Ã‚Â°30'E, but in Collinson et al. (2006, GSA Bull. 118(5/6) fig. 3) it is shown that in reality it is located about 175Ã‚Â°30'W.</t>
  </si>
  <si>
    <t>Qianosuchus</t>
  </si>
  <si>
    <t>Panxian</t>
  </si>
  <si>
    <t>Guanling</t>
  </si>
  <si>
    <t>Xinmin, Panxian County (IVPP)</t>
  </si>
  <si>
    <t>Qianosuchus holotype site</t>
  </si>
  <si>
    <t>Near Xinmin, Panxian County. Coordinates based upon Panxian</t>
  </si>
  <si>
    <t>Turfanosuchus</t>
  </si>
  <si>
    <t>Xinjiang</t>
  </si>
  <si>
    <t>Turfan</t>
  </si>
  <si>
    <t>Kelamayi</t>
  </si>
  <si>
    <t>Taoshuyuanzi, Turfan Basin</t>
  </si>
  <si>
    <t>Taoshuyuangou</t>
  </si>
  <si>
    <t>Taoshuyuanzi, 30 km northwest of Turfan Basin</t>
  </si>
  <si>
    <t>Carroll and Lindsay</t>
  </si>
  <si>
    <t>Paliguana</t>
  </si>
  <si>
    <t>Lystrosaurus</t>
  </si>
  <si>
    <t>Thrinaxodon Col (Fremouw Formation)</t>
  </si>
  <si>
    <t>Mount Kenyon; Cumulus Hills</t>
  </si>
  <si>
    <t>"The areas investigated lie in the Cumulus Hills, Queen Maud Range, near the junction of the McGregor and Shackleton Glaciers." (Cosgriff et al., 1982);\n" [...] approximately 4 km due south of the southern border of McGregor Glacier [...] on the north flank of Mount Kenyon." (Colbert &amp; Kitching, 1977); DMS coordinates given by Cosgriff et al. (1982), as used here to determine the geographic position of Thrinaxodon Col, are slightly different from those given by Colbert &amp; Kitching (1977) (despite the fact that the latter authors confused E with W in the longitude coordinate)</t>
  </si>
  <si>
    <t>Youngina</t>
  </si>
  <si>
    <t>Daptocephalus Assemblage Zone</t>
  </si>
  <si>
    <t>Olson and Broom</t>
  </si>
  <si>
    <t>Toverwater</t>
  </si>
  <si>
    <t>Towerwater</t>
  </si>
  <si>
    <t>"Toverwater farm a few miles southeast of Murraysburg, South Africa". Polar coordinates are for farm Toverwater, situated about 20 km southeast of Murraysburg, Western Cape District Management area 05 (WCDMA05) of the Central Karoo district municipality.</t>
  </si>
  <si>
    <t>Smith and Evans</t>
  </si>
  <si>
    <t>Eunotosaurus</t>
  </si>
  <si>
    <t>Kareeberg</t>
  </si>
  <si>
    <t>Tapinocephalus</t>
  </si>
  <si>
    <t>Rubidge et al.</t>
  </si>
  <si>
    <t>Alarmkraal</t>
  </si>
  <si>
    <t>" [...] farm Alarmkraal (Cape map coordinates: 31Ã‚Â° 08.097Ã¢Â€Â™ S, 022Ã‚Â° 22.696Ã¢Â€Â™ E)." (Rubidge et al., 1999). The same coordinates are given by Modesto et al. (2001). For further details see map (fig. 2) in Rubidge et al. (1999).</t>
  </si>
  <si>
    <t>Fodonyx</t>
  </si>
  <si>
    <t>Devon</t>
  </si>
  <si>
    <t>Otter Sandstone</t>
  </si>
  <si>
    <t>Smallstones Point, Fodonyx (EXEMS 65/1984)</t>
  </si>
  <si>
    <t>UK National Grid reference SY 096847</t>
  </si>
  <si>
    <t>Sandy Cove, Fodonyx (EXEMS 60/1985.11)</t>
  </si>
  <si>
    <t>UK National Grid reference SY 0987 8545</t>
  </si>
  <si>
    <t>Fodonyx/archosaur specimens, Otter Sst, (EXEMS 60/1985.12, 13, 15, 23, 27, 28)</t>
  </si>
  <si>
    <t>UK National Grid reference SY 1010 8555</t>
  </si>
  <si>
    <t>Fodonyx/archosaur specimens, Otter Sst, (EXEMS 60/1985.37-46, 51)</t>
  </si>
  <si>
    <t>UK National Grid reference SY 1022 8567</t>
  </si>
  <si>
    <t>Fodonyx specimens, Otter Sst, (EXEMS 60/1985.56, 57, 282)</t>
  </si>
  <si>
    <t>UK National Grid reference SY 1032 8587</t>
  </si>
  <si>
    <t>Fodonyx specimens, Otter Sst, (EXEMS 60/1985.66, 67)</t>
  </si>
  <si>
    <t>UK National Grid reference SY 1044 8589</t>
  </si>
  <si>
    <t>Fodonyx specimens, Otter Sst, (EXEMS 60/1985.74)</t>
  </si>
  <si>
    <t>UK National Grid reference SY 1044 8587</t>
  </si>
  <si>
    <t>Green Point, Fodonyx spenceri (EXEMS 60/1985.91)</t>
  </si>
  <si>
    <t>UK National Grid reference SY 1053 8598</t>
  </si>
  <si>
    <t>Fodonyx/archosaur specimens, Otter Sst, (EXEMS 60/1985.92, 165, 177)</t>
  </si>
  <si>
    <t>UK National Grid reference SY 1297 8731</t>
  </si>
  <si>
    <t>Windgate, Fodonyx spenceri, (EXEMS 60/1985.284)</t>
  </si>
  <si>
    <t>UK National Grid reference SY 1066 8639</t>
  </si>
  <si>
    <t>Fodonyx specimens, Otter Sst (EXEMS 60/1985.285)</t>
  </si>
  <si>
    <t>UK National Grid reference SY 1067 8640</t>
  </si>
  <si>
    <t>Fodonyx specimens, Otter Sst (EXEMS 60/1985.290)</t>
  </si>
  <si>
    <t>UK National Grid reference SY 0957 8495</t>
  </si>
  <si>
    <t>Fodonyx (Rhynchosaurus) spenceri holotype site (EXEMS 60/1985.292)</t>
  </si>
  <si>
    <t>UK National Grid reference SY 1060 8639</t>
  </si>
  <si>
    <t>Fodonyx specimens, Otter Sst (EXEMS 60/1985.312)</t>
  </si>
  <si>
    <t>UK National Grid reference SY 1054 8626</t>
  </si>
  <si>
    <t>Fodonyx/archosaur specimens, Otter Sst (EXEMS 7/1986.3, 8)</t>
  </si>
  <si>
    <t>UK National Grid reference SY 1057 8641</t>
  </si>
  <si>
    <t>Fodonyx specimens, Otter Sst (EXEMS 7/1986.4)</t>
  </si>
  <si>
    <t>UK National Grid reference SY 1052 8598</t>
  </si>
  <si>
    <t>Fodonyx/archosaur specimens, Otter Sst (EXEMS 7/1986.5, 7)</t>
  </si>
  <si>
    <t>UK National Grid reference SY 1051 8598</t>
  </si>
  <si>
    <t>Fodonyx specimens, Otter Sst (EXEMS 7/1986.6)</t>
  </si>
  <si>
    <t>UK National Grid reference SY 1053 8608</t>
  </si>
  <si>
    <t>Bentonyx</t>
  </si>
  <si>
    <t>Pennington Point, 20 m east River Sid outfall, Fodonyx skull</t>
  </si>
  <si>
    <t>"Pennington Point, about 20 m east of the River Sid outfall (National Grid reference SY 130873). It was in situ (many fossils have come previously from fallen blocks) at the base of the cliff, and found at a time when much of the beach gravel had been swept away."</t>
  </si>
  <si>
    <t>western end of Salcombe Hill Cliff, Sidmouth</t>
  </si>
  <si>
    <t>Kapes bentoni holotype site</t>
  </si>
  <si>
    <t>western end of Salcombe Hill Cliff, Sidmouth, east Devon, England (NGR: SY 12978733)</t>
  </si>
  <si>
    <t>Lade Foot, below High Peak</t>
  </si>
  <si>
    <t>Lade Foot, below High Peak, east Devon (NGR: SY 106866)</t>
  </si>
  <si>
    <t>Coartaredens</t>
  </si>
  <si>
    <t>Otterton Point, Budleigh Salterton</t>
  </si>
  <si>
    <t xml:space="preserve">Cove on the east side of the Otter River, just north of Otterton Point, Budleigh Salterton </t>
  </si>
  <si>
    <t>Milner et al.</t>
  </si>
  <si>
    <t>Otter Sst Formation, Sidmouth-Ladram Bay</t>
  </si>
  <si>
    <t>General locality for specimens reported from the Otter Sandstone between Sidmouth and Ladram Bay that lack detailed locality information</t>
  </si>
  <si>
    <t>High Peak, Fodonyx spenceri, Otter Sst (BMNH R330)</t>
  </si>
  <si>
    <t>Picket Rock Cove, Fodonyx spenceri, Otter Sst (BMNH R9190)</t>
  </si>
  <si>
    <t>Cisneros and Schultz</t>
  </si>
  <si>
    <t>Arganaceras</t>
  </si>
  <si>
    <t>Jalil and Janvier</t>
  </si>
  <si>
    <t>Locality XXII, Tikida</t>
  </si>
  <si>
    <t>" [...] recovered from a small basin (100 m across) [...]. This locality, called Tikida, is situated between Argana in the south and Timezgadouine in the north (Lambert coordinates: 146.8 km east, 430.8 km north)." (Jalil &amp; Dutuit, 1996).</t>
  </si>
  <si>
    <t>Australothyris</t>
  </si>
  <si>
    <t>Karoo Hoogland</t>
  </si>
  <si>
    <t>Tapinocephalus Assemblage Zone</t>
  </si>
  <si>
    <t>Beukesplaas</t>
  </si>
  <si>
    <t>Gannakraal 422, near Fraserburg</t>
  </si>
  <si>
    <t>" [...] farm Beukesplaas, Northern Cape Province, Republic of South Africa." (Modesto et al., 2009). " [...] near Fraserburg [...] " (Botha-Brink &amp; Modesto, 2007). Botha-Brink &amp; Modesto (2009, J. Vert. Paleont. 29(2)) add that Beukesplaas is on the farm Gannakraal 442 in the Fraserburg District, which is about 35 km SW from the town of Fraserburg on both sides of Regional Road 356. Note: Karoo Hoogland is the term now used for the former Fraserburg District.</t>
  </si>
  <si>
    <t>GÃƒÂ¼rich</t>
  </si>
  <si>
    <t>Broomia</t>
  </si>
  <si>
    <t>Makana</t>
  </si>
  <si>
    <t>Koonap</t>
  </si>
  <si>
    <t>Tapinocephalus Assemblage</t>
  </si>
  <si>
    <t>Cisneros et al.</t>
  </si>
  <si>
    <t>The Grant</t>
  </si>
  <si>
    <t>" [...] farm The Grant (33Ã‚Â°03' S; 26Ã‚Â° 23' E), Grahamstown district, Eastern Cape Province, Republic of South Africa." (Cisneros et al., 2008). The somewhat more exact coordinates are estimated from the map given in fig. 1 (ibid.). The name now applied to the Grahamstown (Albany) District is Cacadu.</t>
  </si>
  <si>
    <t>Hottentotsrivier Farm</t>
  </si>
  <si>
    <t>Hottentots River, Hottentot's River</t>
  </si>
  <si>
    <t>DMS coordinates are for farm Hottentots Rivier, situated about 55 km west of Beaufort West.</t>
  </si>
  <si>
    <t>Beeldhouersfontein</t>
  </si>
  <si>
    <t>"Locality Beeldhouersfontein" (Gow, 1972). No further details are given. There is a farm bearing that name in the eastern part of the former Murraysburg District (now Central Karoo), not notably far away from some other localities listed by Gow in the same paper. Polar coordinates are for farm Beeldhouersfontein, Central Karoo, Western Cape.</t>
  </si>
  <si>
    <t>Katbosch, Graaff-Reinet</t>
  </si>
  <si>
    <t>Katbos</t>
  </si>
  <si>
    <t>"Locality Katbosch, Graff Reinet" (Gow, 1972). This is the site mentioned as "Katbos" by Watson (1957, Phil. Trans. R. Soc. B 240). Polar coordinates are for buildings on the farm Katbosch, situated about 40 km NW of Graaff-Reinet. Note: Camdeboo is the name now used for Graaff-Reinet municipality.</t>
  </si>
  <si>
    <t>Yarasuchus</t>
  </si>
  <si>
    <t>Yerrapalli</t>
  </si>
  <si>
    <t>Sen</t>
  </si>
  <si>
    <t>Bhimaram village</t>
  </si>
  <si>
    <t>Yarasuchus holotype site</t>
  </si>
  <si>
    <t>4 km north northwest of Yerrapalli village</t>
  </si>
  <si>
    <t>Pamelaria</t>
  </si>
  <si>
    <t>Wellenkalk</t>
  </si>
  <si>
    <t>Gogoliner Schichten</t>
  </si>
  <si>
    <t>Gogoliner Schichten, Muschelkalk, Chorzow</t>
  </si>
  <si>
    <t>various little quarries in the surroundings of Chorzow</t>
  </si>
  <si>
    <t>Prince Albert</t>
  </si>
  <si>
    <t>Seeley</t>
  </si>
  <si>
    <t>Weltevreden (Prince Albert)</t>
  </si>
  <si>
    <t>Welte Vreden; Fraserburg Road, Leeu Gamka</t>
  </si>
  <si>
    <t>"Welte Vreden, near Beaufort West, Cape Colony" (Seeley, 1892). This somewhat vague locality description is rendered more precisely by Cox (1969): " [...] Prince Albert District, about 15 miles south-west of Fraserburg Road." "Fraserburg Road" refers to the town now known as Leeu Gamka. Polar coordinates are for farm Weltevreden, north of National Road 1, SW from Leeu Gamka, Prince Albert Local Municipality (wrong original coordinates were altered accordingly).</t>
  </si>
  <si>
    <t>Erythrosuchus</t>
  </si>
  <si>
    <t>Oorlogsfontein, Aliwal North District</t>
  </si>
  <si>
    <t>Oorlog's Fontein, Oorlogs Fontein 15</t>
  </si>
  <si>
    <t>" [...] Oorlog's Fontein, a few miles to the east of Aliwal North [...] " (Broom, 1906). DMS coordinates are for Farm Oorlogs Fontein 15, about 8 km east from town of Aliwal North, Maletswai Local Municipality, Ukhahlamba District Municipality, Eastern Cape Province.</t>
  </si>
  <si>
    <t>Calvinia</t>
  </si>
  <si>
    <t>Melo</t>
  </si>
  <si>
    <t>skeletons</t>
  </si>
  <si>
    <t>Schoch</t>
  </si>
  <si>
    <t>Kitchingnathus</t>
  </si>
  <si>
    <t>Amatole</t>
  </si>
  <si>
    <t>Lystrosaurus Assemblage, Procolophon subzone</t>
  </si>
  <si>
    <t>Cisneros</t>
  </si>
  <si>
    <t>Hobbs Hill</t>
  </si>
  <si>
    <t>Windvogelsberg, WindvoÃƒÂ«lberg, Cathcart</t>
  </si>
  <si>
    <t>"Hobbs Hill (Windvogelsberg), west of Cathcart, Eastern Cape Province, South Africa" (Cisneros, 2008).\r\nNote: The Windvogelsberg is a quite large mesa west of Cathcart in the northwestern corner of the Amahlathi Local Municipality of the Amatole District Municipality of the Eastern Cape Province. Polar coordinates are (more or less) centered on that topographic feature.</t>
  </si>
  <si>
    <t>Teratophon</t>
  </si>
  <si>
    <t>Xhariep</t>
  </si>
  <si>
    <t>Cynognathus B Assemblage</t>
  </si>
  <si>
    <t>Lemoenfontein 44, Rouxville District</t>
  </si>
  <si>
    <t>Farm Lemoenfontein, Rouxville District (Gow, 1977; Modesto &amp; Damiani, 2003).\r\nNote: There are at least four farms bearing the name Lemoenfontein in the closer vicinity of Rouxville. According to Cisneros (2008) a specimen of Teratophon spinigenis has been collected "recently" from the Farm Lemoenfontein 44, Cynognathus subzone B. Thus, it is assumed here that "Lemoefontein", the locality in which earlier findings of T. spinigenis were made, actually refers to the farm Lemoenfontein 44, situated about 30 km SW from Rouxville, Mohokare Local Municipality, Xhariep District Municipality (former Rouxville District), Free State, South Africa. Polar coordinates are based upon that place.</t>
  </si>
  <si>
    <t>Thelephon</t>
  </si>
  <si>
    <t>Ukhahlamba</t>
  </si>
  <si>
    <t xml:space="preserve">Cynognathus assemblage, subzone B </t>
  </si>
  <si>
    <t>Winnaarsbaken</t>
  </si>
  <si>
    <t>Winaarsbaken, Winnaars Baken</t>
  </si>
  <si>
    <t>Farm Winnaarsbaken, Burg(h)ersdorp District (Gow, 1977; Modesto &amp; Damiani, 2003).\r\nPolar coordinates are centered on the area occupied by the farm Winnaarsbaken (Winaarsbaken, Winnaars Baken), south of regional road 58 between Burgersdorp and Venterstad; Gariep Local Municipality, Ukhahlamba District Municipality (former Burgersdorp District), Eastern Cape, South Africa.</t>
  </si>
  <si>
    <t>Thelerpeton</t>
  </si>
  <si>
    <t>Hugoskop, Rouxville District</t>
  </si>
  <si>
    <t>Farm Hugoskop, Rouxville District (Gow, 1977; Modesto &amp; Damiani, 2003).\r\nNote: There are at two farms bearing the name Hugoskop in the closer vicinity of Rouxville. Since no further locality details are given by the authors, polar coordinates are for the town of Rouxville, Mohokare Local Municipality, Xhariep District Municipality (former Rouxville District), Free State, South Africa.</t>
  </si>
  <si>
    <t>Theledectes</t>
  </si>
  <si>
    <t>Elginia</t>
  </si>
  <si>
    <t>Scotland</t>
  </si>
  <si>
    <t>Moray</t>
  </si>
  <si>
    <t>Cutties Hillock Sandstone</t>
  </si>
  <si>
    <t>Spencer and Lee</t>
  </si>
  <si>
    <t>Cutties Hillock Millstone Quarry</t>
  </si>
  <si>
    <t>Cuttie's Hillock, Cuttieshillock, New Spynie; Elgin</t>
  </si>
  <si>
    <t>"Cutties Hillock Millstone Quarry (NI 185638), near Elgin, Scotland" (Spencer &amp; Lee, 2000).</t>
  </si>
  <si>
    <t>Newton</t>
  </si>
  <si>
    <t>Gow and de Klerk</t>
  </si>
  <si>
    <t>Schrikwaters Poort</t>
  </si>
  <si>
    <t>Schrikwater's Poort</t>
  </si>
  <si>
    <t>" [...] Schrikwaters Poort, which forms part of the larger Bucklands farm in the great Fish River valley [...]. The exact locality was never recorded, but it lies within a 500 metre radius [...] at 33 04' 15"S - 26 43' 40"E." (Gow &amp; de Klerk, 1997).</t>
  </si>
  <si>
    <t>Pentaedrusaurus</t>
  </si>
  <si>
    <t>Mazhen</t>
  </si>
  <si>
    <t>type locality of Pentaedrusaurus ordosianus</t>
  </si>
  <si>
    <t>"Mazhen, Fugu County, Shaanxi Province." (Li, 1989). No further details given. Polar coordinates are for town of Mazhen.</t>
  </si>
  <si>
    <t>Ermaying</t>
  </si>
  <si>
    <t>Zhun ge er qi (Er-Ma-Ying Formation); Ordos Basin, Jungar Qi</t>
  </si>
  <si>
    <t>"Northeastern part of the Shaan-Gan-Ning Basin, in the border region between Inner Mongolia and Shaanxi province." 17.5 km north of Gucheng locality. Approximately 60 km from the town of Fu gu, and less than 30 km southeast of the town of "Jungar Qi" (based on USGS TM map data).\r\nNote: The Shaan-Gan-Ning (or Shaanganning) Basin is more commonly known as Ordos Basin. (TL)</t>
  </si>
  <si>
    <t>Neoprocolophon</t>
  </si>
  <si>
    <t>Yushe</t>
  </si>
  <si>
    <t>Perovkan</t>
  </si>
  <si>
    <t>Ta-Yang-Po, 56175</t>
  </si>
  <si>
    <t>Yushe, Yueshe, YÃƒÂ¼-She, Dayangpo</t>
  </si>
  <si>
    <t>" [...] hill slope called Ta-Yang-Po about one kilometer N. W. of the village Ni-Ho-Chang, some 2.5 kilometers N. W. of the local town Ning-Chiao of the Yueshe District, S. E. Shansi." (Young, 1957). Polar coordinates are from map in Young (1964: fig. 62) = Nihezhang Dayangpo, Yinjiao, Yushe</t>
  </si>
  <si>
    <t>Barasaurus</t>
  </si>
  <si>
    <t>Piveteau</t>
  </si>
  <si>
    <t>Ranohira (Sakamena Fm.)</t>
  </si>
  <si>
    <t>type locality of Barasaurus besairiei; Morondava Basin</t>
  </si>
  <si>
    <t>Fossils come from near the village of Ranohira. Lat long is for Ranohira.</t>
  </si>
  <si>
    <t>Diana</t>
  </si>
  <si>
    <t>Ambilobe</t>
  </si>
  <si>
    <t>Middle Sakamena</t>
  </si>
  <si>
    <t>Couches ÃƒÂ  Poissons et Ammonites</t>
  </si>
  <si>
    <t>Ketchum and Barrett</t>
  </si>
  <si>
    <t>Diego Basin Early Triassic amniotes</t>
  </si>
  <si>
    <t>Collection includes fossils collected from Lower Triassic strata of the relatively small Diego Basin situated at the northern tip of Madagascar. Triassic outcrop is restricted to the southern margin of the basin (see, e.g., de Wit, 2003, Ann. Rev. Earth Planet. Sci. 31). No details on particular localities are given.</t>
  </si>
  <si>
    <t>Hovasaurus</t>
  </si>
  <si>
    <t>Acerosodontosaurus</t>
  </si>
  <si>
    <t>Currie</t>
  </si>
  <si>
    <t>Owenetta</t>
  </si>
  <si>
    <t>Cox</t>
  </si>
  <si>
    <t>Rietfontein</t>
  </si>
  <si>
    <t>" [...] Prince Albert District, about 15 miles south-west of Fraserburg Road." (Cox, 1969). "Fraserburg Road" refers to the town now known as Leeu Gamka. Polar coordinates are centerd on the relatively extensive farm Rietfontein, at National Road 1, SW from Leeu Gamka, Prince Albert Local Municipality</t>
  </si>
  <si>
    <t>Boesmansrivier</t>
  </si>
  <si>
    <t>Bushmans Rivier</t>
  </si>
  <si>
    <t>" [...] farm Boesmansrivier, in the Beaufort West District, about 25 miles north-east of Fraserburg Road." (Cox, 1969). "Fraserburg Road" refers to the town now known as Leeu Gamka. Polar coordinates are for farm Bushmans Rivier (assumed to be identical to Cox's "Boesmansrivier" due to locality data), at National Road 1, about halfway between Beaufort West and Leeu Gamka, Beaufort West Local Municipality.</t>
  </si>
  <si>
    <t>De Bad farm</t>
  </si>
  <si>
    <t>Waikraal River, Waaikraal River</t>
  </si>
  <si>
    <t>" [...] half a mile east of the Waikraal River on the farm De Bad, which lies in the Beaufort West District about 40 miles north-west of Fraserburg Road." (Cox, 1969). Polar coordinates are for a place named "De Bad" on the maps near the confluence of Kafferkraal and Waaikral Rivers, about 40 mi NW of Fraserburg Road (=Leeu Gamka).</t>
  </si>
  <si>
    <t>body,recrystallized,permineralized</t>
  </si>
  <si>
    <t>Candelaria</t>
  </si>
  <si>
    <t>CandelÃƒÂ¡ria</t>
  </si>
  <si>
    <t>Sanga Pinheiros, unknown locality</t>
  </si>
  <si>
    <t>" [...] Sanga Pinheiros (29Ã‚Â°46'19" S, 52Ã‚Â°44'54" W), Candelaria County, Rio Grande do Sul State, Brazil." (Cisneros et al., 2004).  These coordinates are for the Sanga Pinheiros, but Langer et al. (2007) indicate that the type specimen of Candelaria came from an unknown locality in this area</t>
  </si>
  <si>
    <t>Novo Cabrais</t>
  </si>
  <si>
    <t>SÃƒÂ­tio Cortado, RST 287 Highway</t>
  </si>
  <si>
    <t>"Small outcrop (29Ã‚Â°44'55" S, 53Ã‚Â°00'06" W) 166.5 km along RST 287 Highway, Novo Cabrais County, Rio Grande do Sul State." (Cisneros et al., 2004). Original site description from Mattar 87: "along road RS-509 (from CandelÃƒÂ¡ria to Santa Maria), approx. 26 km W of city of CandelÃƒÂ¡ria, close to the Vila Palmeiras locality. Outcrops situated 1.5 km before the main entrance for Vila Cortado, on the left side of the highway, in the direction of Santa Maria."</t>
  </si>
  <si>
    <t>Koiloskiosaurus</t>
  </si>
  <si>
    <t>Bavaria</t>
  </si>
  <si>
    <t>Coburg</t>
  </si>
  <si>
    <t>Mittelberg bei Coburg</t>
  </si>
  <si>
    <t>" [...] in der NÃƒÂ¤he von Mittelberg bei Koburg [...] " (von Huene, 1911). Polar coordinates are for Mittelberg, situated about 10 km NNW from Coburg.</t>
  </si>
  <si>
    <t>Shihtienfenia</t>
  </si>
  <si>
    <t>Shihtienfeng, Shiqianfeng, Sunjiagou</t>
  </si>
  <si>
    <t>Liulin, Beigou Village, Xuecun Town</t>
  </si>
  <si>
    <t>type locality of Huanghesaurus</t>
  </si>
  <si>
    <t>"Liulin, Shanxi"; about 5 km from the east bank of Yellow River (Huanghe River) (Gao, 1983). Polar coordinates are for town of Liulin, Shanxi. \r\nLi &amp; Liu (2013) referred to this locality as "Beigou Village, Xuecun Town"</t>
  </si>
  <si>
    <t>Lee</t>
  </si>
  <si>
    <t>Proelginia permiana</t>
  </si>
  <si>
    <t>Semin Ovrag, PIN 156</t>
  </si>
  <si>
    <t>Semin Ravine, Syomin Ovrag, Semin-Schlucht; Ilinskoe, Il'inskoe, Ilyinskoe, Iljinskoje</t>
  </si>
  <si>
    <t>"Tatarstan, Tetyushinskii District, Semin Ovrag locality" (Kurkin, 2008). Semin Ravine is "opposite" to and 2 km from Klyuchevoy Ravine (see PBDB coll. no. 28855) on the other side of the water divide of Volga and Ulema Rivers, at the southern end of Il'inskoe village (Efremov 1940, Trudy Paleont. Inst. AN SSSR).\r\nPolar coordinates are for Il'inskoe village.</t>
  </si>
  <si>
    <t>Lanthaniscidae</t>
  </si>
  <si>
    <t>Lanthaniscus</t>
  </si>
  <si>
    <t>Leshukonskoe</t>
  </si>
  <si>
    <t>Krasnoshchel'</t>
  </si>
  <si>
    <t>Nisogora, Vashka River, PIN 4543</t>
  </si>
  <si>
    <t>Mezen' Basin; Nyisagora</t>
  </si>
  <si>
    <t>Kotlas</t>
  </si>
  <si>
    <t>Salarevo</t>
  </si>
  <si>
    <t>Scutosaurus karpinskii</t>
  </si>
  <si>
    <t>Sokolki locality, PIN 2005</t>
  </si>
  <si>
    <t>Northern Dvina; Little Northern Dvina; Malaya Severnaya Dvina; Kotlas</t>
  </si>
  <si>
    <t>"Arkhangelsk Region, Kotlas District, Malaya Severnaya Dvina River, Sokolki locality." (Kurkin, 1999).\r\nOriginal DMS coordinates entered were 64Ã‚Â°N, 42Ã‚Â°E. New polar coordinates are for Za(o)vrazhe in the southern outskirts of the city of Kotlas (TL).</t>
  </si>
  <si>
    <t>Zavrazhye locality, PIN 2353, 2356</t>
  </si>
  <si>
    <t>Zavrazhe, Zavrazh'e, Zaovrazh'e; Northern Dvina; Little Northern Dvina; Malaya Severnaya Dvina; Kotlas</t>
  </si>
  <si>
    <t>"Arkhangelsk Region, Kotlas District, Malaya Severnaya Dvina River, Zavrazhye locality." (Kurkin, 1999).\r\nOriginal DMS coordinates entered were 64Ã‚Â°N, 42Ã‚Â°E. New coordinates are for Za(o)vrazh'e in the southern outskirts of the city of Kotlas (TL).</t>
  </si>
  <si>
    <t>Vologda</t>
  </si>
  <si>
    <t>Babushkino</t>
  </si>
  <si>
    <t>Obirkovo</t>
  </si>
  <si>
    <t>Staraya Tot'ma River, Sukhona Basin</t>
  </si>
  <si>
    <t>"Russia, Vologda Region, Babushkinskii District, Obirkovo locality"; locality is upon Staraya Tot'ma River (Bulanov &amp; Yashina, 2005).</t>
  </si>
  <si>
    <t>Hypselorhachis</t>
  </si>
  <si>
    <t>Charig</t>
  </si>
  <si>
    <t>U11/2, Ruhuhu Valley</t>
  </si>
  <si>
    <t>Hypselorhachis holotype site</t>
  </si>
  <si>
    <t>Field locality U11/2, Ruhuhu Valley. See map in Cox (1991: fig. 1)</t>
  </si>
  <si>
    <t>Wartburgkreis</t>
  </si>
  <si>
    <t>"Feldschacht zu Kupfersuhl"</t>
  </si>
  <si>
    <t>Kupfer-Suhl; Kupferschiefer, Copper Shale</t>
  </si>
  <si>
    <t>" [...] im sogenannten Feldschachte zu Kupfer-Suhl, 3 Stunden von Eisenach und 1 1/2 Stunden von Salzungen am ThÃƒÂ¼ringer Wald. [in the so called Feldschacht at Kupfer-Suhl, 3 hours from Eisenach and 1 1/2 hours from Salzungen at the Thuringian Forest]" (von Meyer, 1856).\r\nNotes: 3 hours and 1 1/2 hours refer to the walking time. Polar coordinates are for Kupfersuhl, situated 12 km SSW from Eisenach and 8 km NNE from Bad Salzungen (TL).</t>
  </si>
  <si>
    <t>GlÃƒÂ¼cksbrunn/Heidelberg near Schweina</t>
  </si>
  <si>
    <t>Schweina; Altenberg; Kupferschiefer, Copper Shale</t>
  </si>
  <si>
    <t>Von Meyer (1856) reports a specimen comming from "GlÃƒÂ¼cksbrunn, in der Gegend von Altenstein [GlÃƒÂ¼cksbrunn in the vicinity of Altenstein]" and another one coming from the "Kupferschiefer von Heidelberg, bei Schweina am ThÃƒÂ¼ringer Walde [Copper Shale of Heidelberg, near Schweina at the Thuringian Forest]".\r\nNote: Both localities appear to be very close to each other. GlÃƒÂ¼cksbrunn is a tiny village situated about 2 km W from Schweina. Altenstein is the name of a castle/palace, lying not more than 500 m E from the eastern outskirts of Schweina and "Heidelberg" very likely refers to an elevation immediately W of Schweina.</t>
  </si>
  <si>
    <t>Saalkreis</t>
  </si>
  <si>
    <t>Schacht Ernestine, Rothenburg an der Saale</t>
  </si>
  <si>
    <t>Mansfelder Revier; Burg-Oerner Revier; Kupferschiefer, Copper Shale</t>
  </si>
  <si>
    <t>"Rothenburg an der Saale, im Hallischen, und zwar auf dem Burg-Oerner Revier in der Ernestine [Rothenburg upon Saale River, in the vicinity of Halle, namely in the Burg-Oerner mining district in the Ernestine pit]" (von Meyer, 1856).\r\nPolar coordinates are for Rothenburg an der Saale.</t>
  </si>
  <si>
    <t>Richelsdorf mining district</t>
  </si>
  <si>
    <t>Lindenschacht; Kupferschiefer, Copper Shale; Richelsdorfer Revier; Richelsdorfer Gebirge, Richelsdorf Mountains</t>
  </si>
  <si>
    <t>This collection comprises specimens from the Richelsdorf copper-mining district which no exact provenance data exist for. They may come immediately from the mines of the town of Richelsdorf or from mines in the closer vicinity.\r\nDMS coordinates are for town of Richelsdorf.</t>
  </si>
  <si>
    <t>Tamboers Fontein</t>
  </si>
  <si>
    <t>Tamboersfontein, Tamboer's Fontein</t>
  </si>
  <si>
    <t>Polar coordinates are for farm Tamboers Fontein, situated about 70 km WSW from town of Beaufort West.</t>
  </si>
  <si>
    <t>Groot Kruidfontein</t>
  </si>
  <si>
    <t>Kruitfontein</t>
  </si>
  <si>
    <t>"Groot Kruidfontein, Prince Albert Division" (Haughton &amp; Boonstra, 1929). Polar coordinates are for place named "Groot Kruidfontein" on the maps, situated about 5 km S of Leeu Gamka (Fraserburg Road).</t>
  </si>
  <si>
    <t>Abrahamskraal, Prince Albert</t>
  </si>
  <si>
    <t>Farm Abrahamskraal</t>
  </si>
  <si>
    <t>"Abrahamskraal, Prince Albert, Western Cape Province, South Africa" (Dilkes &amp; Reisz, 1996); polar coordinates are for farm Abrahams Kraal, about 15 km SSE of Leeu-Gamka</t>
  </si>
  <si>
    <t>Zwarts Siding</t>
  </si>
  <si>
    <t>Zwarts Siding very likely refers to a train station of the railroad between Leeu Gamka (= Fraserburg Road) and Prince Albert Road, on the territory of the Rietfontein farm. Polar coordinates are for Zwarts Siding.</t>
  </si>
  <si>
    <t>Mynhardtskraal</t>
  </si>
  <si>
    <t>Mynhartskraal, Mynhardts Kraal</t>
  </si>
  <si>
    <t>Mynhardtskraal farm, Beaufort West Division</t>
  </si>
  <si>
    <t>Vogelfontein (Prince Albert)</t>
  </si>
  <si>
    <t>VoÃƒÂ«lfontein</t>
  </si>
  <si>
    <t>"Vogelfontein, Prince Albert Division" (Haughton &amp; Boonstra, 1929). Polar coordinates are for place named "Vogelfontein" on the maps, situated about 20 km NW from Leeu Gamka.</t>
  </si>
  <si>
    <t>Leeurivier</t>
  </si>
  <si>
    <t>Leeuw Rivier</t>
  </si>
  <si>
    <t xml:space="preserve">"Leeuw Rivier, Beaufort West Division" (Haughton &amp; Boonstra, 1929). Coordinates are for farm "Leeurivier", about 40 km WSW from town of Beaufort West. </t>
  </si>
  <si>
    <t>Tichvinskia</t>
  </si>
  <si>
    <t>Nagorsk</t>
  </si>
  <si>
    <t>Chudinov and Vjushkov</t>
  </si>
  <si>
    <t>Okunevo (Fedorovka River)</t>
  </si>
  <si>
    <t>Vyatka River Basin</t>
  </si>
  <si>
    <t>Fedorovka River, Nagorsk District, Kirov Region (Chudinov &amp; Vjushkov, 1956; Ivakhnenko, 2008). Spencer &amp; Benton (2000) give "Okunevo, Fedorovka River" as type locality. Polar coordinates are for confluence of Sorduk and Fedorovka Rivers near the village of Okunevo.</t>
  </si>
  <si>
    <t>Sol'-Iletsk</t>
  </si>
  <si>
    <t>Donguz</t>
  </si>
  <si>
    <t>Berdyanka I (locality 33), PIN 1579</t>
  </si>
  <si>
    <t>"Orenburg region, 3.4 km south of Belyaevsky village, right tributary of the Berdyanka River (drainage basin of left bank of the Ural River)" (Tverdokhlebov et al., 2003). Polar coordiantes are for village of Belyaevka.</t>
  </si>
  <si>
    <t>Dorosuchus</t>
  </si>
  <si>
    <t>vertebrae,limb elements</t>
  </si>
  <si>
    <t>Nikolsk</t>
  </si>
  <si>
    <t>Vakhnevo locality</t>
  </si>
  <si>
    <t>Vachnevo, Vahnevo, Wachnjewo; Sharzhenga River, Sharjenga River, Fluss Scharschenga; Yug River Basin</t>
  </si>
  <si>
    <t>"Bei dem Dorf Wachnjewo, am rechten Ufer des Flusses Scharschenga, eines Nebenflusses des Jug, der in die Suchona flieÃƒÂŸt, die ihrerseits sich in die Dwina ergieÃƒÂŸt; im Bezirk Severo-Dwinsk, in dem seinerzeit die groÃƒÂŸen Amalitzky'schen Grabungen stattfanden [Near the village of Vakhnevo, right bank of the Sharzhenga River, a tributary of Yug River, flowing into the Sukhnona River, which, in turn, has its mouth into the Dvina River; in the Severo-Dvinsk Region, the region in which Amalitzky's excavations took place at that time]." (von Huene, 1940).\r\nSharjenga river, near the village Vachnevo, Kineshma Region, Upper Volga (Efremov, 1949).\r\nRight bank of Sharzhenga River near the village of Vakhnevo, Nikolsk District, Vologda Region (Vjushkov &amp; Chudinov, 1956).\r\nVakhnevo locality in the Yug River basin (Ochev 1978).\r\nDMS coordinates, formerly based on Kineshma (57Ã‚Â°23'23"N 42Ã‚Â°7'39"E), are altered and are based now on village of Vakhnevo (TL).\r\nAdditional note: The present collection originally bore the name &gt;&gt;Sharjenga River near Vachnevo village (Vetlugian Series)&lt;&lt;. Since the locality names are spelled in an uncommon way, the former name of the younger, then redundant PBDB collection no. 37038 is transferred to here.</t>
  </si>
  <si>
    <t>Protorosauridae</t>
  </si>
  <si>
    <t>Microcnemus</t>
  </si>
  <si>
    <t>Totskoe</t>
  </si>
  <si>
    <t>Kzylsaiskaya</t>
  </si>
  <si>
    <t>Markovka II, level 1</t>
  </si>
  <si>
    <t>Locality 102 (Tverdokhlebov et al., 2003); Soroka River</t>
  </si>
  <si>
    <t>"Orenburg Region, 0.4 km west of south outskirts of Markovka village, left bank of Soroka River (left tributary of the Samara River) (Ivakhnenko et al., 1997)." (Tverdokhlebov et al., 2003). \n \nImportant note: This collection originally was named &gt;&gt;Vakhnevo locality&lt;&lt;. All data originally entered have been transferred to PBDB collection 28479.</t>
  </si>
  <si>
    <t>Orenburgia</t>
  </si>
  <si>
    <t>Markovka II, level 2</t>
  </si>
  <si>
    <t>"Orenburg Region, 0.4 km west of south outskirts of Markovka village, left bank of Soroka River (left tributary of the Samara River) (Ivakhnenko et al., 1997)." (Tverdokhlebov et al., 2003).</t>
  </si>
  <si>
    <t>Ochev</t>
  </si>
  <si>
    <t>Kzyl Sai ravine</t>
  </si>
  <si>
    <t>Kzyl Say, Kzyl-Sai, Kyzyl Sai, Kyzyl-Say Gorge</t>
  </si>
  <si>
    <t>Kyzyl Sai ravine, village of Andreevka, Burtinskii District, Orenburg Region (Ochev, 1958).\r\n"Orenburg Region, 0.5Ã¢Â€Â“1 km west of Andreevka village, the Kzyl-Say ravine (drainage basin of left bank of the Ural River). There is a series of fossil-bearing points at the same stratigraphic level (Ivakhnenko et al., 1997)." (Tverdokhlebov et al., 2003).\r\nPolar coordinates are for village of Andreevka.</t>
  </si>
  <si>
    <t>Garjainia</t>
  </si>
  <si>
    <t>Volgograd</t>
  </si>
  <si>
    <t>Ilovlya</t>
  </si>
  <si>
    <t>Lipovskaya</t>
  </si>
  <si>
    <t>Lipovskaya gully (Donskaya Luka)</t>
  </si>
  <si>
    <t>Lipovaya Balka</t>
  </si>
  <si>
    <t>lat long is for the village of Sirotinskaya</t>
  </si>
  <si>
    <t>Novaya Zemlya</t>
  </si>
  <si>
    <t>Admiralty</t>
  </si>
  <si>
    <t>Cape Nikolai, Admiralty Peninsula, North Island of Novaya Zemlya Archipelago</t>
  </si>
  <si>
    <t>Admiraliteistva Peninsula</t>
  </si>
  <si>
    <t>Novaya Zemlya, North Island, Admiralty Peninsula, Cape Nikolai, east coast, at 400 m from southern end of cape (Ivakhnenko, 1983).</t>
  </si>
  <si>
    <t>Nenetsia</t>
  </si>
  <si>
    <t>Lestanshor</t>
  </si>
  <si>
    <t>Khei-Yaga-1</t>
  </si>
  <si>
    <t>Khei-Yaga River, Hey-Yaga, western flank of Pai-Khoi Mts.</t>
  </si>
  <si>
    <t>Right bank of Khei-Yaga River, 3.5 km above mouth of Lestanshor River (Novikov, 1991). Name of locality is according to Ivakhnenko (2008).</t>
  </si>
  <si>
    <t>Pizhmomezenskoi</t>
  </si>
  <si>
    <t>Mezenskaya Pizhma and Lower Syamzhen'ga</t>
  </si>
  <si>
    <t>Pizhma-Mezenskaya, Pizhmo-Mezen' River; Lower Syamzhenga; Nizhnyaya Syamzhenga-III, Nizhnyaya Syamzhenga-IV, Nizhnyaya Syamzhenga-VIII, Nizhnyaya Syamzhenga-X, Nizhyaya Syamzhenga-XII, Pizhma-I; Mezen' River Basin</t>
  </si>
  <si>
    <t>Actual geographic position of localities (see a.k.a.) is not fully clear.\r\nOriginal locality description for holotype site of Timanophon raridentatus is "right bank of Pizhma Mezenskaya River, about 0.5 km below mouth of Lower Syamzhen'ga River [Nizhnyaya Syamzhen'ga]" (Novikov, 1991).\r\nThe name "Lower Syamzhen'ga" may refer to the lower reaches of the Syamzhen'ga River. This river is located in the east-central part of the Arkhangelsk Region (Pinega District) and is a tributary of the Pinega River. Contrastingly, the Triassic fossil sites of concern are said to be located at the western flank of the Timan Ridge in the drainage basin of the "Pizhma Mezenskaya" (a tributary of the upper reaches of the Mezen' River) which is in the very east of the Arkhangelsk Region (Leshukonskoe District, according to Ivakhnenko, 2008).\r\nThere is no tributary of the Mezenskaya Pizhma River bearing the name "Nizhnyaya Syamzhen'ga" on the maps but there is a tributary named Nishnyaya Syamun'ga. Thus, it is possible that the name "Nizhnyaya Syamzhen'ga" actually refers to the Nizhnyaya Syamun'ga River.\r\nPolar coordinates are for mouth of Nizhnyaya Syamun'ga river into Mezenskaya Pizhma River.</t>
  </si>
  <si>
    <t>Vybor River localities</t>
  </si>
  <si>
    <t>Vybor-II, Vybor-2; Mezen' River Basin</t>
  </si>
  <si>
    <t>Polar coordinates are based on mouth of Vybor River into Mezen' River, southern part of Leshukonskoe District, Arkhangelsk Region.</t>
  </si>
  <si>
    <t>Paliguanidae</t>
  </si>
  <si>
    <t>Santaisaurus</t>
  </si>
  <si>
    <t>Changji</t>
  </si>
  <si>
    <t>Jiucaiyuan</t>
  </si>
  <si>
    <t>Cangfanggou</t>
  </si>
  <si>
    <t>Koh</t>
  </si>
  <si>
    <t>Fukang-Jimsar area</t>
  </si>
  <si>
    <t>holotype site of Santaisaurus yuani; Jimusar; Junggar Basin; Shoukou Fukanghsien</t>
  </si>
  <si>
    <t>"Provinz Sinkiang" (Koh, 1940).\r\n"The area of Fukang-Jimusar, Xinjiang" (Li, 1989). Polar coordinates are for city of Santai (Santaizhen).</t>
  </si>
  <si>
    <t>Baode</t>
  </si>
  <si>
    <t>Young and Yeh</t>
  </si>
  <si>
    <t>Lishenglen</t>
  </si>
  <si>
    <t>holotype site of Shihtienfenia permica; Pao-TÃƒÂª, Paoteh, Baode</t>
  </si>
  <si>
    <t>" [...] from the vicinity of Lishenglen, Paote N. W. Shansi." (Young &amp; Yeh, 1963). Polar coordinates are for city of Paote (Pao-TÃƒÂª, Baode). \r\n"Ã¢Â€Â˜Upper Permian from the vicinity of Lishenglen, Paote, N.W. Shansi, near the banks of the Huangho (= Yellow) River'. In modern pinyin transliteration of the Chinese characters, these latter names become Baode, Shanxi, and Huanghe. The stratigraphic section, including the find spot of the fossils (Young &amp; Yeh, 1963: fig. 1), extends from Baode to Huayuan, Ã¢Â€Â˜along the south bank of the HuanghoÃ¢Â€Â™. The place name Ã¢Â€Â˜LishenglenÃ¢Â€Â™ is modern Lixianling, 1 km west of Baode town, and Baode is located in Baode County, near Xinzhou City, on the east bank of Huanghe" (Benton 2016)</t>
  </si>
  <si>
    <t>Lipovo village, PIN 3355</t>
  </si>
  <si>
    <t>type locality of Contritosaurus simus; Vetluga River</t>
  </si>
  <si>
    <t>" [...] Gor'kiy oblast, Lipovo village [...]" (Ivakhnenko, 1974). Note: former Gorki region (=oblast) now is called Nizhnii Novgorod region. The locality is upon the Vetluga River according to Spencer &amp; Benton (2000) and is in the Krasnye Baki district according to Ivakhnenko (2008). DMS coordinates are for town of Krasnye Baki.</t>
  </si>
  <si>
    <t>Sarafanikha site</t>
  </si>
  <si>
    <t>Vetluga River</t>
  </si>
  <si>
    <t>" [...] Sarafanikha site in Gor'kiy oblast [...]" (Ivakhnenko, 1974). Note: former Gorki region (=oblast) now is called Nizhnii Novgorod region. The locality is in the Krasnye Baki district according to Ivakhnenko (2008). There are two villages bearing the name Sarafanikha near the other Lower Triassic sites in the Krasnye Baki district: Nizhnyaya Sarafanikha and Verkhnyaya Sarafanikha. N. Sarafanikha is situated just NW of town of Vetluzhskii and V. Sarafanikha is just SE from town of Krasnye Baki (lateral distance about 10 km). Polar coordinates are for town of Krasnye Baki.</t>
  </si>
  <si>
    <t>Darovskoi</t>
  </si>
  <si>
    <t>Kasyanovtsy site</t>
  </si>
  <si>
    <t>Kas'yanovtsy site; Vyatka River Basin</t>
  </si>
  <si>
    <t>" [...] Kas'yanovtsy site in Kirov oblast [...]" (Ivakhnenko, 1974). Ivakhnenko (2008) states that the locality is in the Darovskoi district, which is in the NW of Kirov region. There is a small village named Kas'yanovy on the map. It well may be that "Kasyanovtsy site" refers to that place. Polar coordinates are for Kasyanovy village upon Moloma River (tributary of Vjatka River), about 6 km downstream from mouth of Vondanka River.</t>
  </si>
  <si>
    <t>Coelodontognathus</t>
  </si>
  <si>
    <t>Arkhangelskii and Sennikov</t>
  </si>
  <si>
    <t>partial skulls,vertebrae</t>
  </si>
  <si>
    <t>Mata</t>
  </si>
  <si>
    <t>Sanga do Cabral</t>
  </si>
  <si>
    <t>RincÃƒÂ£o dos Weiss</t>
  </si>
  <si>
    <t>Rincao dos Weiss; holotype site of Procolophon brasiliensis</t>
  </si>
  <si>
    <t>Outcrop "along a secondary route that crosses highway BR 287, in the locality of RincÃƒÂ£o dos Weiss, municipality of Mata" (Dias-da-Silva, 2006).\r\nCisneros &amp; Schultz (2002) give 29Ã‚Â°33'27.35"S, 53Ã‚Â°26'56.43"W as polar coordinates for the RincÃƒÂ£o dos Weiss locality. They also say that it is in the Mata municipality of Rio Grande do Sul state. This municipality, however, is situated about 100 km W from the point marked by the lat and long given by Cisneros &amp; Schultz (2002), who apparently confused the polar coordinates of RincÃƒÂ£o dos Weiss with those of the Faxinal do Soturno locality (see PBDB coll. no. 55446).\r\nPolar coordinates of present collection are based on map (fig. 2) in Langer et al. (2007, New Mexico Mus. Nat. Hist. Sci. Bull. 41).</t>
  </si>
  <si>
    <t>Dias-da-Silva et al.</t>
  </si>
  <si>
    <t>limb elements</t>
  </si>
  <si>
    <t>Kudrino village</t>
  </si>
  <si>
    <t>Yug River Basin</t>
  </si>
  <si>
    <t>Kudrino, Nikolsk District, Vologda Region (Sennikov, 2008). Polar coordinates are for village of Kudrino upon Yug River.</t>
  </si>
  <si>
    <t>Lavina</t>
  </si>
  <si>
    <t>Campo da Pedra</t>
  </si>
  <si>
    <t>holotype site of Procolophon pricei; Dilermando de Aguiar; CatuÃƒÂ§aba, Catucaba</t>
  </si>
  <si>
    <t>Approximately 15 km south of the city of Dilermando de Aguiar. Railroad cuttings of the unfinished railroad between Dilermando de Aguiar Station and the city of SÃƒÂ£o Gabriel (Lavina, 1983).</t>
  </si>
  <si>
    <t>Renesto</t>
  </si>
  <si>
    <t>Meurthe-et-Moselle</t>
  </si>
  <si>
    <t>Novikov and Orlov</t>
  </si>
  <si>
    <t>Peschanoozerskaya, borehole 23, Kolguev Island</t>
  </si>
  <si>
    <t>Kolguev-2; Kolguyev Island; Pechora Basin</t>
  </si>
  <si>
    <t>Polar coordinates are for Peschanoozerskaya area on the northeastern margin of Kolguev Island.</t>
  </si>
  <si>
    <t>Boreopricea</t>
  </si>
  <si>
    <t>Kolguev Island, borehole 35, 1543.4-1551.4 m</t>
  </si>
  <si>
    <t>Kolguyev Island; Pechora Basin</t>
  </si>
  <si>
    <t>Exact location of borehole not stated in the primary reference or elsewhere. Polar coordinates are the same as for PBDB coll. 94236.</t>
  </si>
  <si>
    <t>Tatarinov</t>
  </si>
  <si>
    <t>Kolguev Island, borehole 141</t>
  </si>
  <si>
    <t>Kolguev-11; Kolguyev Island; Pechora Basin</t>
  </si>
  <si>
    <t>Blomosaurus</t>
  </si>
  <si>
    <t>Varnavino</t>
  </si>
  <si>
    <t>Vokhma</t>
  </si>
  <si>
    <t>Anisimovo village</t>
  </si>
  <si>
    <t>"Kirov Province, Anisimovo village" (Tatarinov, 1978).\r\nAnisimovo locality, Varnavinskii Raion, Nizhegorodskaya Oblast' (Sennikov, 2008). Since the latter locality description appears to be the correct one, polar coordinates of the present collection are based on Anisimovo village upon Vetluga River.</t>
  </si>
  <si>
    <t>cast,mold/impression,concretion</t>
  </si>
  <si>
    <t>partial skulls,vertebrae,limb elements</t>
  </si>
  <si>
    <t>Fernrocks near Tafelberg Station</t>
  </si>
  <si>
    <t>Fern Rocks; ?Trollip siding</t>
  </si>
  <si>
    <t>Broom (1905, Rec. Albany Mus. 1(4)), regarding localities in the Cape Province bearing the name "Tafelberg", states that "To the south of Rosmead Junction there is a railway station of the name, and [...] Procolophon occurs in that neighbourhood, where the very fine series of specimens in the Albany Museum was procured [...]."\r\nPolar coordinates are for Farm Fern Rocks, situated about 19 km ENE from Tafelberg (which is on the railroad between Noupoort and Cradock, about 18 km SE from Rosmead) and about 42 km SE from Middelburg, Inxuba Yethemba Local Municipality, Chris Hani District Municipality, Eastern Cape Province.\r\n\r\nAdditional note: This locality may be identical to the one mentioned as "Trollip siding, near Rasmead" in Carroll and Lindsay (1985).</t>
  </si>
  <si>
    <t>Klein Vogelstruisfontein (Bethulie District)</t>
  </si>
  <si>
    <t>" [...] Kl. Vogelstruisfontein. in the district of Bethulie [...] " (Seeley, 1889). No further deatils are given. Polar coordinates are for farm Klein Vogelstruisfontein, about 25 km NW from town of Bethulie, Kopanong Local Municipality, Xhariep District Municipality, Free State.</t>
  </si>
  <si>
    <t>Meshcheryakovka I</t>
  </si>
  <si>
    <t>Mescheryakovka I; locality 37 (Tverdokhlebov et al., 2003); PIN 4400</t>
  </si>
  <si>
    <t>"Orenburg Region, 0.3 km south of Mescheryakovka village, right bank of the Donguz River (drainage basin of left bank of the Ural River)" (Tverdokhlebov et al., 2003). Polar coordinates are for Meshcheryakovka village.</t>
  </si>
  <si>
    <t>Asilisaurus</t>
  </si>
  <si>
    <t>Litumba Ndyosi (NMT Z34)</t>
  </si>
  <si>
    <t>Asilisaurus holotype</t>
  </si>
  <si>
    <t xml:space="preserve">near the town of Litumba Ndyosi, Ruhuhu Basin; small 6 meter-wide channel fill over a distance of some 10 m. </t>
  </si>
  <si>
    <t>Madhya Pradesh</t>
  </si>
  <si>
    <t>Palacrodon</t>
  </si>
  <si>
    <t>Evans and van den Heever</t>
  </si>
  <si>
    <t>vertebrae</t>
  </si>
  <si>
    <t>Nesbitt</t>
  </si>
  <si>
    <t>5:00 Quarry and surroundings, Cholla Power Plant</t>
  </si>
  <si>
    <t>MSM 99-84, 98-448, Five O'Clock Quarry</t>
  </si>
  <si>
    <t>Coordinates based upon nearby Cholla Power Plant; at least 10 localities. Nesbitt (2000) referred to a locality at Cholla Power Plant as MSM 98-448; Nesbitt (2005) referred to the 5:00 Quarry at Cholla as MSM 99-84</t>
  </si>
  <si>
    <t>MSM 02-151</t>
  </si>
  <si>
    <t>Near to I-40, mile markers 266-268</t>
  </si>
  <si>
    <t>UCMP V4607, Cameron quarry</t>
  </si>
  <si>
    <t xml:space="preserve">Coordinates based upon town of Cameron in Coconino County </t>
  </si>
  <si>
    <t>Radar Mesa</t>
  </si>
  <si>
    <t>Outcrops at the base of Radar Mesa, north of I-40 west of Winslow</t>
  </si>
  <si>
    <t>Huxley</t>
  </si>
  <si>
    <t>body,cast,mold/impression,trace</t>
  </si>
  <si>
    <t>partial skeletons,footprints</t>
  </si>
  <si>
    <t>NL</t>
  </si>
  <si>
    <t>Gelderland</t>
  </si>
  <si>
    <t>Vossenveld</t>
  </si>
  <si>
    <t>Lower Wellenkalk layer 9</t>
  </si>
  <si>
    <t>Steengroeve Winterswijk</t>
  </si>
  <si>
    <t>Winterswijkse Steen- en Kalkgroeve</t>
  </si>
  <si>
    <t>3 large limestone quarries 3 km E of Winterswijk (B.V. Winterswijksche Steen- en Kalk- groeve), near hamlet of Ratum</t>
  </si>
  <si>
    <t>Helveticosauridae</t>
  </si>
  <si>
    <t>Eusaurosphargis</t>
  </si>
  <si>
    <t>Sander et al.</t>
  </si>
  <si>
    <t>Amotosaurus</t>
  </si>
  <si>
    <t>Klein et al.</t>
  </si>
  <si>
    <t>Sarmatosuchus</t>
  </si>
  <si>
    <t>Berdyanka II (locality 32), PIN 2865</t>
  </si>
  <si>
    <t>"Orenburg region, 3.4 km south of Belyaevsky village, right tributary of the Berdyanka River (drainage basin of left bank of the Ural River)" (Tverdokhlebov et al. 2003)\r\n</t>
  </si>
  <si>
    <t>Vjushkovisaurus</t>
  </si>
  <si>
    <t>Uralosaurus</t>
  </si>
  <si>
    <t>Sol'-Iletskiy</t>
  </si>
  <si>
    <t>Karagachka (locality 34), PIN 2973</t>
  </si>
  <si>
    <t>Karagatschka</t>
  </si>
  <si>
    <t>"Orenburg Region, right bank of the Karagachka River opposite Karagachka village (drainage basin of left bank of the Ural River)" (Tverdokhlebov et al. 2003). Coordinates based upon Karagachka village</t>
  </si>
  <si>
    <t>Donguz I, PIN 952</t>
  </si>
  <si>
    <t>Locality 36; Dongus river; Perovsky settlement;</t>
  </si>
  <si>
    <t>"on the right bank of the Dongus river, (a left tributary of the Ural river) in the region of its upper part, 1 km downstream of the large Perovsky settlement, Sol-Iletzk district, Chkalov region...the Perovsky settlement is located about 30 km E of the Mayatchnaya station, Tashkent railway, and 45-50 km SE of the Chkalov town." (Efremov, 1940).\r\n"Orenburg Region, 1 km NW of Perovka village, right bank of the Donguz River (drainage basin of left bank of the Ural River)" (Tverdokhlebov et al., 2003).\r\n\r\nSchoch &amp; Milner (2000) refer to this site as "Donguz XII" but this appears to be an error \r\n\r\nImportant notes: Original collection name &gt;&gt;Dongus River (Vetluga Horizon)&lt;&lt; ist altered according to official PIN locality name in Tverdokhlebov et al. (2003). This is important since there are some further localities upon the Donguz River which are within stratigraphic levels considerably different from that of the present collection.\r\nState/Province name &gt;&gt;Chkalov Region&lt;&lt; is replaced by the name now used for the former Chkalov Oblast. Polar coordinates (originally 53Ã‚Â°N 55Ã‚Â°E, based on city of Sol'-Iletsk) are rendered more precisely and now are based upon village of Perovka (TL).</t>
  </si>
  <si>
    <t>Bukobay VII, Belyaevsky I</t>
  </si>
  <si>
    <t>Locality 31</t>
  </si>
  <si>
    <t>"6 km ENE of Belyaevsky village, right bank of the Bukobay ravine (drainage basin of left bank of the Ural River)"</t>
  </si>
  <si>
    <t>Dongusuchus</t>
  </si>
  <si>
    <t>Bukobay I</t>
  </si>
  <si>
    <t>Berdyanka River; coordinates estimated using map provided by Tverdokhlebov et al. (2003) for other Bukobay sites</t>
  </si>
  <si>
    <t>Malutinisuchus</t>
  </si>
  <si>
    <t>Bukobay V, Belyaevsky I</t>
  </si>
  <si>
    <t>Locality 30</t>
  </si>
  <si>
    <t>"7.5 km east of Belyaevsky village, right bank of the Bukobay ravine (drainage basin of left bank of the Ural River)"</t>
  </si>
  <si>
    <t>Starokoltaevo III (Locality 10)</t>
  </si>
  <si>
    <t>Koltayevo III</t>
  </si>
  <si>
    <t>"Bashkortostan. 7.5 km NE of Oktyabrsky town, 2 km west Starokoltaevo village, right bank of the Bolshoy Yushatir River (Sakmara drainage basin)"</t>
  </si>
  <si>
    <t>Lotosaurus</t>
  </si>
  <si>
    <t>Hunan</t>
  </si>
  <si>
    <t>Sangzhi</t>
  </si>
  <si>
    <t>Xinlingzhen</t>
  </si>
  <si>
    <t>Badong</t>
  </si>
  <si>
    <t>Zhang</t>
  </si>
  <si>
    <t>Furongqiao, Sangzhi</t>
  </si>
  <si>
    <t>Lotosaurus holotype site</t>
  </si>
  <si>
    <t>Hubei</t>
  </si>
  <si>
    <t>Yuanan</t>
  </si>
  <si>
    <t>Liu and Wang</t>
  </si>
  <si>
    <t>Maopingchang</t>
  </si>
  <si>
    <t>Worcestershire</t>
  </si>
  <si>
    <t>Finstall</t>
  </si>
  <si>
    <t>Hilltop quarries, Wilcox S. Quarry, Griffin's S. Quarry</t>
  </si>
  <si>
    <t>"Three quarries near Hilltop Hospital, on Breakback or Rock Hill (SO 948698)" (Benton &amp; Spencer 1995); "specimens are labelled as having come from Wilcox S. Quarry" (Benton et al. 1994)</t>
  </si>
  <si>
    <t>Benton and Gower</t>
  </si>
  <si>
    <t>Falang</t>
  </si>
  <si>
    <t>Wusha</t>
  </si>
  <si>
    <t>Zhuganpo</t>
  </si>
  <si>
    <t>Rieppel et al.</t>
  </si>
  <si>
    <t>Nimaigu Village</t>
  </si>
  <si>
    <t>Nimaigu Village, Wusha District, Xingyi City; coordinates based on Xingyi</t>
  </si>
  <si>
    <t>Bernburg</t>
  </si>
  <si>
    <t>WipperbrÃƒÂ¼cke, Parforcehaus</t>
  </si>
  <si>
    <t>Mesorhinus holotype site</t>
  </si>
  <si>
    <t xml:space="preserve">Specimen was found in collections of the University of GÃƒÂ¶ttingen, with the label "Trematosaurus, lower Buntsandstein of Bernburg". Jaekel (1910) claimed to have been able to match the sediment to a horizon at the WipperbrÃƒÂ¼cke/Parforcehaus SW of Bernburg, with the help of local quarry owner Mr Merkel. However, the specimen was destroyed by fire near the end of World War II, and recent workers have questioned the locality data. </t>
  </si>
  <si>
    <t>Guangxi</t>
  </si>
  <si>
    <t>Jialingjiang</t>
  </si>
  <si>
    <t>Favret</t>
  </si>
  <si>
    <t>Fossil Hill</t>
  </si>
  <si>
    <t>Grenzbitumenzone</t>
  </si>
  <si>
    <t>Xilousuchus</t>
  </si>
  <si>
    <t>Wu</t>
  </si>
  <si>
    <t>Hazhen Commune</t>
  </si>
  <si>
    <t>Coordinates estimated based upon Hazhen, NE Shaanxi (see Nesbitt et al. 2011: fig. 1), and taken from Google Earth</t>
  </si>
  <si>
    <t>Ilekskii</t>
  </si>
  <si>
    <t>Rassypnaya locality, PIN 951</t>
  </si>
  <si>
    <t>Vjushkovia type locality</t>
  </si>
  <si>
    <t>Coordinates based on the city of Orenburg</t>
  </si>
  <si>
    <t>II</t>
  </si>
  <si>
    <t>Qianxinan</t>
  </si>
  <si>
    <t>Wusha, Xingyi (IVPP collection)</t>
  </si>
  <si>
    <t>Wusha town, Xingyi city, Guizhou</t>
  </si>
  <si>
    <t>da-Rosa et al.</t>
  </si>
  <si>
    <t>SÃƒÂ­tio Bica SÃƒÂ£o TomÃƒÂ© 3</t>
  </si>
  <si>
    <t>"set of six outcrops adjacent to the state highway RS241 between the cities of SÃƒÂ£o Vicente do Sul and SÃƒÂ£o Francisco de Assis, and 6 km southeast of the latter"; these six outcrops are numbered 1-6 and three of them yield vertebrate material</t>
  </si>
  <si>
    <t>SÃƒÂ­tio Bica SÃƒÂ£o TomÃƒÂ© 4</t>
  </si>
  <si>
    <t>SÃƒÂ­tio Bica SÃƒÂ£o TomÃƒÂ© 5</t>
  </si>
  <si>
    <t>Barberenasuchus</t>
  </si>
  <si>
    <t>Mattar</t>
  </si>
  <si>
    <t>Baum-Sanga (excavation 45), ChiniquÃƒÂ¡</t>
  </si>
  <si>
    <t xml:space="preserve">vicinity of ChiniquÃƒÂ¡ (XiniquÃƒÂ¡), W of Santa Maria, Rio Grande do Sul, Parana Basin; Langer et al. (2007) show the locality to be approximately 12-15 km west of Sao Pedro do Sul. "Grabung 45" = excavation 45. </t>
  </si>
  <si>
    <t>Cynodontier-Sanga (excavation 41), ChiniquÃƒÂ¡</t>
  </si>
  <si>
    <t>vicinity of ChiniquÃƒÂ¡ (XiniquÃƒÂ¡), W of Santa Maria, Rio Grande do Sul, Parana Basin. This collection represents material grouped together by Huene as "Grabung 41"</t>
  </si>
  <si>
    <t>Cynodontier-Sanga (excavation 39), ChiniquÃƒÂ¡</t>
  </si>
  <si>
    <t>vicinity of ChiniquÃƒÂ¡ (XiniquÃƒÂ¡), W of Santa Maria, Rio Grande do Sul, Parana Basin. This collection represents material grouped together by Huene as "Grabung 39"</t>
  </si>
  <si>
    <t>Cynodontier-Sanga (Fundgruppe 1049), ChiniquÃƒÂ¡</t>
  </si>
  <si>
    <t>vicinity of ChiniquÃƒÂ¡ (XiniquÃƒÂ¡), W of Santa Maria, Rio Grande do Sul, Parana Basin. This collection represents material grouped together by Huene as "Fundgruppe 1049"</t>
  </si>
  <si>
    <t>Cynodontier-Sanga (Fundgruppe 1063), ChiniquÃƒÂ¡</t>
  </si>
  <si>
    <t>vicinity of ChiniquÃƒÂ¡ (XiniquÃƒÂ¡), W of Santa Maria, Rio Grande do Sul, Parana Basin. This collection represents material grouped together by Huene as "Fundgruppe 1063"</t>
  </si>
  <si>
    <t>Halazhaisuchus</t>
  </si>
  <si>
    <t>Fugu, Shansi (Shaanxi); Shan-Gan-Ning Basin</t>
  </si>
  <si>
    <t>Yuan'an</t>
  </si>
  <si>
    <t>Third</t>
  </si>
  <si>
    <t>Nicoraella kockeli</t>
  </si>
  <si>
    <t>Shansisuchus</t>
  </si>
  <si>
    <t>upper</t>
  </si>
  <si>
    <t>Peipanching Shihpi 5523, Wuhsiang-YÃƒÂ¼she area</t>
  </si>
  <si>
    <t>Peipangting, Shituo Beipanding, Shibi</t>
  </si>
  <si>
    <t>From the "Wusiang-YÃƒÂ¼she area" according to Young (1963). Coordinates estimated from map provided by Young (1964: fig. 62) = Shituo Beipanding</t>
  </si>
  <si>
    <t>Chungchokou 5534, Wuhsiang-YÃƒÂ¼she area</t>
  </si>
  <si>
    <t>Chung-Chue-kou</t>
  </si>
  <si>
    <t xml:space="preserve">From the "Wusiang-YÃƒÂ¼she area" according to Young (1963). "Chung-Chue-kou N. of Changtsunkou" according to Young (1964). Coordinates estimated from map provided by Young (1964: fig. 62) </t>
  </si>
  <si>
    <t>Niukouho 5535, Lotzeyue, Wuhsiang</t>
  </si>
  <si>
    <t>Niukouyue</t>
  </si>
  <si>
    <t xml:space="preserve">From the "Wusiang-YÃƒÂ¼she area" according to Young (1963), and "north of Lotseyue" according to Young (1964). Coordinates estimated from map provided by Young (1964: fig. 62). </t>
  </si>
  <si>
    <t>partial skulls,postcrania</t>
  </si>
  <si>
    <t>Hsishihwa 56173, Lotzeyue, Wuhsiang</t>
  </si>
  <si>
    <t>Louzeyu</t>
  </si>
  <si>
    <t>From the "Wusiang-YÃƒÂ¼she area" according to Young (1963). Coordinates estimated from map provided by Young (1964: fig. 62) = Wuxiang, Jingle, Ningwu, Xingxian</t>
  </si>
  <si>
    <t>Prolacertoides</t>
  </si>
  <si>
    <t>Lootsbergian</t>
  </si>
  <si>
    <t>Dongxiaolongkou</t>
  </si>
  <si>
    <t>Jimsar</t>
  </si>
  <si>
    <t>Coordinates based upon collection 93419, also from the Jimsar area</t>
  </si>
  <si>
    <t>Guchengosuchus</t>
  </si>
  <si>
    <t>Peng</t>
  </si>
  <si>
    <t>Gucheng, Fugu</t>
  </si>
  <si>
    <t>Gucheng, Fugu County, Shaanxi Province; coordinates based upon nearby PBDB locality 100138</t>
  </si>
  <si>
    <t>Youngosuchus</t>
  </si>
  <si>
    <t>Tananwa, 5526, Wuhsiang-YÃƒÂ¼she area</t>
  </si>
  <si>
    <t xml:space="preserve">"Tananwa, S W Tungho tsun" according to Young (1964). Coordinates estimated from map provided by Young (1964: fig. 62) </t>
  </si>
  <si>
    <t>Hsiaotukou, 5674, Wuhsiang-YÃƒÂ¼she area</t>
  </si>
  <si>
    <t xml:space="preserve">"Hsiaotukou, Ningchiao Yueshe" according to Young (1964). Coordinates estimated from map provided by Young (1964: fig. 62) </t>
  </si>
  <si>
    <t>Tsaikou, 56153, Wuhsiang-YÃƒÂ¼she area</t>
  </si>
  <si>
    <t xml:space="preserve">"Tsaikou, S E Touchuekou" according to Young (1964). Coordinates estimated from map provided by Young (1964: fig. 62) </t>
  </si>
  <si>
    <t>Tanankou, 56155, Wuhsiang-YÃƒÂ¼she area</t>
  </si>
  <si>
    <t xml:space="preserve">"Tanankou E. of Liuchiashan" according to Young (1964). Coordinates estimated from map provided by Young (1964: fig. 62) </t>
  </si>
  <si>
    <t>Shihketung, 56159, Wuhsiang-YÃƒÂ¼she area</t>
  </si>
  <si>
    <t xml:space="preserve">"Shihketung, Lotzeyue" according to Young (1964). Coordinates estimated from map provided by Young (1964: fig. 62) </t>
  </si>
  <si>
    <t>Sanchiawa, 56172, Wuhsiang-YÃƒÂ¼she area</t>
  </si>
  <si>
    <t xml:space="preserve">"Shanchiawa, N. Shensitzun" according to Young (1964). Coordinates estimated from map provided by Young (1964: fig. 62) </t>
  </si>
  <si>
    <t>Ningwu</t>
  </si>
  <si>
    <t>Sunchiakou, Nwc E. V., Ehrmayin Ningwu</t>
  </si>
  <si>
    <t>Coordinates based upon the town of Ningwu</t>
  </si>
  <si>
    <t>Hutaikou, 56160, Nwc E. D., Tachang</t>
  </si>
  <si>
    <t>Dachang, Ningwu, Taichang, Hutaigou</t>
  </si>
  <si>
    <t>Coordinates based upon the nearby locality PBDB 101165 = Hutaigou, Dachang, Ningwu, Zhangcungou, Wuxiang</t>
  </si>
  <si>
    <t>Kuanwukou, Chinglo</t>
  </si>
  <si>
    <t>Coordinates based upon the nearby locality PBDB 101165</t>
  </si>
  <si>
    <t>Heiyukou, 60116, Shinghsien</t>
  </si>
  <si>
    <t>Cheng</t>
  </si>
  <si>
    <t>Hejiachuan, Shenmu</t>
  </si>
  <si>
    <t>Fugusuchus</t>
  </si>
  <si>
    <t>Gaoshiya, Fugu</t>
  </si>
  <si>
    <t>Batrachotomus</t>
  </si>
  <si>
    <t>estuary/bay</t>
  </si>
  <si>
    <t>Hohenlohekreis</t>
  </si>
  <si>
    <t>Upper Lettenkeuper</t>
  </si>
  <si>
    <t>Gower</t>
  </si>
  <si>
    <t>Kupferzell bonebed</t>
  </si>
  <si>
    <t>Kupferzell-Bauersbach</t>
  </si>
  <si>
    <t xml:space="preserve">"Locality discovered by J. G. Wegele in 1977 after the fossiliferous strata were exposed during construction of the Autobahn between NÃƒÂ¼rnberg and Heilbronn (Bundesautobahn A6, between km 674.5 and 674.8)" (Gower 1999:4-5). Coordinates given by Gower (1999)  </t>
  </si>
  <si>
    <t>SchwÃƒÂ¤bisch Hall</t>
  </si>
  <si>
    <t>Gower and Schoch</t>
  </si>
  <si>
    <t>Vellberg-Eschenau</t>
  </si>
  <si>
    <t>Schumann Quarry</t>
  </si>
  <si>
    <t>"Schumann" quarry, near Vellberg-Eschenau; Coordinates estimated from Google Earth image of quarries close to Vellberg and Eschenau</t>
  </si>
  <si>
    <t>Crailsheim</t>
  </si>
  <si>
    <t xml:space="preserve">Quarry at Crailsheim. Coordinates based upon the town of Crailsheim. </t>
  </si>
  <si>
    <t>Cheng et al.</t>
  </si>
  <si>
    <t>Jiang et al.</t>
  </si>
  <si>
    <t>Near Yangjuan Village</t>
  </si>
  <si>
    <t>Calw</t>
  </si>
  <si>
    <t>Opolskie</t>
  </si>
  <si>
    <t>Gogolin</t>
  </si>
  <si>
    <t>Myophoria vulgaris</t>
  </si>
  <si>
    <t>Krappitz</t>
  </si>
  <si>
    <t>Krapkowice</t>
  </si>
  <si>
    <t>from Krappitz (Krapkowice), Upper Silesia</t>
  </si>
  <si>
    <t>Stenaulorhynchus</t>
  </si>
  <si>
    <t>Iringa</t>
  </si>
  <si>
    <t>Njalila, Loc. B11</t>
  </si>
  <si>
    <t>Locality B11 of Stockley (see Stockley 1932. Quart. J. Geol. Soc. Lond. 88:610)</t>
  </si>
  <si>
    <t>Stagonosuchus</t>
  </si>
  <si>
    <t>B29, between Gingama and Tschikonge</t>
  </si>
  <si>
    <t>Between Gingama and Tschikonge (see Stockley 1932. Quart. J. Geol. Soc. Lond. 88:610); specimens collected as float over an area of "less than half an acre"</t>
  </si>
  <si>
    <t>Ruhuhuaria</t>
  </si>
  <si>
    <t>Tsuji et al.</t>
  </si>
  <si>
    <t>Sereno and Arcucci</t>
  </si>
  <si>
    <t>Los Chanares locality</t>
  </si>
  <si>
    <t>3 km north branch of the Chanares River and 5 km southwest of the Puerta de Talampaya</t>
  </si>
  <si>
    <t>Desojo and Arcucci</t>
  </si>
  <si>
    <t>Arcucci and Marsicano</t>
  </si>
  <si>
    <t>Agua Escondida</t>
  </si>
  <si>
    <t>Big bend of the Rio Gualo, near Agua Escondida</t>
  </si>
  <si>
    <t>Rio ChaÃƒÂ±ares</t>
  </si>
  <si>
    <t>Chanares</t>
  </si>
  <si>
    <t>partial skeletons,skulls</t>
  </si>
  <si>
    <t>Maluti-A-Phofung</t>
  </si>
  <si>
    <t>Normandien</t>
  </si>
  <si>
    <t>Harrismith</t>
  </si>
  <si>
    <t>Lystrosaurus Assemblage Zone</t>
  </si>
  <si>
    <t>Kitching</t>
  </si>
  <si>
    <t>Harrismith Commonage</t>
  </si>
  <si>
    <t>"Old Brickfield" Donga</t>
  </si>
  <si>
    <t>"Low relief with small, scanty, but very productive exposures in the 'Old Brickfield' donga or gully and in a number of places on the Forestry Department lnad along the base of Platberg. Small exposures also occur next to the Wilge River and on the slopes of Queen's Hill" (Kitching 1977:93). \r\nPolar coordinates are for the town of Harrismith. Maluti-A-Phofung is the name now used for the former Harrismith municipality</t>
  </si>
  <si>
    <t>Prolacerta</t>
  </si>
  <si>
    <t>Modesto and Sues</t>
  </si>
  <si>
    <t>Proterosuchus</t>
  </si>
  <si>
    <t>Aenigmasaurus</t>
  </si>
  <si>
    <t>Farm Fairydale, Bethulie</t>
  </si>
  <si>
    <t>Farm Fairydale, near to Bethulie; coordinates based upon the town of Bethulie</t>
  </si>
  <si>
    <t>Brasinorhynchus</t>
  </si>
  <si>
    <t>Bom Retiro do Sul</t>
  </si>
  <si>
    <t>Schultz et al.</t>
  </si>
  <si>
    <t>Porto Mariante</t>
  </si>
  <si>
    <t>Graphite Peak (Fremouw Fm.)</t>
  </si>
  <si>
    <t>In the primary reference (Colbert &amp; Kitching, 1975) they say that the locality is 172Ã‚Â°30'W. but in Retallack &amp; Krull (1997, Antarctic J. Rev.) and Collinson et al. (2006, GSA Bull. 118(5/6) fig. 3) it is shown that in reality it is located about 172Ã‚Â°30'E.</t>
  </si>
  <si>
    <t>Drakensburg</t>
  </si>
  <si>
    <t>Broom and Robinson</t>
  </si>
  <si>
    <t>Honingkrans, Burgersdorp</t>
  </si>
  <si>
    <t>Heuningkrans</t>
  </si>
  <si>
    <t>"Low relief with small exposures next to the Orange River" (Kitching 1977:93). Coordinates based upon Burgersdorp</t>
  </si>
  <si>
    <t>Big Bank, Harrismith</t>
  </si>
  <si>
    <t>UCMP V36115</t>
  </si>
  <si>
    <t>"Single large exposure in the bank of the stream...one mile east of the town of Harrismith, below the municipality damn" (Kitching 1977:89). Coordinates based upon Harrismith</t>
  </si>
  <si>
    <t>Queen's Hill, Harrismith</t>
  </si>
  <si>
    <t>Queens Hill</t>
  </si>
  <si>
    <t>Coordinates based upon Harrismith</t>
  </si>
  <si>
    <t>Rietport, Dewetsdorp</t>
  </si>
  <si>
    <t>Rietpoort</t>
  </si>
  <si>
    <t>Coordinates based upon Dewetsdorp</t>
  </si>
  <si>
    <t>Hoffman</t>
  </si>
  <si>
    <t>Zeekoeigat, Venterstad</t>
  </si>
  <si>
    <t>Coordinates based upon town of Venterstad</t>
  </si>
  <si>
    <t>Phonodus</t>
  </si>
  <si>
    <t>Noupoort</t>
  </si>
  <si>
    <t>Bergendal Farm</t>
  </si>
  <si>
    <t>Farm Bergendal, Noupoort district; coordinates based upon Noupoort</t>
  </si>
  <si>
    <t>Cynognathus subzone B</t>
  </si>
  <si>
    <t>Brink</t>
  </si>
  <si>
    <t>McKay's Neck, Lady Frere</t>
  </si>
  <si>
    <t xml:space="preserve">"McKays neck on the road to Lady Frere". Coordinates based upon the town of Lady Frere. </t>
  </si>
  <si>
    <t>northwestern Slope Lihandje Mountains/Njalila</t>
  </si>
  <si>
    <t>northwestern Slope Lihandje Mountains/Njalila; estimated from map in Stockley (1932: Q. J. Geol. Soc. 88: 610)</t>
  </si>
  <si>
    <t>Ticinosuchus</t>
  </si>
  <si>
    <t>Krebs</t>
  </si>
  <si>
    <t>Val Porina (Sasso)</t>
  </si>
  <si>
    <t>Valporina; Valle Porina; Monte San Giorgio</t>
  </si>
  <si>
    <t>The Cava (or Miniera) della Val Porina is an abandoned mine in the Porina Valley about 1 km SW of the peak of Mte. S. Giorgio.\r\n</t>
  </si>
  <si>
    <t>Arcucci</t>
  </si>
  <si>
    <t>Sanga am Weg, Fundgruppe 34</t>
  </si>
  <si>
    <t>Weg-Sanga</t>
  </si>
  <si>
    <t>vicinity of ChiniquÃƒÂ¡ (XiniquÃƒÂ¡), W of Santa Maria, Rio Grande do Sul, Parana Basin; Langer et al. (2007) show the ChiniquÃƒÂ¡ localities (including am Weg, Cynodontier, Baum, sÃƒÂ¼dlich des Weges and Cezar Sangas) to be approximately 12-15 km west of Sao Pedro do Sul.</t>
  </si>
  <si>
    <t>Sanga am Weg, Fundgruppe 35</t>
  </si>
  <si>
    <t>Procerosuchus</t>
  </si>
  <si>
    <t>Sanga am Weg, Fundgruppe 37</t>
  </si>
  <si>
    <t>Augustaburiania</t>
  </si>
  <si>
    <t>RÃƒÂ¶t</t>
  </si>
  <si>
    <t>Archeopelta</t>
  </si>
  <si>
    <t>SÃƒÂ£o Pedro do Sul</t>
  </si>
  <si>
    <t>Desojo et al.</t>
  </si>
  <si>
    <t>Sanga da Arvore, Baum-Sanga, XiniquÃƒÂ¡</t>
  </si>
  <si>
    <t>Archaeopelta holotype</t>
  </si>
  <si>
    <t xml:space="preserve">vicinity of XiniquÃƒÂ¡, W of Santa Maria, Rio Grande do Sul, Parana Basin; this is the same site as "Baum-Sanga" of von Huene; Langer et al. (2007) show the locality to be approximately 12-15 km west of Sao Pedro do Sul. </t>
  </si>
  <si>
    <t>GÃƒÂ¶ttingen</t>
  </si>
  <si>
    <t>Fuyuan</t>
  </si>
  <si>
    <t>Jiyangshan, Huabi</t>
  </si>
  <si>
    <t>Jiyangshan, near Huabi, Fuyuan County, Yunnan Province. Coordinates based on Huabi</t>
  </si>
  <si>
    <t>Meride</t>
  </si>
  <si>
    <t>Lower Cava Inferiore beds</t>
  </si>
  <si>
    <t>Val Serrata Tanystropheus</t>
  </si>
  <si>
    <t>shown on map as within Val Serrata about half-way between Monte San Giorgio and Meride (coordinate is an average of those for the latter two)</t>
  </si>
  <si>
    <t>Wu et al.</t>
  </si>
  <si>
    <t>Jesairosaurus</t>
  </si>
  <si>
    <t>DZ</t>
  </si>
  <si>
    <t>Illizi</t>
  </si>
  <si>
    <t>Lower ZarzaÃƒÂ¯tine</t>
  </si>
  <si>
    <t>ZarzaÃƒÂ¯tine</t>
  </si>
  <si>
    <t>Lower Sandstone</t>
  </si>
  <si>
    <t>Jalil</t>
  </si>
  <si>
    <t>Gour Laoud, locality 5003, base of Lower Sandstones</t>
  </si>
  <si>
    <t>Coordinates for Gour Laoud estimated from map in Jalil et al. (1995: Neues Jarhbuch Mh 173-181)</t>
  </si>
  <si>
    <t>Decuriasuchus</t>
  </si>
  <si>
    <t>Franca et al.</t>
  </si>
  <si>
    <t>Posto de Gasolina, site A</t>
  </si>
  <si>
    <t>Decuriasuchus site</t>
  </si>
  <si>
    <t>200 m north of RS 348, within the western outskirts of Dona Francisca</t>
  </si>
  <si>
    <t>Posto de Gasolina, site B</t>
  </si>
  <si>
    <t xml:space="preserve">200 m north of RS 348, within the western outskirts of Dona Francisca. </t>
  </si>
  <si>
    <t>Luoping</t>
  </si>
  <si>
    <t>Coordinates given as N24Ã‚Â°46' 46.8''N, 104Ã‚Â°19'40.6''E (quarry 1) in Feldmann et al., 2016</t>
  </si>
  <si>
    <t>Saurosphargidae</t>
  </si>
  <si>
    <t>Sinosaurosphargis</t>
  </si>
  <si>
    <t>Yangmazhai, Luoping County</t>
  </si>
  <si>
    <t>Ctenosauriscus</t>
  </si>
  <si>
    <t>Trendelburg/Karlshafen Beds</t>
  </si>
  <si>
    <t>Bremketal, east of Reinhausen</t>
  </si>
  <si>
    <t>Bremke dell</t>
  </si>
  <si>
    <t>Bremke dell (= Ã¢Â€ÂœBremketalÃ¢Â€Â; probably from one of the former sandstone quarries Ã¢Â€ÂœImmen-BergÃ¢Â€Â and Ã¢Â€ÂœGrosser HauÃ¢Â€Â), east of the village of Reinhausen, approximately 10 km southeast of GÃƒÂ¶ttingen, GÃƒÂ¶ttingen district, Niedersachsen (Lower Saxony), northern Germany (approximate coordinates: 51Ã‚Â°27Ã¢Â€Â™54.44Ã¢Â€Â™Ã¢Â€Â™Ã‚Â N, 10Ã‚Â°00Ã¢Â€Â™39.84Ã¢Â€Â™Ã¢Â€Â™ E) (see Butler et al. 2011)</t>
  </si>
  <si>
    <t>body,mold/impression,soft parts</t>
  </si>
  <si>
    <t>Cosesaurus</t>
  </si>
  <si>
    <t>ES</t>
  </si>
  <si>
    <t>Tarragona</t>
  </si>
  <si>
    <t>Via et al.</t>
  </si>
  <si>
    <t>Montral-Alcover quarries</t>
  </si>
  <si>
    <t>Quarries opened in the lithographic limestone between the towns of Montral and Alcover</t>
  </si>
  <si>
    <t>Toroni</t>
  </si>
  <si>
    <t>Vytshegdosuchus</t>
  </si>
  <si>
    <t>Hupehsuchidae</t>
  </si>
  <si>
    <t>Hupehsuchus</t>
  </si>
  <si>
    <t>Nanzhang</t>
  </si>
  <si>
    <t>Carroll and Dong</t>
  </si>
  <si>
    <t>Xunjian, Nanzhang</t>
  </si>
  <si>
    <t>Nanchang, Hupehsuchus type</t>
  </si>
  <si>
    <t>Xunjian Commune, Nanzhang (Nanchang) county</t>
  </si>
  <si>
    <t>body,cast,adpression</t>
  </si>
  <si>
    <t>Galesphyrus</t>
  </si>
  <si>
    <t>Oorlog's Kloof, Calvinia</t>
  </si>
  <si>
    <t>Oorlogskloof</t>
  </si>
  <si>
    <t>Oorlog's Kloof (Oorlogskloof), Calvinia</t>
  </si>
  <si>
    <t>Meerderwyk, Colesberg</t>
  </si>
  <si>
    <t>Meerderyk</t>
  </si>
  <si>
    <t>Meerderwyk (Meerderyk), Colesberg</t>
  </si>
  <si>
    <t>Waldshut</t>
  </si>
  <si>
    <t>Waldhaus brewery</t>
  </si>
  <si>
    <t>Temporary pit created during the building of an extension to the Waldhaus brewery, Waldshut district, Baden-WÃƒÂ¼rttemberg, southwest Germany</t>
  </si>
  <si>
    <t>Tasmaniosaurus</t>
  </si>
  <si>
    <t>Tasmania</t>
  </si>
  <si>
    <t>Hobart</t>
  </si>
  <si>
    <t>Knocklofty</t>
  </si>
  <si>
    <t>Poets Road Siltstone</t>
  </si>
  <si>
    <t>Camp and Banks</t>
  </si>
  <si>
    <t>Crisp &amp; Gunns Quarry, Head of Arthur Street</t>
  </si>
  <si>
    <t>Tasmaniosaurus holotype</t>
  </si>
  <si>
    <t xml:space="preserve">quarry at the head of Arthur Street, West Hobart. Coordinates estimated from Google Earth and map in Camp &amp; Banks (1978:fig. 1). </t>
  </si>
  <si>
    <t>partial skulls</t>
  </si>
  <si>
    <t>Thulborn</t>
  </si>
  <si>
    <t>Duckworth Creek, SW of Bluff, QML 215</t>
  </si>
  <si>
    <t>AAW field locality Q6, QM L215</t>
  </si>
  <si>
    <t>Headwaters of Duckworth Creek, southwest of Bluff</t>
  </si>
  <si>
    <t>Kalisuchus</t>
  </si>
  <si>
    <t>Wheatlands, Tarkastad</t>
  </si>
  <si>
    <t>Proterosuchus holotype</t>
  </si>
  <si>
    <t>Farm Wheatlands, neat Tarkastad. Coordinates based on Tarkastad</t>
  </si>
  <si>
    <t>Lejweleputswa</t>
  </si>
  <si>
    <t>Ezcurra and Butler</t>
  </si>
  <si>
    <t>Kruisvlei 279, east of Winburg</t>
  </si>
  <si>
    <t>Coordinates based upon town of Winburg</t>
  </si>
  <si>
    <t>Broili and SchrÃƒÂ¶der</t>
  </si>
  <si>
    <t>Rietfontein, bank of Caledon River</t>
  </si>
  <si>
    <t>Bank of Caledon river between Bethulie and Aliwal North.</t>
  </si>
  <si>
    <t>Cruickshank</t>
  </si>
  <si>
    <t>Nooitgedacht 68, Bethulie</t>
  </si>
  <si>
    <t>Coordinates based on town of Bethulie</t>
  </si>
  <si>
    <t>Welman</t>
  </si>
  <si>
    <t>Visgat, Conway, Middelburg</t>
  </si>
  <si>
    <t>Coordinates based upon town of Conway</t>
  </si>
  <si>
    <t>Ruygte Valley 321, Middelburg</t>
  </si>
  <si>
    <t>West Bengal</t>
  </si>
  <si>
    <t>Panchet</t>
  </si>
  <si>
    <t>Satsangi</t>
  </si>
  <si>
    <t>Left bank river Damodar</t>
  </si>
  <si>
    <t>Left bank of the river Damodar near the railway bridge about 3/4 mile east of Deoli</t>
  </si>
  <si>
    <t>Hungshanting, Hotung, Jimsar area</t>
  </si>
  <si>
    <t>Jimusar</t>
  </si>
  <si>
    <t>Hungshanting, Hotung, upper part of Shoufangkou, Talungkou, Jimsar/Jimusar (formerly FÃƒÂ¼yuan). Field number 600068\r\nCoordinates based upon collection 93419, also from the Jimsar area.</t>
  </si>
  <si>
    <t>Collilongus</t>
  </si>
  <si>
    <t>BorsukBiaynicka and Sennikov</t>
  </si>
  <si>
    <t>Gansurhinus</t>
  </si>
  <si>
    <t>Naobaogou</t>
  </si>
  <si>
    <t>Baotou Captorhinid Site (Naobaogou Fm.)</t>
  </si>
  <si>
    <t>Map in Liu &amp; Abdala (2017)</t>
  </si>
  <si>
    <t>Largocephalosaurus</t>
  </si>
  <si>
    <t>Luoping area, upper member of Guanling Formation limestone (middle Anisian)</t>
  </si>
  <si>
    <t>Taken Google Earth centroid for Luoping</t>
  </si>
  <si>
    <t>Western side of Huangnihe RIver, Fuyuan County</t>
  </si>
  <si>
    <t>Used Google Earth centroid for Fuyuan</t>
  </si>
  <si>
    <t>Diandongosuchus</t>
  </si>
  <si>
    <t>Nesbitt and Butler</t>
  </si>
  <si>
    <t>Eifelosaurus</t>
  </si>
  <si>
    <t>Rheinland-Pfalz</t>
  </si>
  <si>
    <t>Vulkaneifel</t>
  </si>
  <si>
    <t>Oberbettingen bei Hillesheim, Eifelosaurus holotype</t>
  </si>
  <si>
    <t xml:space="preserve">Based on coordinates for town of Oberbettingen - no more precise locality details provided. </t>
  </si>
  <si>
    <t>West Pomerania</t>
  </si>
  <si>
    <t>Sawno</t>
  </si>
  <si>
    <t>Lower Buntsandstein</t>
  </si>
  <si>
    <t>RÃƒÂ¼genwalde (Darowo) borehole</t>
  </si>
  <si>
    <t>Collected from a borehole close to the town of Darowo (Polish)/RÃƒÂ¼genwalde (German), in the West Pomerania region of Poland</t>
  </si>
  <si>
    <t>Freudenstadt</t>
  </si>
  <si>
    <t>Violet Horizon 5</t>
  </si>
  <si>
    <t>Fraser and Rieppel</t>
  </si>
  <si>
    <t>Baugrube Kappler, SchillerstraÃƒÂŸe, Pfalzgrafenweiler</t>
  </si>
  <si>
    <t>Ortlam</t>
  </si>
  <si>
    <t>KÃƒÂ¶ssig quarry, Rotfelden</t>
  </si>
  <si>
    <t>Trachelosauridae</t>
  </si>
  <si>
    <t>Trachelosaurus</t>
  </si>
  <si>
    <t>Salzlandkreis</t>
  </si>
  <si>
    <t>Chirotherium Sandstone</t>
  </si>
  <si>
    <t>Broili and Fischer</t>
  </si>
  <si>
    <t>Merkel's Quarry (upper), Bernburg</t>
  </si>
  <si>
    <t>Quarry belonging to a Herr O. Merkel in the region of Bamburg</t>
  </si>
  <si>
    <t>Anton Chico</t>
  </si>
  <si>
    <t>Schoch et al.</t>
  </si>
  <si>
    <t>Anton Chico localities, NM</t>
  </si>
  <si>
    <t xml:space="preserve">The specimens described by these authors were collected at numerous individual localities over a broad area (approx 30 km by 15 km) in San Miguel and Guadalupe counties, near to town of Anton Chico. Unfortunately, published descriptions do not indicate which specimens were collected from which individual localities (nor is this information currently available in the NMMNH online database) and so the entire area is currently entered as a single locality </t>
  </si>
  <si>
    <t>Eomurruna</t>
  </si>
  <si>
    <t>Hamley et al.</t>
  </si>
  <si>
    <t>Mesodapedon</t>
  </si>
  <si>
    <t>Darapur</t>
  </si>
  <si>
    <t>Near the village Darapur</t>
  </si>
  <si>
    <t>Nyasasaurus</t>
  </si>
  <si>
    <t>Cynognathus Subzone C</t>
  </si>
  <si>
    <t>Parrington locality B36, near Mkongoleko</t>
  </si>
  <si>
    <t>B27, Gingama</t>
  </si>
  <si>
    <t>B27, near Gingama (see Stockley 1932. Quart. J. Geol. Soc. Lond. 88:610)</t>
  </si>
  <si>
    <t>B10, Stockley</t>
  </si>
  <si>
    <t>Locality B10 of Stockley (see Stockley 1932. Quart. J. Geol. Soc. Lond. 88:610)</t>
  </si>
  <si>
    <t>Cynognathus Assemblage Zone Subzone A</t>
  </si>
  <si>
    <t>Hancox</t>
  </si>
  <si>
    <t>Fraaiuitsicht</t>
  </si>
  <si>
    <t>Ludwigsburg</t>
  </si>
  <si>
    <t>Hoheneck</t>
  </si>
  <si>
    <t>Hoheneck near Ludwigsburg</t>
  </si>
  <si>
    <t>Sacrau, near Goglin</t>
  </si>
  <si>
    <t>ZakrzÃƒÂ³w</t>
  </si>
  <si>
    <t xml:space="preserve">Muschelkalk </t>
  </si>
  <si>
    <t>Tiefenbach, near Crailsheim</t>
  </si>
  <si>
    <t>Grand Est</t>
  </si>
  <si>
    <t>Blainville, LunÃƒÂ©ville</t>
  </si>
  <si>
    <t>Blainville, near LunÃƒÂ©ville, Lorraine</t>
  </si>
  <si>
    <t>Laineck, near Bayreuth, Bavaria (BMNH)</t>
  </si>
  <si>
    <t>Protanystropheus</t>
  </si>
  <si>
    <t>Chorzow</t>
  </si>
  <si>
    <t>Gogolin, Upper Silesia</t>
  </si>
  <si>
    <t>from near Gogolin, Upper Silesia</t>
  </si>
  <si>
    <t>Bystrowisuchus</t>
  </si>
  <si>
    <t>Scythosuchus</t>
  </si>
  <si>
    <t>Vritramimosaurus</t>
  </si>
  <si>
    <t>Usinskii</t>
  </si>
  <si>
    <t>Nadkrasnokamenskaya</t>
  </si>
  <si>
    <t>Bolshaya Synya-2</t>
  </si>
  <si>
    <t>Staritskaya</t>
  </si>
  <si>
    <t>Mechet' II (Locality 180)</t>
  </si>
  <si>
    <t>Mechet II</t>
  </si>
  <si>
    <t xml:space="preserve">Tverdokhlebov et al. (2003) describes this locality as "Orenburg Region, 4.1 km WSW of Aldarkino village, Mechet ravine, 6.3 km above its mouth (Blom, 1968; Ivakhnenko et al.,\r\n1997)." However, Novikov and Shishkin (2000) considers this locality to be within the Borskii area of Samara District. \r\nThe assumption has been made that these papers describe the same locality, and given Tverdokhlebov et al. (2003) provides a map indicating the precise locality of this collection, this is the location used. </t>
  </si>
  <si>
    <t>Fuyuan, S. Santai, Talungkou</t>
  </si>
  <si>
    <t>"Fuyuan, S. Santai, Talungkou, E of the River, Hungshankou"; coordinates based on other PaleoDB localities from the Santai area (e.g. PaleoDB 68023). This is a general locality for historical collections from the "Fuyuan/Santai" area</t>
  </si>
  <si>
    <t>mold/impression,concretion</t>
  </si>
  <si>
    <t>Lasasaurus</t>
  </si>
  <si>
    <t>Falconnet et al.</t>
  </si>
  <si>
    <t>Ambodipo</t>
  </si>
  <si>
    <t>Ambondipo</t>
  </si>
  <si>
    <t>Near the Ambodipo village, near the Mamoro River, East of Ankitokazo, Ambilobe District, Antsiranana Province, Diana Region, North of Madagascar.</t>
  </si>
  <si>
    <t>Howesia</t>
  </si>
  <si>
    <t>Cynognathus Assemblage Zone Subzone B</t>
  </si>
  <si>
    <t>Aliwal North Area, Cynognathus B</t>
  </si>
  <si>
    <t>This collection includes specimens that were collected by Alfred Brown in the early 20th century in the vicinity of Aliwal North, Eastern Cape Province, South Africa. No exact geographic and stratigraphic position is given, but specimens are believed to come from the Cynognathus B level.</t>
  </si>
  <si>
    <t>Asperoris</t>
  </si>
  <si>
    <t>Cynognathus Assemblage Zone Subzone C</t>
  </si>
  <si>
    <t>U9/1, drainage of the Hita River</t>
  </si>
  <si>
    <t>Field locality U9/1, drainage of the Hita River between the Njalila and Hiasi rivers (exact locality not known) in the Ruhuhu basin, Songea district, southwestern Tanzania. Coordinates estimated using Google Earth and text-fig. 1 in Cox (1991)</t>
  </si>
  <si>
    <t>Chen et al.</t>
  </si>
  <si>
    <t>Jaxtasuchus</t>
  </si>
  <si>
    <t>Schoch and Sues</t>
  </si>
  <si>
    <t>Schneider Quarry, Vellberg-Ummenhofen</t>
  </si>
  <si>
    <t>"Schneider" quarry, near Vellberg-Ummenhofen; Coordinates estimated from Google Earth image of quarries close to Vellberg and Ummenhofen</t>
  </si>
  <si>
    <t>Zwingelhausen</t>
  </si>
  <si>
    <t>Damiani et al.</t>
  </si>
  <si>
    <t>Farm Perdelaagte, Heuningkrans 26</t>
  </si>
  <si>
    <t>Farm Perdelaagte, an annexe of the farm Heuningkrans 26, Burgersdorp District, Eastern Cape Province, South Africa. Coordinates based on Heuningkrans 26</t>
  </si>
  <si>
    <t>Thabo Mofutsanyana</t>
  </si>
  <si>
    <t>Driefontein</t>
  </si>
  <si>
    <t>Dreifontein farm</t>
  </si>
  <si>
    <t>Bassani</t>
  </si>
  <si>
    <t>Besano (MCSN Milan collection)</t>
  </si>
  <si>
    <t>Jushatyria</t>
  </si>
  <si>
    <t>Kalandadze and Sennikov</t>
  </si>
  <si>
    <t>Evans and King</t>
  </si>
  <si>
    <t>Quarrington quarry</t>
  </si>
  <si>
    <t>Ordnance Survey coordinates NZ 329 378, converted to latitude and longitude using http://www.movable-type.co.uk/scripts/latlong-gridref.html</t>
  </si>
  <si>
    <t>Hancock and Howse</t>
  </si>
  <si>
    <t>Eorasaurus</t>
  </si>
  <si>
    <t>Aenigmastropheus</t>
  </si>
  <si>
    <t>Usili</t>
  </si>
  <si>
    <t>Cistecephalus Assemblage Zone</t>
  </si>
  <si>
    <t>Ezcurra et al.</t>
  </si>
  <si>
    <t>B35 of Stockley, Ruanda</t>
  </si>
  <si>
    <t>Winterswijk Quarry III</t>
  </si>
  <si>
    <t>Parahupehsuchus</t>
  </si>
  <si>
    <t>Yuan'an, Yichang, (Wuhan Centre of China Geological Survey 2011 )</t>
  </si>
  <si>
    <t>basinal (siliciclastic)</t>
  </si>
  <si>
    <t>Nanlinghu</t>
  </si>
  <si>
    <t>Subcolumbites</t>
  </si>
  <si>
    <t>South Majiashan quarry (Nanlinghu Fm)</t>
  </si>
  <si>
    <t>Southeastern wall of the quarry, at the south end (location and coordinates based on photograph in paper).</t>
  </si>
  <si>
    <t>Kraai River</t>
  </si>
  <si>
    <t>"at the Kraai River", SE of Aliwal North, "on the waggon-track"</t>
  </si>
  <si>
    <t>Aliwal North Area</t>
  </si>
  <si>
    <t>This collection includes specimens that were collected by Alfred Brown in the early 20th century in the vicinity of Aliwal North, Eastern Cape Province, South Africa. No exact geographic and stratigraphic position is given.</t>
  </si>
  <si>
    <t>Nosotti and Rieppel</t>
  </si>
  <si>
    <t>Eohyosaurus</t>
  </si>
  <si>
    <t>Lemoenfontein 44 - Eohyosaurus</t>
  </si>
  <si>
    <t>Palaeagama</t>
  </si>
  <si>
    <t>Mount Frere</t>
  </si>
  <si>
    <t>Spondylolestes</t>
  </si>
  <si>
    <t>Cacadu</t>
  </si>
  <si>
    <t>Dicynodon</t>
  </si>
  <si>
    <t>Doornkloof (Glen Again)</t>
  </si>
  <si>
    <t>Dornkloof</t>
  </si>
  <si>
    <t>Coordinates for Doornkloof farm</t>
  </si>
  <si>
    <t>Pareiasaurus</t>
  </si>
  <si>
    <t>Klipplaat</t>
  </si>
  <si>
    <t>Pappochelys</t>
  </si>
  <si>
    <t>Saurosternon</t>
  </si>
  <si>
    <t>Dicynodon or Daptocephalus Assemblage Zone</t>
  </si>
  <si>
    <t>Stylkrantz, Sniewe Berg (Dicynodon AZ)</t>
  </si>
  <si>
    <t>Sneeuwberg, Steilkrans, Styl Krantz, Stylkrans</t>
  </si>
  <si>
    <t>Tangasaurus</t>
  </si>
  <si>
    <t>Tanga marine reptiles</t>
  </si>
  <si>
    <t>"On the coast, near Tanga". Coordinates for city of Tanga</t>
  </si>
  <si>
    <t>Botha et al.</t>
  </si>
  <si>
    <t>Vangfontein, annexe of Nooitgedacht 25 farm</t>
  </si>
  <si>
    <t>Coordinates based on Middleburg</t>
  </si>
  <si>
    <t>Pumiliopareia</t>
  </si>
  <si>
    <t>Sondagsriviershoek</t>
  </si>
  <si>
    <t>Zondagsrivier</t>
  </si>
  <si>
    <t>Anthodon</t>
  </si>
  <si>
    <t>Graaff-Reinet</t>
  </si>
  <si>
    <t>Steilkrans, Fort Beaufort</t>
  </si>
  <si>
    <t>Stylkranz, Stylkrans</t>
  </si>
  <si>
    <t>Dunedin</t>
  </si>
  <si>
    <t>Quaggasfontein</t>
  </si>
  <si>
    <t>Dunedin, Beaufort West</t>
  </si>
  <si>
    <t>Cistecephalus</t>
  </si>
  <si>
    <t>B18, below and east of Kingori</t>
  </si>
  <si>
    <t>Nanoparia</t>
  </si>
  <si>
    <t>Oudeberg (Pass and Plateau) - Cistecephalus Assemblage Zone</t>
  </si>
  <si>
    <t>Ouberg</t>
  </si>
  <si>
    <t>Li and Liu</t>
  </si>
  <si>
    <t>Zhongjiania</t>
  </si>
  <si>
    <t>Henan</t>
  </si>
  <si>
    <t>Shangshihezi</t>
  </si>
  <si>
    <t>Huakedaliang, Dayu township, Jiyuan City</t>
  </si>
  <si>
    <t>Locality 63024</t>
  </si>
  <si>
    <t>Huakedaliang, Dayu township, Jiyuan City, Henan Province, China. Coordinates based on Dayu township</t>
  </si>
  <si>
    <t>Graubunden</t>
  </si>
  <si>
    <t>Prosanto</t>
  </si>
  <si>
    <t>Fraser and Furrer</t>
  </si>
  <si>
    <t>Ducanfurgga, Davos</t>
  </si>
  <si>
    <t>Grisons</t>
  </si>
  <si>
    <t>Gletscher Ducan, Davos</t>
  </si>
  <si>
    <t>Fuyuansaurus</t>
  </si>
  <si>
    <t>Nanchangosaurus</t>
  </si>
  <si>
    <t>Yuan'an, (Wuhan Centre of China Geological Survey 2011 )</t>
  </si>
  <si>
    <t>Tropidostoma Assemblage Zone</t>
  </si>
  <si>
    <t>Leeukloof</t>
  </si>
  <si>
    <t>Leeupoort, Leeuwkloof, ETE Locality 1536</t>
  </si>
  <si>
    <t>An area to the east of Leeukloof homestead and where the farm road passes through a small ravine or kloof is locally known as Leeuport</t>
  </si>
  <si>
    <t>Murraysburg</t>
  </si>
  <si>
    <t>Hoeksplaas (Dicynodon Assemblage Zone)</t>
  </si>
  <si>
    <t>Kleinefontein</t>
  </si>
  <si>
    <t>Oudeberg (Pass and Plateau) - Dicynodon Assemblage Zone</t>
  </si>
  <si>
    <t>Hukou waterfall</t>
  </si>
  <si>
    <t>Fraserburg</t>
  </si>
  <si>
    <t>Poortjie</t>
  </si>
  <si>
    <t>Pristerognathus Assemblage</t>
  </si>
  <si>
    <t>Kammerer et al.</t>
  </si>
  <si>
    <t>Amandelboom farm</t>
  </si>
  <si>
    <t>Ryers Valley 401</t>
  </si>
  <si>
    <t>Foffa et al.</t>
  </si>
  <si>
    <t>Bethesda Road Area</t>
  </si>
  <si>
    <t>Bethesda Rd Station</t>
  </si>
  <si>
    <t>Coordinates for "Bethesda Road Area, Graaff-Reinet" situated in the general area between New Bethesda and Graaff-Reinet, as no exact location is given.</t>
  </si>
  <si>
    <t>Houdkonstant (Dicynodon Assemblage Zone)</t>
  </si>
  <si>
    <t>Houd Constant, Katbos, Houdconstant</t>
  </si>
  <si>
    <t>"Locality Houdkonstant, Graaff Reinet".\r\nThere are two farms named Houd Constant next to each other, occupying a relative large area. Polar coordinates are for Regional Road 63 crossing Droe River, about 40 km NW of Graaff-Reinet. Note: Camdeboo is the name now used for the Graaff-Reinet municipality.</t>
  </si>
  <si>
    <t>Oudeberg</t>
  </si>
  <si>
    <t>Dalham and Upper Dalham</t>
  </si>
  <si>
    <t>Coordinates for the Dalham Farm, near Graaff-Reinet</t>
  </si>
  <si>
    <t>Bloukrans (Prince Albert District)</t>
  </si>
  <si>
    <t>Bloukrantz, Blaaukranz</t>
  </si>
  <si>
    <t>" [...] Bloukrans in the Prince Albert District, Cape Province, South Africa." (Reisz &amp; Dilkes, 1992). Polar coordinates are for farm Bloukrans, about 30 km north of Prince Albert.</t>
  </si>
  <si>
    <t>Bethulie Commonage (Lystrosaurus Assemblage Zone)</t>
  </si>
  <si>
    <t>No precise locality data provided; coordinates based on Bethulie</t>
  </si>
  <si>
    <t>Prince Albert Road</t>
  </si>
  <si>
    <t>Coordinates for the Prince Albert Road train station, close to the town of Prince Albert</t>
  </si>
  <si>
    <t>Swaershoek</t>
  </si>
  <si>
    <t>Swagershoek</t>
  </si>
  <si>
    <t>Coordinates for the Swaershoek farm, near Graaff-Reinet</t>
  </si>
  <si>
    <t>Kleinwaterval</t>
  </si>
  <si>
    <t>Klein-Waterval</t>
  </si>
  <si>
    <t>Coordinates for the Kleinwaterval farm, near Prince Albert</t>
  </si>
  <si>
    <t>Veldmansrivier</t>
  </si>
  <si>
    <t>Veldmann Ween</t>
  </si>
  <si>
    <t>Coordinates based on Prince Albert</t>
  </si>
  <si>
    <t>Cartorhynchus</t>
  </si>
  <si>
    <t>Sclerocormus</t>
  </si>
  <si>
    <t>Cynognathus</t>
  </si>
  <si>
    <t>Lumku Farm, Lady Frere</t>
  </si>
  <si>
    <t>Near the town of Lady Frere</t>
  </si>
  <si>
    <t>Murraysburg Commonage (Cistecephalus Assemblage Zone)</t>
  </si>
  <si>
    <t>Zuurplaats, Suurplaas, Graaff-Reinet (Dicynodon Assemblage Zone)</t>
  </si>
  <si>
    <t>Zuurplaas, Zuurpoort</t>
  </si>
  <si>
    <t>Coordinates for the Zuurplaats farm, near Graaff-Reinet</t>
  </si>
  <si>
    <t>Karreelaagte, New Bethesda</t>
  </si>
  <si>
    <t>Kareelagte, Kagreeleegte</t>
  </si>
  <si>
    <t>Locality on the Kareelaagte farm, near Bethesda Road station, New Bethesda, Graaff-Reinet district.\r\n\r\nCoordinates for the nearby town of New Bethesda.</t>
  </si>
  <si>
    <t>Griffin and Nesbitt</t>
  </si>
  <si>
    <t>NMT Z90</t>
  </si>
  <si>
    <t>in western part of Ruhuhu Basin</t>
  </si>
  <si>
    <t>NMT Z29</t>
  </si>
  <si>
    <t>NMT Z137</t>
  </si>
  <si>
    <t>in eastern part of Ruhuhu Basin</t>
  </si>
  <si>
    <t>Sutherland</t>
  </si>
  <si>
    <t>Esperance, Sutherland</t>
  </si>
  <si>
    <t>Coordinates for the town of Sutherland, Northern Cape</t>
  </si>
  <si>
    <t>Tweefontein, Bethulie</t>
  </si>
  <si>
    <t>Lucerne 70</t>
  </si>
  <si>
    <t>Wild and Oosterink</t>
  </si>
  <si>
    <t>Reiselfingen, Bonndorf</t>
  </si>
  <si>
    <t>Gevanim</t>
  </si>
  <si>
    <t>Levantina</t>
  </si>
  <si>
    <t>Wadi Ramon, Beneckeia beds</t>
  </si>
  <si>
    <t>Teyujagua</t>
  </si>
  <si>
    <t>Pinheiro et al.</t>
  </si>
  <si>
    <t>Brakfontein 333, Lystrosaurus AZ</t>
  </si>
  <si>
    <t>Wilgeboshrivier 241</t>
  </si>
  <si>
    <t>Heldemoed, Smithfield</t>
  </si>
  <si>
    <t>Litorosuchus</t>
  </si>
  <si>
    <t>Gower et al.</t>
  </si>
  <si>
    <t>Gwarriekop 330</t>
  </si>
  <si>
    <t>Guarriekop, Ghwarriekop</t>
  </si>
  <si>
    <t>Gwarriekop 330 farm</t>
  </si>
  <si>
    <t>Fraauitsicht, Bosrand 12</t>
  </si>
  <si>
    <t>Platkop</t>
  </si>
  <si>
    <t>Paul Roux</t>
  </si>
  <si>
    <t>Cynognathus subzone A</t>
  </si>
  <si>
    <t>Langberg 556</t>
  </si>
  <si>
    <t>Specimens listed as coming from the farm Langberg 556 - it is not clear over how extensive an area specimens were collected.</t>
  </si>
  <si>
    <t>Senekal</t>
  </si>
  <si>
    <t>Bosrand 12 farm; coordinates based upon Senekal</t>
  </si>
  <si>
    <t>Kestell</t>
  </si>
  <si>
    <t>Eerste Geluk 131</t>
  </si>
  <si>
    <t>Eerste Geuluk</t>
  </si>
  <si>
    <t>Farm Eerste Geluk 131; unclear over how broad an area fossils were collected</t>
  </si>
  <si>
    <t>Boonstra</t>
  </si>
  <si>
    <t>Drysdall &amp; Kitching locality 4, Upper Luangwa Valley</t>
  </si>
  <si>
    <t>Teleocrater</t>
  </si>
  <si>
    <t>Cynognathus Assemblage Zone</t>
  </si>
  <si>
    <t>B9, west of Mkongoleko</t>
  </si>
  <si>
    <t>"Near the confluence of the Mkongoleko and Rutikira rivers, Ruhuhu Basin, Tanzania. The exact locality is not known but was mapped as locality B9 of Stockley (1932) by F. R. Parrington and recorded as Ã¢Â€Âœ1/2 hours march west village of Mkongoleko. South of river MkongolekoÃ¢Â€Â (field notes of F. R. Parrington, 1933, UMZC)." (Nesbitt et al. in press)</t>
  </si>
  <si>
    <t>OlmÃƒÂ¼hle, Crailsheim</t>
  </si>
  <si>
    <t>OelmÃƒÂ¼hle</t>
  </si>
  <si>
    <t>from OlmÃƒÂ¼hle ("oil mill"), Crailsheim</t>
  </si>
  <si>
    <t>Mezenskii</t>
  </si>
  <si>
    <t>Peza-1, PIN 3706, Lower Mezen' River</t>
  </si>
  <si>
    <t>One of a series of "localities in the lower reaches of the Mezen' River and its tributaries, the Kimzha (Kimja) and Peza" (Ivakhnenko, 1997), all located in Mezenskii  District. \r\nLat long is for the junction area of the three rivers.</t>
  </si>
  <si>
    <t>Ust'-Peza, PIN 3586, Lower Mezen' River</t>
  </si>
  <si>
    <t>Ust'-Nyafta, PIN 3717, Lower Mezen' River</t>
  </si>
  <si>
    <t>Ust-Nyafta</t>
  </si>
  <si>
    <t>Glyadnaya Shchel'ya, PIN 162, Lower Mezen' River</t>
  </si>
  <si>
    <t>Glyadnaya Shchelya</t>
  </si>
  <si>
    <t>Lanthanolania</t>
  </si>
  <si>
    <t>Modesto and Reisz</t>
  </si>
  <si>
    <t>Koz'mogorodskoe, PIN 4659, Lower Mezen' River</t>
  </si>
  <si>
    <t>Dorogaya Gora, PIN 4660, Lower Mezen' River</t>
  </si>
  <si>
    <t>Z183, Ruhuhu Basin</t>
  </si>
  <si>
    <t>"within 1 km of the mapped position of StockleyÃ¢Â€Â™s (1932) locality B9" (Nesbitt et al. in press)</t>
  </si>
  <si>
    <t>East Cape</t>
  </si>
  <si>
    <t>Middleburg</t>
  </si>
  <si>
    <t>Permotriturus</t>
  </si>
  <si>
    <t>Apastovo</t>
  </si>
  <si>
    <t>Titanophoneus potens</t>
  </si>
  <si>
    <t>Kamenny Ravine (Ulema River), Isheevo, PIN 157, 2207</t>
  </si>
  <si>
    <t>Kamennyi, Kamenny Valley, Yumrala Ravine, Sviaga River, Sviyaga River, Isheevo, Tartarstan, Kamenny Ovrag</t>
  </si>
  <si>
    <t>"The Yumrala or Kamenny Ravine in the left bank of the Ulema River, a tributary to the Sviaga, 7 km of Isheevo-Nikiforovo Village, Buinski Canton, Tartarian ASSR (Riabinin 1938). "...at the outskirts of the Tyubyak-Tchirkovsky forest...7 km westward of the Isheevo village, and 3 km from Tenikeevo village, Apastov region" (Efremov 1940).\r\nOriginally entered DMS coordinates (54Ã‚Â°57'N, 48Ã‚Â°17'E, based on city of Buinsk) are modified according to the locality description given by Efremov (1940) and mark the eastern outskirts of the forest about 3 km W of Idryas'-Tenikeevo village (TL).</t>
  </si>
  <si>
    <t>Vyaznikovskii</t>
  </si>
  <si>
    <t>Gorokhovets, PIN 4818</t>
  </si>
  <si>
    <t>Klyazma River</t>
  </si>
  <si>
    <t>Polar coordinates are for town of Gorokhovets.</t>
  </si>
  <si>
    <t>Velikoustyugskii</t>
  </si>
  <si>
    <t>Aristovo, PIN 3582 or 2357</t>
  </si>
  <si>
    <t>Sokovka, PIN 5022</t>
  </si>
  <si>
    <t>Pokrovka, PIN 4544, locality 73 of Tverdokhlebov et al. (2005)</t>
  </si>
  <si>
    <t>Orenburg region, quarry on SW outskirts of Pokrovka village on right bank of Chesnokovka River, Samara drainage basin</t>
  </si>
  <si>
    <t>Suchonosaurus</t>
  </si>
  <si>
    <t>Salarevskaya</t>
  </si>
  <si>
    <t>Saila</t>
  </si>
  <si>
    <t>De Franca and Langer</t>
  </si>
  <si>
    <t>Rio Grande</t>
  </si>
  <si>
    <t>Lanthanosuchidae</t>
  </si>
  <si>
    <t>Lanthanosuchus</t>
  </si>
  <si>
    <t>Buzulukskii</t>
  </si>
  <si>
    <t>Malokinelskaya</t>
  </si>
  <si>
    <t>Preobrazhenka, PIN 4645, locality 77 of Tverdokhlebov et al. 2005</t>
  </si>
  <si>
    <t>"Orenburg region, 2.8 km NE of Preobrazhenka village, Vyazovii stream, a right tributary of Konduzla River, Samara drainage basin"</t>
  </si>
  <si>
    <t>Perovka, PIN 2430 (Locality 35)</t>
  </si>
  <si>
    <t>Donguz 12, Donguz XII</t>
  </si>
  <si>
    <t>Leshukonskii</t>
  </si>
  <si>
    <t>Ust'-Vashka, PIN 4541</t>
  </si>
  <si>
    <t>Golubev</t>
  </si>
  <si>
    <t>Leshukonskoe, Vashka River, PIN 4609</t>
  </si>
  <si>
    <t>Mezen' Basin</t>
  </si>
  <si>
    <t>Oukloof</t>
  </si>
  <si>
    <t>Huttenlocker and Smith</t>
  </si>
  <si>
    <t>Good Luck (Matjiesfontein 412), Cistecephalus Assemblage Zone</t>
  </si>
  <si>
    <t>Mandaphon</t>
  </si>
  <si>
    <t>Tsuji</t>
  </si>
  <si>
    <t>Z91</t>
  </si>
  <si>
    <t>Mandaphon type locality</t>
  </si>
  <si>
    <t>Z183</t>
  </si>
  <si>
    <t>Teleocrater quarry</t>
  </si>
  <si>
    <t>Shringasaurus</t>
  </si>
  <si>
    <t>Hoshangabad</t>
  </si>
  <si>
    <t>Denwa</t>
  </si>
  <si>
    <t>Senqupta et al.</t>
  </si>
  <si>
    <t>Tekapar village</t>
  </si>
  <si>
    <t>Near Tekapar village, Hoshangabad district, Madhya Pradesh, India</t>
  </si>
  <si>
    <t>Mandasuchus</t>
  </si>
  <si>
    <t>B5 of Stockley, 11b of Parrington, West of Irundi</t>
  </si>
  <si>
    <t>Locality B5 of Stockley (see Stockley 1932. Quart. J. Geol. Soc. Lond. 88:610)</t>
  </si>
  <si>
    <t>Mkongoleko/ Njalila, Loc. B15/2, Parrington 63</t>
  </si>
  <si>
    <t>B17, between Matamondo and Linyanya, Parrington 77a</t>
  </si>
  <si>
    <t>Megachirella</t>
  </si>
  <si>
    <t>Illyrian</t>
  </si>
  <si>
    <t>Alto Adige</t>
  </si>
  <si>
    <t>Dont</t>
  </si>
  <si>
    <t>Renesto and Posenato</t>
  </si>
  <si>
    <t>Above bed K11, Monte PrÃƒÂ  della Vacca / Kuehwiesenkopf area</t>
  </si>
  <si>
    <t>Plant-rich level, above bed K 11 of BechstÃƒÂ dt &amp; Brandner (1970), Monte PrÃƒÂ  della\r\nVacca / Kuehwiesenkopf area, Braies (Prags), Bolzano(Bozen), Alto Adige</t>
  </si>
  <si>
    <t>Liu and Bever</t>
  </si>
  <si>
    <t>Locality DQS33, Tumd Right Banner</t>
  </si>
  <si>
    <t>Locality DQS33, Tumd Right Banner, Baotou, Nei Mongol, China; Member II, Naobaogou Formation</t>
  </si>
  <si>
    <t>Fraxinisaura</t>
  </si>
  <si>
    <t>Nundasuchus</t>
  </si>
  <si>
    <t>locality Z41 (Ndatira / Njalila)</t>
  </si>
  <si>
    <t>Nundasuchus-type locality, Ruhuhu Basin</t>
  </si>
  <si>
    <t>The specimen derives from a fluviolacustrine mudstone-sandstone sequence in the Lifua Member of the Manda beds, between the Ndatira ( = Kiteho of Cox, 1991 Cox, C. B. 1991. The Pangaea dicynodont Rechnisaurus and the comparative biostratigraphy of Triassic dicynodont faunas. Palaeontology 34:767Ã¢Â€Â“784.) and Njalila rivers, Ruhuhu Basin, Tanzania (Fig. 1). The specimen was found at locality Z41, an isolated outcrop approximately 100 m2 in area, with remains of rhynchosaurs (e.g., NMT RB49) and other archosaurs originating from the same slope.</t>
  </si>
  <si>
    <t>Eohupehsuchus</t>
  </si>
  <si>
    <t>YuanÃ¢Â€Â™an</t>
  </si>
  <si>
    <t>Eohupesuchus-type locality</t>
  </si>
  <si>
    <t>Yangping</t>
  </si>
  <si>
    <t>Dawazisaurus-type locality</t>
  </si>
  <si>
    <t>Da'aozi, Daaozi member 2</t>
  </si>
  <si>
    <t>Quarry near Minfeng</t>
  </si>
  <si>
    <t>Eretmorhipis</t>
  </si>
  <si>
    <t>Surmik</t>
  </si>
  <si>
    <t>Hemilopas</t>
  </si>
  <si>
    <t>Upper Silesia</t>
  </si>
  <si>
    <t>RogoÃ…Âºnik Quarry</t>
  </si>
  <si>
    <t>"A huge abandoned quarry located in RogoÃ…Âºnik near Wojkowice, Upper Silesia" (Surmik, 2016)</t>
  </si>
  <si>
    <t>Ã…Â»yglin Quarry</t>
  </si>
  <si>
    <t>"Ã…Â»yglin is a hamlet of Miasteczko Ã…ÂšlÃ„Â…skie town, situated at the northern edge of Upper Silesian depression. Several small quarries located there are now intensively explored domestic mining sites." (Surmik, 2016)</t>
  </si>
  <si>
    <t>Samara</t>
  </si>
  <si>
    <t>Kamennyi Yar</t>
  </si>
  <si>
    <t>Rybinskian</t>
  </si>
  <si>
    <t>Kamennyi Dol gully (upper)</t>
  </si>
  <si>
    <t>"southern marginal area of the village of Usmanka in the Kamennyi Dol gully (Borskii District, Samara Region)" (Novikov 2012)</t>
  </si>
  <si>
    <t>Mechet'</t>
  </si>
  <si>
    <t>Sludkian</t>
  </si>
  <si>
    <t>Mechet' I (lower) (Locality 179)</t>
  </si>
  <si>
    <t>Novaya Tavolzhanka, Mechet I</t>
  </si>
  <si>
    <t>Tverdokhlebov et al. (2003) describes this locality as "Orenburg Region, 3.7 km WSW of Aldarkino village, Mechet ravine, 7.3 km above its mouth (Blom, 1968; Ivakhnenko et al., 1997)." However, Novikov and Shishkin (2000) considers this locality to be within the Borskii area of Samara District.\r\nThe assumption has been made that these papers describe the same locality, and given Tverdokhlebov et al. (2003) provides a map indicating the precise locality of this collection, this is the location used.\r\n</t>
  </si>
  <si>
    <t>Petropavlovskaya</t>
  </si>
  <si>
    <t>Mupartalovo (Locality 4)</t>
  </si>
  <si>
    <t>Muraptalovo</t>
  </si>
  <si>
    <t>"Bashkortostan, 20 km NE of Oktyabrsky town, right bank of the Bolshoy Yushatir River (Sakmara drainage basin)" (Tverdokhlebov et al. 2003)</t>
  </si>
  <si>
    <t>Bakas (Locality 7)</t>
  </si>
  <si>
    <t>"Bashkortostan, 9.8 km NNW of Oktyabrsky town, left bank of the Bolshaya Kuyurgasa River (Sakmara drainage basin)" (Tverdokhlebov et al. 2003)</t>
  </si>
  <si>
    <t>Batik (Locality 14)</t>
  </si>
  <si>
    <t>"Orenburg Region, 11 km SW of Astrakhanovka village, right bank of Chebenka River (Sakmara drainage basin)" (Tverdokhlebov et al. 2003)</t>
  </si>
  <si>
    <t>Sergeevka (Locality 15)</t>
  </si>
  <si>
    <t>"Orenburg Region, 10 km SW of Astrakhanovka village, right tributary of Chebenka River (Sakmara drainage basin)" (Tverdokhlebov et al. 2003)</t>
  </si>
  <si>
    <t>Berezovy I (Locality 16)</t>
  </si>
  <si>
    <t>"Orenburg Region, 3.3 km north of Petropavlovka village, Berezovy stream (Sakmara drainage basin)." (Tverdokhlebov et al. 2003)</t>
  </si>
  <si>
    <t>Berezovy II &amp; III (Localities 17 &amp; 18)</t>
  </si>
  <si>
    <t>"Orenburg Region, 0.6/0.2 km north of Petropavlovka village, Berezovy stream (Sakmara\r\ndrainage basin)." (Tverdokhlebov et al. 2003)</t>
  </si>
  <si>
    <t xml:space="preserve">Andreevka (upper) (Locality 28) </t>
  </si>
  <si>
    <t>"Orenburg Region, upper reaches of Kzyl-Oba River, opposite Andreevka village (drainage basin of left bank of the Ural River)" (Tverdokhlebov et al. 2003)</t>
  </si>
  <si>
    <t>Mescheryakovka II (Donguz IX) (Locality 38)</t>
  </si>
  <si>
    <t>"Orenburg Region, 0.6 km NW of Mescheryakovka village, right bank of the Donguz River (drainage basin of left bank of the Ural River)" (Tverdokhlebov et al. 2003).</t>
  </si>
  <si>
    <t>Kulagino II (Locality 58)</t>
  </si>
  <si>
    <t>"Orenburg Region, 4 km NW of Kulagino village, Kyndelya River drainage basin (right tributary of the Ural River)" (Tverdokhlebov et al. 2003)</t>
  </si>
  <si>
    <t>Myrolyubovka III (Locality 67)</t>
  </si>
  <si>
    <t>"Orenburg Region, near to northern outskirts of Myrolyubovka village, right ravine of the Vetlyanka River (right tributary of the Samara River)" (Tverdokhlebov et al. 2003)</t>
  </si>
  <si>
    <t>Vetlyanka I (Locality 68)</t>
  </si>
  <si>
    <t>"Orenburg Region, 0.65 km NW of Myrolyubovka village, right bank of the Vetlyanka River (right tributary of the Samara River)" (Tverdokhlebov et al. 2003)</t>
  </si>
  <si>
    <t>Pokrovka III (Locality 83)</t>
  </si>
  <si>
    <t>"Orenburg Region, 3 km west of Mikhaylovka-I village, right bank of the Sorochka River (left tributary of the Samara River)" (Tverdokhlebov et al. 2003)</t>
  </si>
  <si>
    <t>Mikhaylovskoe (Locality 84)</t>
  </si>
  <si>
    <t>"Orenburg Region, 3 km SE of Mikhaylovka village, right bank of the Sorochka River (left tributary of the Samara River)" (Tverdokhlebov et al. 2003)</t>
  </si>
  <si>
    <t>Kamenny Yar II (Locality 86)</t>
  </si>
  <si>
    <t>"Orenburg Region, 6.8 km SE of Troyitzkoe village, Kamenny Yar ravine (right tributary of the Sorochka River)" (Tverdoklebov et al. 2003)</t>
  </si>
  <si>
    <t>Kopanskaya</t>
  </si>
  <si>
    <t>Kamenny II (lower) (Locality 104)</t>
  </si>
  <si>
    <t>Strata 1 &amp; 2</t>
  </si>
  <si>
    <t>"Orenburg Region, 0.6 km east of Markovka village, Kamenny ravine (right tributary of Soroka River)." (Tverdokhlebov et al., 2003).</t>
  </si>
  <si>
    <t>Kamenny II (upper) (Locality 104)</t>
  </si>
  <si>
    <t>Stratum 3</t>
  </si>
  <si>
    <t>Kaveshnikovo (Locality 124)</t>
  </si>
  <si>
    <t>"Orenburg Region, 3.6 km west NW of Kaveshnikovo village, upper reaches of Berezoviy ravine (left tributary of the Bolshaya Pogromka River)." (Tverdokhlebov et al. 2003)</t>
  </si>
  <si>
    <t>Monastyrskoe (Locality 127)</t>
  </si>
  <si>
    <t>"Orenburg Region, 6.5 km NE of Buzuluk town, right bank of the Samara River." (Tverdokhlebov et al. 2003)</t>
  </si>
  <si>
    <t>Rodionovka IV (upper) (Locality 149)</t>
  </si>
  <si>
    <t>"Orenburg Region, 3.8 km NNW of Rodionovka village, left unnamed ravine flowing into the Bobrovka River (left tributary of the Buzuluk River)" (Tverdokhlebov et al. 2003)</t>
  </si>
  <si>
    <t>Surykovo I (Locality 160)</t>
  </si>
  <si>
    <t>"Orenburg Region, 2 km west of Surikovo village, left slope of the Elshanka valley." (Tverdokhlebov et al. 2003)</t>
  </si>
  <si>
    <t>Scharschengia</t>
  </si>
  <si>
    <t>Gostevskaya</t>
  </si>
  <si>
    <t>Mechet' I (upper) (Locality 179)</t>
  </si>
  <si>
    <t>Mechet I; Beds 1 &amp; 2</t>
  </si>
  <si>
    <t xml:space="preserve">Tverdokhlebov et al. (2003) describes this locality as "Orenburg Region, 3.7 km WSW \r\nof Aldarkino village, Mechet ravine, 7.3 km above its mouth (Blom, 1968; Ivakhnenko et al., 1997)." However, Novikov and Shishkin (2000) considers this locality to be within the Borskii area of Samara District. \r\nThe assumption has been made that these papers describe the same locality, and given Tverdokhlebov et al. (2003) provides a map indicating the precise locality of this collection, this is the location used. </t>
  </si>
  <si>
    <t>Mechet' IV (Locality 182)</t>
  </si>
  <si>
    <t>Mechet IV</t>
  </si>
  <si>
    <t>"Orenburg Region, Mechet ravine, 0.6 km above its mouth (right tributary of the Tavolzhanka River) (Blom, 1968; Ivakhnenko et al.,1997)." (Tverdokhlebov et al. 2003)</t>
  </si>
  <si>
    <t>Borskii</t>
  </si>
  <si>
    <t>Borshevskoe (Locality 198)</t>
  </si>
  <si>
    <t>"Samara Region, 0.5 km NE of Borshevka village, right bank of the Chapaevka River (Blom, 1968, Ivakhnenko et al., 1997)." (Tverdokhlebov et al. 2003)</t>
  </si>
  <si>
    <t>Goryainovka (Locality 199)</t>
  </si>
  <si>
    <t>"Samara Region, right bank of the Chapaevka River, opposite the western outskirts of Goreynovka village (Ivakhnenko et al., 1997)." (Tverdokhlebov et al. 2003)</t>
  </si>
  <si>
    <t>Yablonovo-Vragskoe (Locality 202)</t>
  </si>
  <si>
    <t>"Samara Region, 3 km NE of Yablonovy Vrag village, right bank of the Chapaevka River (Blom, 1968)." (Tverdokhlebov et al. 2003)</t>
  </si>
  <si>
    <t>Glaurung</t>
  </si>
  <si>
    <t>Boevoi locality</t>
  </si>
  <si>
    <t>Boevoy, Boevoj</t>
  </si>
  <si>
    <t>"Boevoi locality (Orenburg Region, Sol'-Iletskii District)." (Bulanov &amp; Yashina, 2005). Polar coordinates are for Sol'-Iletsk.</t>
  </si>
  <si>
    <t>Babintsevo, PIN 4617</t>
  </si>
  <si>
    <t>Babentzevo, Locality 75 of Tverdokhlebov et al. 2005</t>
  </si>
  <si>
    <t>"Orenburg region, 3.8 km NE of Babentzevo village, right slope of nameless gully, a right tributary of Konduzla River, Samara drainage basin (Ivakhnenko et al., 1997; Minikh and Minikh, 1997; Golubev, 2000)." (Tverdokhlebov et al. 2005)</t>
  </si>
  <si>
    <t>Philippolis</t>
  </si>
  <si>
    <t>Angielczyk and Rubidge</t>
  </si>
  <si>
    <t>Farm Somersfontein</t>
  </si>
  <si>
    <t>Lat/long of farm found online</t>
  </si>
  <si>
    <t>Scheyer et al.</t>
  </si>
  <si>
    <t>Ducanfurgga 4</t>
  </si>
  <si>
    <t>near Davos, Canton GraubÃƒÂ¼nden (Grisons), in the Swiss Alps</t>
  </si>
  <si>
    <t>Grootdriefontein (Cistecephalus Assemblage Zone)</t>
  </si>
  <si>
    <t>"Locality Grootdriefontein, Murraysburg"; polar coordinates are for the farm houses of the farm Groot Driefontein, situated about 15 km North-East of Murraysburg</t>
  </si>
  <si>
    <t>Zhang et al.</t>
  </si>
  <si>
    <t>Cistecephalus or Daptocephalus Assemblage Zone</t>
  </si>
  <si>
    <t>Bullberg, Richmond - undifferentiated assemblage zone</t>
  </si>
  <si>
    <t>Coordinates based on Richmond</t>
  </si>
  <si>
    <t>Horaffia</t>
  </si>
  <si>
    <t>Klein and Hagdorn</t>
  </si>
  <si>
    <t>Grenzbonebed</t>
  </si>
  <si>
    <t>Feldner Quarry, Satteldorf-Barenhalden</t>
  </si>
  <si>
    <t>RO</t>
  </si>
  <si>
    <t>Bihor</t>
  </si>
  <si>
    <t>JurcsÃƒÂ¡k</t>
  </si>
  <si>
    <t>LugaÃˆÂ™u de Sus</t>
  </si>
  <si>
    <t>Renesto and Stockar</t>
  </si>
  <si>
    <t>Das-Gupta</t>
  </si>
  <si>
    <t>Deoli</t>
  </si>
  <si>
    <t>Coordinates given by Tripathi (1969)</t>
  </si>
  <si>
    <t>Naugolnykh</t>
  </si>
  <si>
    <t>'Third'</t>
  </si>
  <si>
    <t>Nurgaliev et al.</t>
  </si>
  <si>
    <t>Monastery Ravine, Volga River ('Third' Formation)</t>
  </si>
  <si>
    <t>"The Third Formtion is well exposed in the first right tributary and in the thalweg of the mainstream of the Monastery Ravine. The slopes of the ravine expose only the lower part of the formation" (Nurgaliev et al. 2015)</t>
  </si>
  <si>
    <t>Pectodens</t>
  </si>
  <si>
    <t>Nochelesaurus</t>
  </si>
  <si>
    <t>Boesmanskop, Beaufort West</t>
  </si>
  <si>
    <t>Embrithosaurus</t>
  </si>
  <si>
    <t>Hoogeveld, Lot A</t>
  </si>
  <si>
    <t>Knoflock's Fontein</t>
  </si>
  <si>
    <t>"Hoogeveld Lot A, Prince Albert, South Africa" (Lee 1997)\r\nLocation estimated from map on https://www.weatherhq.co.za/western-cape-hoogeveld</t>
  </si>
  <si>
    <t>Styracocephalidae</t>
  </si>
  <si>
    <t>Styracocephalus</t>
  </si>
  <si>
    <t>Rubidge and van den Heever</t>
  </si>
  <si>
    <t>Roggekloof, Sutherland</t>
  </si>
  <si>
    <t>Vers Fontein/Jan Willem Fontein</t>
  </si>
  <si>
    <t>type locality of "Pareisaurus bombidens"</t>
  </si>
  <si>
    <t>Locality listed "as Vers Fontein (Varsfontein) in Owen (1876). However, Watson\r\n(1914b) published an extract from the notebook of W.G. Atherstone, who excavated\r\nthe specimen, which stated the fossil was found 'four miles from Jan Willem Fontein'. The two properties are adjacent, hence both localities are probably correct. Both are in the Prince Albert district, South Africa." (Lee, 1997).\r\nPolar coordinates are for point halfway between places named Varschfontein and Jan Willemsfontein on the maps, situated about 15 km SE from Leeu Gamka.</t>
  </si>
  <si>
    <t>Kruisvlei, Beaufort West</t>
  </si>
  <si>
    <t>No location details in Boonstra (1969), but all localities described as being in western South Africa. Guven et al. (2013) describe the farm as "farm Kruisvlei near Merweville Beaufort West", so these coordinates correspond to Merweville.</t>
  </si>
  <si>
    <t>Knoffelfontein</t>
  </si>
  <si>
    <t>Melkbosfontein, Beaufort West</t>
  </si>
  <si>
    <t>Welgemoed, Leeu-Gamka</t>
  </si>
  <si>
    <t>Sewefontein, Prince Albert</t>
  </si>
  <si>
    <t>No precise location details in Boonstra (1969), so the coordinate is based on Prince Albert.</t>
  </si>
  <si>
    <t>Dikbome, Laingsburg</t>
  </si>
  <si>
    <t>No precise location details in Boonstra (1969), so the coordinate is based on Laingsburg.</t>
  </si>
  <si>
    <t>Antarctanax</t>
  </si>
  <si>
    <t>Peecook et al.</t>
  </si>
  <si>
    <t>Helveticosaurus</t>
  </si>
  <si>
    <t>San Salvatore</t>
  </si>
  <si>
    <t>Nevadites secedensis</t>
  </si>
  <si>
    <t>Renesto and Pieroni</t>
  </si>
  <si>
    <t>SEZ.D, Rasa di Varese</t>
  </si>
  <si>
    <t>Log D (WGS84 coordinates 45Ã‚Â°51'19"N, 8Ã‚Â°48'23"E) - outcrop located in the center of the village.</t>
  </si>
  <si>
    <t>SEZ.I, Rasa di Varese</t>
  </si>
  <si>
    <t>Vellbergia</t>
  </si>
  <si>
    <t>Sobral et al.</t>
  </si>
  <si>
    <t>Elessaurus</t>
  </si>
  <si>
    <t>De-Oliveira et al.</t>
  </si>
  <si>
    <t>Polymorphodon</t>
  </si>
  <si>
    <t>Feralisaurus</t>
  </si>
  <si>
    <t>Helsby Sandstone</t>
  </si>
  <si>
    <t>Pennington Point</t>
  </si>
  <si>
    <t>Cavicchini et al.</t>
  </si>
  <si>
    <t>Foreshore below Peak Hill</t>
  </si>
  <si>
    <t>Foreshore below Peak Hill, Sidmouth, East Devon, England (National Grid Reference: SY 109865). The specimen was collected at "west-south-west of a beach access at JacobÃ¢Â€Â™s Ladder, Sidmouth, just beneath Peak Hill, after a storm had cleared a foreshore exposure at the top of the Otter Sandstone"</t>
  </si>
  <si>
    <t>Oryporan</t>
  </si>
  <si>
    <t>Spiekman et al.</t>
  </si>
  <si>
    <t>Monte San Giorgio general</t>
  </si>
  <si>
    <t>The Cava (or Miniera) della Val Porina is an abandoned mine in the Porina Valley about 1 km SW of the peak of Mte. S. Giorgio.\r\nThis collection comprises specimens for which no exact stratigraphic data are reported. [Copied from another collection]</t>
  </si>
  <si>
    <t>Bittencourt et al.</t>
  </si>
  <si>
    <t>Stauromatodon</t>
  </si>
  <si>
    <t>Teratosauridae</t>
  </si>
  <si>
    <t>Cladeiodon</t>
  </si>
  <si>
    <t>Heteropelta</t>
  </si>
  <si>
    <t>Torbiditi dÃ¢Â€Â™Aupa</t>
  </si>
  <si>
    <t>Aupa Valley near Saps village</t>
  </si>
  <si>
    <t>Locality 9</t>
  </si>
  <si>
    <t>Aupa Valley near Saps village, Moggio Udinese municipality, Udine Province, Friuli Venezia Giulia Autonomous Region, Italy.</t>
  </si>
  <si>
    <t>Mambawakale</t>
  </si>
  <si>
    <t>U15/1, east of the Mkongleko River</t>
  </si>
  <si>
    <t>Field locality U15/1</t>
  </si>
  <si>
    <t xml:space="preserve">Field locality U15/1, east of the Mkongleko River in the Ruhuhu basin, Songea district, southwestern Tanzania. </t>
  </si>
  <si>
    <t>Procolophonichnium</t>
  </si>
  <si>
    <t>Marchetti et al.</t>
  </si>
  <si>
    <t>Point 902, Monte San Giorgio, unspecified bed</t>
  </si>
  <si>
    <t>Mirigioli</t>
  </si>
  <si>
    <t>Near the top of Monte San Giorgio, sometimes called "Mirigioli" (coordinates 716 325/085 475)</t>
  </si>
  <si>
    <t>Jaquier et al.</t>
  </si>
  <si>
    <t>partial skeletons,partial skulls</t>
  </si>
  <si>
    <t>S12, 60 km southeast of Arlit</t>
  </si>
  <si>
    <t>Baisesaurus</t>
  </si>
  <si>
    <t>Luolou</t>
  </si>
  <si>
    <t>Ren et al.</t>
  </si>
  <si>
    <t>Longlin</t>
  </si>
  <si>
    <t>northwest margin of the Nanpanjiang Basin in Zhebao Township, Longlin County, Baise City, Guangxi, China</t>
  </si>
  <si>
    <t>Carrs Brook</t>
  </si>
  <si>
    <t>Lower Economy</t>
  </si>
  <si>
    <t>Carrs Brook, along shore W of Ross Creek, near Lower Economy</t>
  </si>
  <si>
    <t>Gamatavus</t>
  </si>
  <si>
    <t>Dilermando de Aguiar</t>
  </si>
  <si>
    <t>Dinodontosaurus AZ</t>
  </si>
  <si>
    <t>Pretto et al.</t>
  </si>
  <si>
    <t>Picada do Gama site</t>
  </si>
  <si>
    <t>"Specimens were collected in the Picada do Gama site which crops-out at the northern side of the BR 158 federal road (29Ã‚Â°46Ã¢Â€Â²37.60Ã¢Â€Â³S; 54Ã‚Â°06Ã¢Â€Â²00.42Ã¢Â€Â³W), Dilermando de Aguiar Municipality, circa 33 Km southwest of Santa Maria."</t>
  </si>
  <si>
    <t>Scolotosuchus</t>
  </si>
  <si>
    <t>Prosaurosphargis</t>
  </si>
  <si>
    <t>Wolniewicz et al.</t>
  </si>
  <si>
    <t>Yingzishan quarry</t>
  </si>
  <si>
    <t>Yingzishan quarry, where the new specimen (HFUT YZSB-19-109) was collected, is located on the northern boundary of the Yangtze Platform</t>
  </si>
  <si>
    <t>Holbrook Quarry</t>
  </si>
  <si>
    <t>Winslow, Northwest</t>
  </si>
  <si>
    <t>Chuvasia Republic</t>
  </si>
  <si>
    <t>Sloboda</t>
  </si>
  <si>
    <t>Bakaev and Kogan</t>
  </si>
  <si>
    <t>Povoyska</t>
  </si>
  <si>
    <t>Esin and Bakaev</t>
  </si>
  <si>
    <t>Sand pit, right bank of Bolshoy Cheremsham, nr Aksakovo</t>
  </si>
  <si>
    <t>Poldarsa</t>
  </si>
  <si>
    <t>Purtovino</t>
  </si>
  <si>
    <t>Arefiev et al.</t>
  </si>
  <si>
    <t>Nikulino outcrop, bed 47-54</t>
  </si>
  <si>
    <t>Benggwigwishingasuchus</t>
  </si>
  <si>
    <t>Frechites occidentalis</t>
  </si>
  <si>
    <t>Smith et al.</t>
  </si>
  <si>
    <t>LACM locality 8057, north slope of Favret Canyon</t>
  </si>
  <si>
    <t>LACM LOC 8057</t>
  </si>
  <si>
    <t>Favret Canyon, Augusta Mountains, Pershing County, Nevada, USA. The type locality, LACM LOC 8057, is near the top of the north slope of Favret Canyon at an altitude of 1911 m</t>
  </si>
  <si>
    <t>Marcianosuchus</t>
  </si>
  <si>
    <t>N206</t>
  </si>
  <si>
    <t>partial skull</t>
  </si>
  <si>
    <t>individual</t>
  </si>
  <si>
    <t>Archosauromorpha</t>
  </si>
  <si>
    <t>-</t>
  </si>
  <si>
    <t>FSTATE</t>
  </si>
  <si>
    <t>Cynognathus . Cynognathus B subzone</t>
  </si>
  <si>
    <t>SAM-PK-</t>
  </si>
  <si>
    <t>K11831</t>
  </si>
  <si>
    <t>N207</t>
  </si>
  <si>
    <t>Skull and manus</t>
  </si>
  <si>
    <t>K11742</t>
  </si>
  <si>
    <t>N208</t>
  </si>
  <si>
    <t>fragment of dorsal? vertebra</t>
  </si>
  <si>
    <t>ECAPE</t>
  </si>
  <si>
    <t xml:space="preserve">Cynognathus </t>
  </si>
  <si>
    <t>1315</t>
  </si>
  <si>
    <t>N209</t>
  </si>
  <si>
    <t>cf. tíbia</t>
  </si>
  <si>
    <t>930</t>
  </si>
  <si>
    <t>N210</t>
  </si>
  <si>
    <t>skull fragments ans vertebras</t>
  </si>
  <si>
    <t>978</t>
  </si>
  <si>
    <t>N211</t>
  </si>
  <si>
    <t>femur, tibia, rib, humerus, set of articulated and disarticulated vertebrae (about 21 vertebrae), scapula and pubis</t>
  </si>
  <si>
    <t>WCAPE</t>
  </si>
  <si>
    <t>K10025</t>
  </si>
  <si>
    <t>N212</t>
  </si>
  <si>
    <t>maxilla</t>
  </si>
  <si>
    <t>K1098</t>
  </si>
  <si>
    <t>N213</t>
  </si>
  <si>
    <t>skull fragment and postcrania and also a posterior portion of the mandible which could be another taxa</t>
  </si>
  <si>
    <t>-31</t>
  </si>
  <si>
    <t>11330</t>
  </si>
  <si>
    <t>N214</t>
  </si>
  <si>
    <t>cranial bones</t>
  </si>
  <si>
    <t>7684</t>
  </si>
  <si>
    <t>N215</t>
  </si>
  <si>
    <t>postcranium elements (pubis, isquium, metatarsal?, vertebras)</t>
  </si>
  <si>
    <t>3028</t>
  </si>
  <si>
    <t>N358</t>
  </si>
  <si>
    <t>right hindlimb</t>
  </si>
  <si>
    <t>Aliwal North Commonage</t>
  </si>
  <si>
    <t>7701</t>
  </si>
  <si>
    <t>N359</t>
  </si>
  <si>
    <t>5887</t>
  </si>
  <si>
    <t>N360</t>
  </si>
  <si>
    <t>foot</t>
  </si>
  <si>
    <t>6546</t>
  </si>
  <si>
    <t>N361</t>
  </si>
  <si>
    <t>lower jaw and humerus</t>
  </si>
  <si>
    <t>7838</t>
  </si>
  <si>
    <t>N485</t>
  </si>
  <si>
    <t>an individual seprated from the 11753 b and c based on rigth ilium (four distal humerus, 3 isquiums, one isolated vertebrae, 3 articulated vertebrae, proximal radium and ulna, four proximais de femur, três ílios dois direitos e um esquerdo e um coracoide, um humero proximal e um centro isolado)</t>
  </si>
  <si>
    <t>Tanganyika</t>
  </si>
  <si>
    <t>11753a</t>
  </si>
  <si>
    <t>N486</t>
  </si>
  <si>
    <t>an individual seprated from the 11753 a and c based on rigth ilium (four distal humerus, 3 isquiums, one isolated vertebrae, 3 articulated vertebrae, proximal radium and ulna, four proximais de femur, três ílios dois direitos e um esquerdo e um coracoide, um humero proximal e um centro isolado)</t>
  </si>
  <si>
    <t>11753b</t>
  </si>
  <si>
    <t>N487</t>
  </si>
  <si>
    <t>an individual seprated from the 11753 a and b based on rigth ilium (four distal humerus, 3 isquiums, one isolated vertebrae, 3 articulated vertebrae, proximal radium and ulna, four proximais de femur, três ílios dois direitos e um esquerdo e um coracoide, um humero proximal e um centro isolado)</t>
  </si>
  <si>
    <t>11753c</t>
  </si>
  <si>
    <t>N488</t>
  </si>
  <si>
    <t>an individual seprated from the 11753 j, k and l based on femurs (five cervical isolated vertebras, four isolated dorsal, two articulated dorsal vertebra and one isolated caudal vertebra, two distal of humerus, coracoide and two iliums, 3 femurs, skull fragment)</t>
  </si>
  <si>
    <t>11753i</t>
  </si>
  <si>
    <t>N489</t>
  </si>
  <si>
    <t>an individual seprated from the 11753 i, k and l based on femurs (five cervical isolated vertebras, four isolated dorsal, two articulated dorsal vertebra and one isolated caudal vertebra, two distal of humerus, coracoide and two iliums, 3 femurs, skull fragment)</t>
  </si>
  <si>
    <t>11753j</t>
  </si>
  <si>
    <t>N490</t>
  </si>
  <si>
    <t>an individual seprated from the 11753 i, j and l based on femurs (five cervical isolated vertebras, four isolated dorsal, two articulated dorsal vertebra and one isolated caudal vertebra, two distal of humerus, coracoide and two iliums, 3 femurs, skull fragment)</t>
  </si>
  <si>
    <t>11753k</t>
  </si>
  <si>
    <t>N491</t>
  </si>
  <si>
    <t>rigth humerus</t>
  </si>
  <si>
    <t>11753q</t>
  </si>
  <si>
    <t>N492</t>
  </si>
  <si>
    <t>right femur</t>
  </si>
  <si>
    <t>11753v</t>
  </si>
  <si>
    <t>N493</t>
  </si>
  <si>
    <t>distal de humerus</t>
  </si>
  <si>
    <t>11753w</t>
  </si>
  <si>
    <t>N494</t>
  </si>
  <si>
    <t>11753x</t>
  </si>
  <si>
    <t>N495</t>
  </si>
  <si>
    <t>11753z</t>
  </si>
  <si>
    <t>N496</t>
  </si>
  <si>
    <t>rigth dentary</t>
  </si>
  <si>
    <t>N497</t>
  </si>
  <si>
    <t>escapulo coracoide</t>
  </si>
  <si>
    <t>N498</t>
  </si>
  <si>
    <t>úmero de grande porte</t>
  </si>
  <si>
    <t>N499</t>
  </si>
  <si>
    <t>fragmento proximal de umero</t>
  </si>
  <si>
    <t>N500</t>
  </si>
  <si>
    <t>úmero</t>
  </si>
  <si>
    <t>N501</t>
  </si>
  <si>
    <t>dorsal isolated vertebra</t>
  </si>
  <si>
    <t>unknown</t>
  </si>
  <si>
    <t>N502</t>
  </si>
  <si>
    <t>isolated caudal vertebra</t>
  </si>
  <si>
    <t>N542</t>
  </si>
  <si>
    <t>an articulated anterior part of the skeleton preserving the skull in the ventral view and an incomplete cervical vertebral</t>
  </si>
  <si>
    <t>Gracilicollum</t>
  </si>
  <si>
    <t>25.473041</t>
  </si>
  <si>
    <t>104.840656</t>
  </si>
  <si>
    <t>Xinmin</t>
  </si>
  <si>
    <t>Wang et al 2023</t>
  </si>
  <si>
    <t>IVPP V</t>
  </si>
  <si>
    <t>15636</t>
  </si>
  <si>
    <t>RS</t>
  </si>
  <si>
    <t>Rosário do Sul</t>
  </si>
  <si>
    <t>UFRGS-PV-</t>
  </si>
  <si>
    <t>Parareptilia</t>
  </si>
  <si>
    <t>Prcolophonidae</t>
  </si>
  <si>
    <t>UFSM</t>
  </si>
  <si>
    <t>CAPPA/UFSM</t>
  </si>
  <si>
    <t>USA</t>
  </si>
  <si>
    <t>N521</t>
  </si>
  <si>
    <t>Pintosaurus</t>
  </si>
  <si>
    <t>UR</t>
  </si>
  <si>
    <t>Buena Vista</t>
  </si>
  <si>
    <t>Pineiro et al 2003</t>
  </si>
  <si>
    <t>FC-DPV</t>
  </si>
  <si>
    <t>1181</t>
  </si>
  <si>
    <t>Eureptilia</t>
  </si>
  <si>
    <t>FMNH UR</t>
  </si>
  <si>
    <t>N30</t>
  </si>
  <si>
    <t>maxila VER na literatura</t>
  </si>
  <si>
    <t>Porto Mariante 2</t>
  </si>
  <si>
    <t>Schultz et al 2016</t>
  </si>
  <si>
    <t>0315 T</t>
  </si>
  <si>
    <t>N35</t>
  </si>
  <si>
    <t>crânio</t>
  </si>
  <si>
    <t>Müller 2021</t>
  </si>
  <si>
    <t>0225</t>
  </si>
  <si>
    <t>N245</t>
  </si>
  <si>
    <t>partial right ilium</t>
  </si>
  <si>
    <t>BR 158 federal road</t>
  </si>
  <si>
    <t>Pretto et al 2022</t>
  </si>
  <si>
    <t>11348a</t>
  </si>
  <si>
    <t>N371</t>
  </si>
  <si>
    <t>a partial skeleton, including a skull with lower jaws, 11 dorsal vertebrae, two sacral vertebrae, a complete pelvic girdle, both femora (lacking the distal portion), partial lef tibia, partial lef fbula, and  lef calcaneum</t>
  </si>
  <si>
    <t>Parvosuchus</t>
  </si>
  <si>
    <t>Müller 2024</t>
  </si>
  <si>
    <t>0412</t>
  </si>
  <si>
    <t>N372</t>
  </si>
  <si>
    <t>Prestosuchidae</t>
  </si>
  <si>
    <t>Raugust &amp; Schultz 2013</t>
  </si>
  <si>
    <t>0629 T</t>
  </si>
  <si>
    <t>N373</t>
  </si>
  <si>
    <t xml:space="preserve">Região occipital e parte do crânio. </t>
  </si>
  <si>
    <t>Pinheiro</t>
  </si>
  <si>
    <t>MCT</t>
  </si>
  <si>
    <t>000377 R</t>
  </si>
  <si>
    <t>N374</t>
  </si>
  <si>
    <t>cranio completo juvenil</t>
  </si>
  <si>
    <t>MCZ</t>
  </si>
  <si>
    <t>4167</t>
  </si>
  <si>
    <t>N375</t>
  </si>
  <si>
    <t>pre maxila e parte anterior da maxila com dentes</t>
  </si>
  <si>
    <t>-30</t>
  </si>
  <si>
    <t>MPDC</t>
  </si>
  <si>
    <t>657-136 (659-138)</t>
  </si>
  <si>
    <t>N513</t>
  </si>
  <si>
    <t>an almost complete and articulated hindlimb</t>
  </si>
  <si>
    <t>Retymaijychampsa</t>
  </si>
  <si>
    <t>Linha Várzea</t>
  </si>
  <si>
    <t>Müller 2025</t>
  </si>
  <si>
    <t>0430</t>
  </si>
  <si>
    <t>N514</t>
  </si>
  <si>
    <t>a tooth fragment and postcranial remains, including a fragment of the axial neural arch, one complete and two partial cervical neural arches, a mid-caudal neural arch, four caudal vertebrae and an isolated caudal neural spine, two partial cervical and two partial dorsal ribs, both articulated ischia, right calcaneum, two metatarsal fragments, and several osteoderms.</t>
  </si>
  <si>
    <t>Schultzsuchus</t>
  </si>
  <si>
    <t>west of Chiniquá</t>
  </si>
  <si>
    <t>Desojo &amp; Rauhut 2024</t>
  </si>
  <si>
    <t>SNSB-BSPG</t>
  </si>
  <si>
    <t>AS XXV 13–24/26–27/43–48</t>
  </si>
  <si>
    <t>N519</t>
  </si>
  <si>
    <t>almost complete skull and lower jaw;  a partial skull lacking the anterior portion of the rostrum;  partial skull with the antorbital region preserved</t>
  </si>
  <si>
    <t>Pinheirochampsa</t>
  </si>
  <si>
    <t>Paes-Neto et al 2023</t>
  </si>
  <si>
    <t>0464 T; 065 T; and 0465 T (probably also a Pinheirochampsa)</t>
  </si>
  <si>
    <t>N520</t>
  </si>
  <si>
    <t>Right femur</t>
  </si>
  <si>
    <t>Gondwanax</t>
  </si>
  <si>
    <t>Muller 2024</t>
  </si>
  <si>
    <t>417</t>
  </si>
  <si>
    <t>N522</t>
  </si>
  <si>
    <t>a partial skeleton, and it is a 3D body fossil</t>
  </si>
  <si>
    <t>Elorhynchus</t>
  </si>
  <si>
    <t>Cordoba</t>
  </si>
  <si>
    <t>Campo de Norte de Cordoba</t>
  </si>
  <si>
    <t>Chañares</t>
  </si>
  <si>
    <t>Agua de la Peña</t>
  </si>
  <si>
    <t>Ezcurra et al 2020</t>
  </si>
  <si>
    <t>CRILAR-Pv</t>
  </si>
  <si>
    <t>496</t>
  </si>
  <si>
    <t>N524</t>
  </si>
  <si>
    <t>a set of postcrania</t>
  </si>
  <si>
    <t>Koilamasuchus</t>
  </si>
  <si>
    <t>Mendoza</t>
  </si>
  <si>
    <t>Agua de los Burros</t>
  </si>
  <si>
    <t>Quebrada de Los Fosiles</t>
  </si>
  <si>
    <t>Ezcurra et al 2010</t>
  </si>
  <si>
    <t>MACN-Pv</t>
  </si>
  <si>
    <t>18119</t>
  </si>
  <si>
    <t>MCN-PV</t>
  </si>
  <si>
    <t>This study</t>
  </si>
  <si>
    <t>MCN-PV-</t>
  </si>
  <si>
    <t>dentário</t>
  </si>
  <si>
    <t>skull</t>
  </si>
  <si>
    <t>N376</t>
  </si>
  <si>
    <t>Lower Triassic</t>
  </si>
  <si>
    <t>Rincão dos Weiss</t>
  </si>
  <si>
    <t>1888</t>
  </si>
  <si>
    <t>N377</t>
  </si>
  <si>
    <t>UNIPAMPA</t>
  </si>
  <si>
    <t>0748</t>
  </si>
  <si>
    <t>N378</t>
  </si>
  <si>
    <t>rigth partial skull (large)</t>
  </si>
  <si>
    <t>Dias-da-Silva et al 2017</t>
  </si>
  <si>
    <t>0494 T</t>
  </si>
  <si>
    <t>N379</t>
  </si>
  <si>
    <t>2722</t>
  </si>
  <si>
    <t>N380</t>
  </si>
  <si>
    <t>0055</t>
  </si>
  <si>
    <t>N381</t>
  </si>
  <si>
    <t>0680</t>
  </si>
  <si>
    <t>N382</t>
  </si>
  <si>
    <t>dentary</t>
  </si>
  <si>
    <t>0731</t>
  </si>
  <si>
    <t>N383</t>
  </si>
  <si>
    <t>skull and mandibule</t>
  </si>
  <si>
    <t>0732</t>
  </si>
  <si>
    <t>N384</t>
  </si>
  <si>
    <t>Procolophon c.f. trigoniceps</t>
  </si>
  <si>
    <t>Toroquá</t>
  </si>
  <si>
    <t>0704</t>
  </si>
  <si>
    <t>N385</t>
  </si>
  <si>
    <t>0705</t>
  </si>
  <si>
    <t>N386</t>
  </si>
  <si>
    <t>0706</t>
  </si>
  <si>
    <t>N387</t>
  </si>
  <si>
    <t>0707</t>
  </si>
  <si>
    <t>N388</t>
  </si>
  <si>
    <t>0708</t>
  </si>
  <si>
    <t>N389</t>
  </si>
  <si>
    <t>0710</t>
  </si>
  <si>
    <t>N390</t>
  </si>
  <si>
    <t>0711</t>
  </si>
  <si>
    <t>N391</t>
  </si>
  <si>
    <t>0736</t>
  </si>
  <si>
    <t>N392</t>
  </si>
  <si>
    <t>0747</t>
  </si>
  <si>
    <t>N393</t>
  </si>
  <si>
    <t>0749</t>
  </si>
  <si>
    <t>N535</t>
  </si>
  <si>
    <t>a nearly complete, semi-articulated skeleton</t>
  </si>
  <si>
    <t>Tramuntanasaurus</t>
  </si>
  <si>
    <t>39.686844</t>
  </si>
  <si>
    <t>2.514965</t>
  </si>
  <si>
    <t>Balearic Islands</t>
  </si>
  <si>
    <t>western Mediterranean</t>
  </si>
  <si>
    <t>Port des Canonge</t>
  </si>
  <si>
    <t>Racó de s'Algar–Pedra de s'As</t>
  </si>
  <si>
    <t>Matamales-Andreu et al 2023</t>
  </si>
  <si>
    <t>DA</t>
  </si>
  <si>
    <t>21/17-01-03</t>
  </si>
  <si>
    <t>N538</t>
  </si>
  <si>
    <t>a mandible (dentary)</t>
  </si>
  <si>
    <t>Kahneria</t>
  </si>
  <si>
    <t>-99.9383</t>
  </si>
  <si>
    <t>33.66</t>
  </si>
  <si>
    <t>San Angelo</t>
  </si>
  <si>
    <t>Pease River</t>
  </si>
  <si>
    <t>Flowerpot Shale</t>
  </si>
  <si>
    <t>618</t>
  </si>
  <si>
    <t>N397</t>
  </si>
  <si>
    <t>pelvic girdle of a juvenile individual</t>
  </si>
  <si>
    <t>Cisneros et al 2021</t>
  </si>
  <si>
    <t>0232 P (paratype)</t>
  </si>
  <si>
    <t>N398</t>
  </si>
  <si>
    <t>0358 P</t>
  </si>
  <si>
    <t>N399</t>
  </si>
  <si>
    <t>scapulocoracoid and a partial rib of a juvenile individual</t>
  </si>
  <si>
    <t>0376 P</t>
  </si>
  <si>
    <t>N400</t>
  </si>
  <si>
    <t>partial skull, right mandible, left humerus, partial left scapulocoracoid, ribs, clavicle, one ungual phalanx, interclavicle, vertebrae and osteoderms</t>
  </si>
  <si>
    <t>Minuano</t>
  </si>
  <si>
    <t>0359 P</t>
  </si>
  <si>
    <t>N401</t>
  </si>
  <si>
    <t>varios ossos para preparar</t>
  </si>
  <si>
    <t>Aceguá</t>
  </si>
  <si>
    <t>ULVG-</t>
  </si>
  <si>
    <t>8675</t>
  </si>
  <si>
    <t>N369</t>
  </si>
  <si>
    <t>Pararetilia</t>
  </si>
  <si>
    <t xml:space="preserve">Cistecephalus </t>
  </si>
  <si>
    <t>12000 (referred by Boonstra 1930 as a Neotype)</t>
  </si>
  <si>
    <t>N370</t>
  </si>
  <si>
    <t>Skull and other isolated elements of postcrania</t>
  </si>
  <si>
    <t xml:space="preserve">Cistecephalus  </t>
  </si>
  <si>
    <t>2337 (Holotype)</t>
  </si>
  <si>
    <t>N539</t>
  </si>
  <si>
    <t>skull with maxillae and lower jaw attached</t>
  </si>
  <si>
    <t>Indosauriscus</t>
  </si>
  <si>
    <t>80.358531</t>
  </si>
  <si>
    <t>18.844196</t>
  </si>
  <si>
    <t>Near the village of Golet</t>
  </si>
  <si>
    <t>Kundaram</t>
  </si>
  <si>
    <t>Reisz et al 2024</t>
  </si>
  <si>
    <t>ISIR</t>
  </si>
  <si>
    <t>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</si>
</sst>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Calibri"/>
      <family val="2"/>
    </font>
    <font>
      <i/>
      <sz val="11"/>
      <name val="Calibri"/>
      <family val="2"/>
    </font>
    <font>
      <sz val="11"/>
      <color rgb="FF00B050"/>
      <name val="Calibri"/>
      <family val="2"/>
    </font>
    <font>
      <i/>
      <sz val="11"/>
      <color theme="1"/>
      <name val="Calibri"/>
      <family val="2"/>
    </font>
    <font>
      <sz val="11"/>
      <color rgb="FF333333"/>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xf numFmtId="0" fontId="19" fillId="0" borderId="0" xfId="0" applyFont="1"/>
    <xf numFmtId="0" fontId="20" fillId="0" borderId="0" xfId="0" applyFont="1"/>
    <xf numFmtId="0" fontId="19" fillId="0" borderId="0" xfId="0" applyFont="1" applyAlignment="1">
      <alignment horizontal="right"/>
    </xf>
    <xf numFmtId="49" fontId="19" fillId="0" borderId="0" xfId="0" applyNumberFormat="1" applyFont="1"/>
    <xf numFmtId="0" fontId="20" fillId="33" borderId="0" xfId="0" applyFont="1" applyFill="1"/>
    <xf numFmtId="0" fontId="19" fillId="33" borderId="0" xfId="0" applyFont="1" applyFill="1"/>
    <xf numFmtId="49" fontId="19" fillId="33" borderId="0" xfId="0" applyNumberFormat="1" applyFont="1" applyFill="1"/>
    <xf numFmtId="0" fontId="19" fillId="0" borderId="0" xfId="0" applyFont="1" applyAlignment="1">
      <alignment horizontal="left"/>
    </xf>
    <xf numFmtId="49" fontId="19" fillId="0" borderId="0" xfId="0" applyNumberFormat="1" applyFont="1" applyAlignment="1">
      <alignment horizontal="left"/>
    </xf>
    <xf numFmtId="0" fontId="18" fillId="0" borderId="0" xfId="0" applyFont="1" applyAlignment="1">
      <alignment horizontal="left"/>
    </xf>
    <xf numFmtId="0" fontId="19" fillId="33" borderId="0" xfId="0" applyFont="1" applyFill="1" applyAlignment="1">
      <alignment horizontal="right"/>
    </xf>
    <xf numFmtId="49" fontId="19" fillId="0" borderId="0" xfId="0" applyNumberFormat="1" applyFont="1" applyAlignment="1">
      <alignment horizontal="left" vertical="top"/>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xf>
    <xf numFmtId="49" fontId="19" fillId="0" borderId="0" xfId="0" applyNumberFormat="1" applyFont="1" applyAlignment="1">
      <alignment horizontal="left" vertical="center"/>
    </xf>
    <xf numFmtId="49" fontId="18" fillId="0" borderId="0" xfId="0" applyNumberFormat="1" applyFont="1"/>
    <xf numFmtId="0" fontId="21" fillId="0" borderId="0" xfId="0" applyFont="1" applyAlignment="1">
      <alignment horizontal="left"/>
    </xf>
    <xf numFmtId="0" fontId="22" fillId="0" borderId="0" xfId="0" applyFont="1"/>
    <xf numFmtId="0" fontId="23"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44DF-9B6A-460B-8892-AE8C4128598C}">
  <dimension ref="A1:BB1364"/>
  <sheetViews>
    <sheetView tabSelected="1" topLeftCell="A1342" workbookViewId="0">
      <selection activeCell="G1367" sqref="G1367"/>
    </sheetView>
  </sheetViews>
  <sheetFormatPr defaultRowHeight="14.6" x14ac:dyDescent="0.4"/>
  <cols>
    <col min="12" max="12" width="27.921875" customWidth="1"/>
    <col min="14" max="14" width="17" customWidth="1"/>
  </cols>
  <sheetData>
    <row r="1" spans="1:5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4">
      <c r="A2">
        <v>287287</v>
      </c>
      <c r="D2" t="s">
        <v>54</v>
      </c>
      <c r="E2" t="s">
        <v>55</v>
      </c>
      <c r="G2">
        <v>7</v>
      </c>
      <c r="H2" t="s">
        <v>74</v>
      </c>
      <c r="I2" t="s">
        <v>57</v>
      </c>
      <c r="K2" t="s">
        <v>148</v>
      </c>
      <c r="L2" t="s">
        <v>211</v>
      </c>
      <c r="M2" t="s">
        <v>59</v>
      </c>
      <c r="N2" t="s">
        <v>97</v>
      </c>
      <c r="O2" t="s">
        <v>101</v>
      </c>
      <c r="P2" t="s">
        <v>212</v>
      </c>
      <c r="Q2" t="s">
        <v>137</v>
      </c>
      <c r="R2" t="s">
        <v>138</v>
      </c>
      <c r="S2" t="s">
        <v>98</v>
      </c>
      <c r="T2">
        <v>274.39999999999998</v>
      </c>
      <c r="U2">
        <v>264.27999999999997</v>
      </c>
      <c r="V2">
        <f>(T2+U2)/2</f>
        <v>269.33999999999997</v>
      </c>
      <c r="W2">
        <f>T2-U2</f>
        <v>10.120000000000005</v>
      </c>
      <c r="X2">
        <v>-98.316665999999998</v>
      </c>
      <c r="Y2">
        <v>35.971111000000001</v>
      </c>
      <c r="Z2" t="s">
        <v>213</v>
      </c>
      <c r="AA2" t="s">
        <v>63</v>
      </c>
      <c r="AB2" t="s">
        <v>214</v>
      </c>
      <c r="AC2" t="s">
        <v>215</v>
      </c>
      <c r="AD2" t="s">
        <v>216</v>
      </c>
      <c r="AE2" t="s">
        <v>217</v>
      </c>
      <c r="AH2" t="s">
        <v>65</v>
      </c>
      <c r="AI2" t="s">
        <v>218</v>
      </c>
      <c r="AJ2">
        <v>1965</v>
      </c>
      <c r="AK2" t="s">
        <v>219</v>
      </c>
      <c r="AM2" t="s">
        <v>220</v>
      </c>
      <c r="AN2" t="s">
        <v>67</v>
      </c>
      <c r="AO2" t="s">
        <v>68</v>
      </c>
      <c r="AP2" t="s">
        <v>95</v>
      </c>
      <c r="AQ2" t="s">
        <v>221</v>
      </c>
      <c r="AR2" t="s">
        <v>70</v>
      </c>
      <c r="AS2">
        <v>101</v>
      </c>
      <c r="AT2" t="s">
        <v>71</v>
      </c>
      <c r="AU2">
        <v>-24.94</v>
      </c>
      <c r="AV2">
        <v>7.96</v>
      </c>
      <c r="AW2" t="s">
        <v>72</v>
      </c>
      <c r="AX2">
        <v>101</v>
      </c>
      <c r="AY2" t="s">
        <v>71</v>
      </c>
      <c r="AZ2">
        <v>-26</v>
      </c>
      <c r="BA2">
        <v>6.01</v>
      </c>
      <c r="BB2" t="s">
        <v>73</v>
      </c>
    </row>
    <row r="3" spans="1:54" x14ac:dyDescent="0.4">
      <c r="A3">
        <v>287715</v>
      </c>
      <c r="D3" t="s">
        <v>108</v>
      </c>
      <c r="E3" t="s">
        <v>55</v>
      </c>
      <c r="G3">
        <v>1</v>
      </c>
      <c r="H3" t="s">
        <v>56</v>
      </c>
      <c r="I3" t="s">
        <v>57</v>
      </c>
      <c r="K3" t="s">
        <v>148</v>
      </c>
      <c r="L3" t="s">
        <v>211</v>
      </c>
      <c r="M3" t="s">
        <v>59</v>
      </c>
      <c r="N3" t="s">
        <v>97</v>
      </c>
      <c r="O3" t="s">
        <v>101</v>
      </c>
      <c r="P3" t="s">
        <v>212</v>
      </c>
      <c r="Q3" t="s">
        <v>137</v>
      </c>
      <c r="R3" t="s">
        <v>138</v>
      </c>
      <c r="S3" t="s">
        <v>98</v>
      </c>
      <c r="T3">
        <v>274.39999999999998</v>
      </c>
      <c r="U3">
        <v>264.27999999999997</v>
      </c>
      <c r="V3">
        <f>(T3+U3)/2</f>
        <v>269.33999999999997</v>
      </c>
      <c r="W3">
        <f>T3-U3</f>
        <v>10.120000000000005</v>
      </c>
      <c r="X3">
        <v>-98.375832000000003</v>
      </c>
      <c r="Y3">
        <v>35.999442999999999</v>
      </c>
      <c r="Z3" t="s">
        <v>213</v>
      </c>
      <c r="AA3" t="s">
        <v>63</v>
      </c>
      <c r="AB3" t="s">
        <v>214</v>
      </c>
      <c r="AC3" t="s">
        <v>215</v>
      </c>
      <c r="AD3" t="s">
        <v>216</v>
      </c>
      <c r="AE3" t="s">
        <v>217</v>
      </c>
      <c r="AH3" t="s">
        <v>65</v>
      </c>
      <c r="AI3" t="s">
        <v>218</v>
      </c>
      <c r="AJ3">
        <v>1965</v>
      </c>
      <c r="AK3" t="s">
        <v>222</v>
      </c>
      <c r="AM3" t="s">
        <v>220</v>
      </c>
      <c r="AN3" t="s">
        <v>121</v>
      </c>
      <c r="AO3" t="s">
        <v>68</v>
      </c>
      <c r="AP3" t="s">
        <v>69</v>
      </c>
      <c r="AQ3" t="s">
        <v>223</v>
      </c>
      <c r="AR3" t="s">
        <v>70</v>
      </c>
      <c r="AS3">
        <v>101</v>
      </c>
      <c r="AT3" t="s">
        <v>71</v>
      </c>
      <c r="AU3">
        <v>-24.97</v>
      </c>
      <c r="AV3">
        <v>8.01</v>
      </c>
      <c r="AW3" t="s">
        <v>72</v>
      </c>
      <c r="AX3">
        <v>101</v>
      </c>
      <c r="AY3" t="s">
        <v>71</v>
      </c>
      <c r="AZ3">
        <v>-26.03</v>
      </c>
      <c r="BA3">
        <v>6.05</v>
      </c>
      <c r="BB3" t="s">
        <v>73</v>
      </c>
    </row>
    <row r="4" spans="1:54" x14ac:dyDescent="0.4">
      <c r="A4">
        <v>287715</v>
      </c>
      <c r="D4" t="s">
        <v>108</v>
      </c>
      <c r="E4" t="s">
        <v>55</v>
      </c>
      <c r="G4">
        <v>1</v>
      </c>
      <c r="H4" t="s">
        <v>56</v>
      </c>
      <c r="I4" t="s">
        <v>57</v>
      </c>
      <c r="K4" t="s">
        <v>148</v>
      </c>
      <c r="L4" t="s">
        <v>211</v>
      </c>
      <c r="M4" t="s">
        <v>59</v>
      </c>
      <c r="N4" t="s">
        <v>97</v>
      </c>
      <c r="O4" t="s">
        <v>101</v>
      </c>
      <c r="P4" t="s">
        <v>212</v>
      </c>
      <c r="Q4" t="s">
        <v>137</v>
      </c>
      <c r="R4" t="s">
        <v>138</v>
      </c>
      <c r="S4" t="s">
        <v>98</v>
      </c>
      <c r="T4">
        <v>274.39999999999998</v>
      </c>
      <c r="U4">
        <v>264.27999999999997</v>
      </c>
      <c r="V4">
        <f>(T4+U4)/2</f>
        <v>269.33999999999997</v>
      </c>
      <c r="W4">
        <f>T4-U4</f>
        <v>10.120000000000005</v>
      </c>
      <c r="X4">
        <v>-98.375832000000003</v>
      </c>
      <c r="Y4">
        <v>35.999442999999999</v>
      </c>
      <c r="Z4" t="s">
        <v>213</v>
      </c>
      <c r="AA4" t="s">
        <v>63</v>
      </c>
      <c r="AB4" t="s">
        <v>214</v>
      </c>
      <c r="AC4" t="s">
        <v>215</v>
      </c>
      <c r="AD4" t="s">
        <v>216</v>
      </c>
      <c r="AE4" t="s">
        <v>217</v>
      </c>
      <c r="AH4" t="s">
        <v>65</v>
      </c>
      <c r="AI4" t="s">
        <v>218</v>
      </c>
      <c r="AJ4">
        <v>1965</v>
      </c>
      <c r="AK4" t="s">
        <v>222</v>
      </c>
      <c r="AM4" t="s">
        <v>220</v>
      </c>
      <c r="AN4" t="s">
        <v>121</v>
      </c>
      <c r="AO4" t="s">
        <v>68</v>
      </c>
      <c r="AP4" t="s">
        <v>69</v>
      </c>
      <c r="AQ4" t="s">
        <v>223</v>
      </c>
      <c r="AR4" t="s">
        <v>70</v>
      </c>
      <c r="AS4">
        <v>101</v>
      </c>
      <c r="AT4" t="s">
        <v>71</v>
      </c>
      <c r="AU4">
        <v>-24.97</v>
      </c>
      <c r="AV4">
        <v>8.01</v>
      </c>
      <c r="AW4" t="s">
        <v>72</v>
      </c>
      <c r="AX4">
        <v>101</v>
      </c>
      <c r="AY4" t="s">
        <v>71</v>
      </c>
      <c r="AZ4">
        <v>-26.03</v>
      </c>
      <c r="BA4">
        <v>6.05</v>
      </c>
      <c r="BB4" t="s">
        <v>73</v>
      </c>
    </row>
    <row r="5" spans="1:54" x14ac:dyDescent="0.4">
      <c r="A5">
        <v>287715</v>
      </c>
      <c r="D5" t="s">
        <v>108</v>
      </c>
      <c r="E5" t="s">
        <v>55</v>
      </c>
      <c r="G5">
        <v>1</v>
      </c>
      <c r="H5" t="s">
        <v>56</v>
      </c>
      <c r="I5" t="s">
        <v>57</v>
      </c>
      <c r="K5" t="s">
        <v>148</v>
      </c>
      <c r="L5" t="s">
        <v>211</v>
      </c>
      <c r="M5" t="s">
        <v>59</v>
      </c>
      <c r="N5" t="s">
        <v>97</v>
      </c>
      <c r="O5" t="s">
        <v>101</v>
      </c>
      <c r="P5" t="s">
        <v>212</v>
      </c>
      <c r="Q5" t="s">
        <v>137</v>
      </c>
      <c r="R5" t="s">
        <v>138</v>
      </c>
      <c r="S5" t="s">
        <v>98</v>
      </c>
      <c r="T5">
        <v>274.39999999999998</v>
      </c>
      <c r="U5">
        <v>264.27999999999997</v>
      </c>
      <c r="V5">
        <f>(T5+U5)/2</f>
        <v>269.33999999999997</v>
      </c>
      <c r="W5">
        <f>T5-U5</f>
        <v>10.120000000000005</v>
      </c>
      <c r="X5">
        <v>-98.375832000000003</v>
      </c>
      <c r="Y5">
        <v>35.999442999999999</v>
      </c>
      <c r="Z5" t="s">
        <v>213</v>
      </c>
      <c r="AA5" t="s">
        <v>63</v>
      </c>
      <c r="AB5" t="s">
        <v>214</v>
      </c>
      <c r="AC5" t="s">
        <v>215</v>
      </c>
      <c r="AD5" t="s">
        <v>216</v>
      </c>
      <c r="AE5" t="s">
        <v>217</v>
      </c>
      <c r="AH5" t="s">
        <v>65</v>
      </c>
      <c r="AI5" t="s">
        <v>218</v>
      </c>
      <c r="AJ5">
        <v>1965</v>
      </c>
      <c r="AK5" t="s">
        <v>222</v>
      </c>
      <c r="AM5" t="s">
        <v>220</v>
      </c>
      <c r="AN5" t="s">
        <v>121</v>
      </c>
      <c r="AO5" t="s">
        <v>68</v>
      </c>
      <c r="AP5" t="s">
        <v>69</v>
      </c>
      <c r="AQ5" t="s">
        <v>223</v>
      </c>
      <c r="AR5" t="s">
        <v>70</v>
      </c>
      <c r="AS5">
        <v>101</v>
      </c>
      <c r="AT5" t="s">
        <v>71</v>
      </c>
      <c r="AU5">
        <v>-24.97</v>
      </c>
      <c r="AV5">
        <v>8.01</v>
      </c>
      <c r="AW5" t="s">
        <v>72</v>
      </c>
      <c r="AX5">
        <v>101</v>
      </c>
      <c r="AY5" t="s">
        <v>71</v>
      </c>
      <c r="AZ5">
        <v>-26.03</v>
      </c>
      <c r="BA5">
        <v>6.05</v>
      </c>
      <c r="BB5" t="s">
        <v>73</v>
      </c>
    </row>
    <row r="6" spans="1:54" x14ac:dyDescent="0.4">
      <c r="A6">
        <v>287747</v>
      </c>
      <c r="D6" t="s">
        <v>54</v>
      </c>
      <c r="E6" t="s">
        <v>55</v>
      </c>
      <c r="G6">
        <v>1</v>
      </c>
      <c r="H6" t="s">
        <v>56</v>
      </c>
      <c r="I6" t="s">
        <v>57</v>
      </c>
      <c r="K6" t="s">
        <v>148</v>
      </c>
      <c r="L6" t="s">
        <v>211</v>
      </c>
      <c r="M6" t="s">
        <v>59</v>
      </c>
      <c r="N6" t="s">
        <v>97</v>
      </c>
      <c r="O6" t="s">
        <v>101</v>
      </c>
      <c r="P6" t="s">
        <v>212</v>
      </c>
      <c r="Q6" t="s">
        <v>137</v>
      </c>
      <c r="R6" t="s">
        <v>138</v>
      </c>
      <c r="S6" t="s">
        <v>98</v>
      </c>
      <c r="T6">
        <v>274.39999999999998</v>
      </c>
      <c r="U6">
        <v>264.27999999999997</v>
      </c>
      <c r="V6">
        <f>(T6+U6)/2</f>
        <v>269.33999999999997</v>
      </c>
      <c r="W6">
        <f>T6-U6</f>
        <v>10.120000000000005</v>
      </c>
      <c r="X6">
        <v>-98.368331999999995</v>
      </c>
      <c r="Y6">
        <v>36.019722000000002</v>
      </c>
      <c r="Z6" t="s">
        <v>213</v>
      </c>
      <c r="AA6" t="s">
        <v>63</v>
      </c>
      <c r="AB6" t="s">
        <v>214</v>
      </c>
      <c r="AC6" t="s">
        <v>215</v>
      </c>
      <c r="AD6" t="s">
        <v>216</v>
      </c>
      <c r="AE6" t="s">
        <v>217</v>
      </c>
      <c r="AH6" t="s">
        <v>65</v>
      </c>
      <c r="AI6" t="s">
        <v>218</v>
      </c>
      <c r="AJ6">
        <v>1965</v>
      </c>
      <c r="AK6" t="s">
        <v>224</v>
      </c>
      <c r="AM6" t="s">
        <v>220</v>
      </c>
      <c r="AN6" t="s">
        <v>121</v>
      </c>
      <c r="AO6" t="s">
        <v>68</v>
      </c>
      <c r="AP6" t="s">
        <v>69</v>
      </c>
      <c r="AQ6" t="s">
        <v>225</v>
      </c>
      <c r="AR6" t="s">
        <v>70</v>
      </c>
      <c r="AS6">
        <v>101</v>
      </c>
      <c r="AT6" t="s">
        <v>71</v>
      </c>
      <c r="AU6">
        <v>-24.95</v>
      </c>
      <c r="AV6">
        <v>8.0299999999999994</v>
      </c>
      <c r="AW6" t="s">
        <v>72</v>
      </c>
      <c r="AX6">
        <v>101</v>
      </c>
      <c r="AY6" t="s">
        <v>71</v>
      </c>
      <c r="AZ6">
        <v>-26.01</v>
      </c>
      <c r="BA6">
        <v>6.07</v>
      </c>
      <c r="BB6" t="s">
        <v>73</v>
      </c>
    </row>
    <row r="7" spans="1:54" x14ac:dyDescent="0.4">
      <c r="A7">
        <v>287764</v>
      </c>
      <c r="D7" t="s">
        <v>54</v>
      </c>
      <c r="G7">
        <v>1</v>
      </c>
      <c r="H7" t="s">
        <v>56</v>
      </c>
      <c r="I7" t="s">
        <v>57</v>
      </c>
      <c r="K7" t="s">
        <v>148</v>
      </c>
      <c r="L7" t="s">
        <v>211</v>
      </c>
      <c r="M7" t="s">
        <v>59</v>
      </c>
      <c r="N7" t="s">
        <v>97</v>
      </c>
      <c r="O7" t="s">
        <v>101</v>
      </c>
      <c r="P7" t="s">
        <v>212</v>
      </c>
      <c r="Q7" t="s">
        <v>137</v>
      </c>
      <c r="R7" t="s">
        <v>138</v>
      </c>
      <c r="S7" t="s">
        <v>98</v>
      </c>
      <c r="T7">
        <v>274.39999999999998</v>
      </c>
      <c r="U7">
        <v>264.27999999999997</v>
      </c>
      <c r="V7">
        <f>(T7+U7)/2</f>
        <v>269.33999999999997</v>
      </c>
      <c r="W7">
        <f>T7-U7</f>
        <v>10.120000000000005</v>
      </c>
      <c r="X7">
        <v>-98.361389000000003</v>
      </c>
      <c r="Y7">
        <v>36.010554999999997</v>
      </c>
      <c r="Z7" t="s">
        <v>213</v>
      </c>
      <c r="AA7" t="s">
        <v>63</v>
      </c>
      <c r="AB7" t="s">
        <v>214</v>
      </c>
      <c r="AC7" t="s">
        <v>215</v>
      </c>
      <c r="AD7" t="s">
        <v>216</v>
      </c>
      <c r="AE7" t="s">
        <v>217</v>
      </c>
      <c r="AH7" t="s">
        <v>65</v>
      </c>
      <c r="AI7" t="s">
        <v>218</v>
      </c>
      <c r="AJ7">
        <v>1965</v>
      </c>
      <c r="AK7" t="s">
        <v>226</v>
      </c>
      <c r="AM7" t="s">
        <v>220</v>
      </c>
      <c r="AN7" t="s">
        <v>177</v>
      </c>
      <c r="AO7" t="s">
        <v>68</v>
      </c>
      <c r="AP7" t="s">
        <v>95</v>
      </c>
      <c r="AQ7" t="s">
        <v>227</v>
      </c>
      <c r="AR7" t="s">
        <v>70</v>
      </c>
      <c r="AS7">
        <v>101</v>
      </c>
      <c r="AT7" t="s">
        <v>71</v>
      </c>
      <c r="AU7">
        <v>-24.95</v>
      </c>
      <c r="AV7">
        <v>8.02</v>
      </c>
      <c r="AW7" t="s">
        <v>72</v>
      </c>
      <c r="AX7">
        <v>101</v>
      </c>
      <c r="AY7" t="s">
        <v>71</v>
      </c>
      <c r="AZ7">
        <v>-26.01</v>
      </c>
      <c r="BA7">
        <v>6.06</v>
      </c>
      <c r="BB7" t="s">
        <v>73</v>
      </c>
    </row>
    <row r="8" spans="1:54" x14ac:dyDescent="0.4">
      <c r="A8">
        <v>287827</v>
      </c>
      <c r="D8" t="s">
        <v>54</v>
      </c>
      <c r="G8">
        <v>3</v>
      </c>
      <c r="H8" t="s">
        <v>228</v>
      </c>
      <c r="I8" t="s">
        <v>57</v>
      </c>
      <c r="K8" t="s">
        <v>148</v>
      </c>
      <c r="L8" t="s">
        <v>211</v>
      </c>
      <c r="M8" t="s">
        <v>59</v>
      </c>
      <c r="N8" t="s">
        <v>97</v>
      </c>
      <c r="O8" t="s">
        <v>101</v>
      </c>
      <c r="P8" t="s">
        <v>212</v>
      </c>
      <c r="Q8" t="s">
        <v>137</v>
      </c>
      <c r="R8" t="s">
        <v>138</v>
      </c>
      <c r="S8" t="s">
        <v>98</v>
      </c>
      <c r="T8">
        <v>274.39999999999998</v>
      </c>
      <c r="U8">
        <v>264.27999999999997</v>
      </c>
      <c r="V8">
        <f>(T8+U8)/2</f>
        <v>269.33999999999997</v>
      </c>
      <c r="W8">
        <f>T8-U8</f>
        <v>10.120000000000005</v>
      </c>
      <c r="X8">
        <v>-98.206947</v>
      </c>
      <c r="Y8">
        <v>35.904167000000001</v>
      </c>
      <c r="Z8" t="s">
        <v>213</v>
      </c>
      <c r="AA8" t="s">
        <v>63</v>
      </c>
      <c r="AB8" t="s">
        <v>214</v>
      </c>
      <c r="AC8" t="s">
        <v>229</v>
      </c>
      <c r="AD8" t="s">
        <v>216</v>
      </c>
      <c r="AE8" t="s">
        <v>217</v>
      </c>
      <c r="AH8" t="s">
        <v>65</v>
      </c>
      <c r="AI8" t="s">
        <v>218</v>
      </c>
      <c r="AJ8">
        <v>1965</v>
      </c>
      <c r="AK8" t="s">
        <v>230</v>
      </c>
      <c r="AM8" t="s">
        <v>220</v>
      </c>
      <c r="AN8" t="s">
        <v>67</v>
      </c>
      <c r="AO8" t="s">
        <v>68</v>
      </c>
      <c r="AP8" t="s">
        <v>95</v>
      </c>
      <c r="AQ8" t="s">
        <v>231</v>
      </c>
      <c r="AR8" t="s">
        <v>70</v>
      </c>
      <c r="AS8">
        <v>101</v>
      </c>
      <c r="AT8" t="s">
        <v>71</v>
      </c>
      <c r="AU8">
        <v>-24.89</v>
      </c>
      <c r="AV8">
        <v>7.86</v>
      </c>
      <c r="AW8" t="s">
        <v>72</v>
      </c>
      <c r="AX8">
        <v>101</v>
      </c>
      <c r="AY8" t="s">
        <v>71</v>
      </c>
      <c r="AZ8">
        <v>-25.95</v>
      </c>
      <c r="BA8">
        <v>5.91</v>
      </c>
      <c r="BB8" t="s">
        <v>73</v>
      </c>
    </row>
    <row r="9" spans="1:54" x14ac:dyDescent="0.4">
      <c r="A9">
        <v>287904</v>
      </c>
      <c r="D9" t="s">
        <v>54</v>
      </c>
      <c r="G9">
        <v>2</v>
      </c>
      <c r="H9" t="s">
        <v>74</v>
      </c>
      <c r="I9" t="s">
        <v>57</v>
      </c>
      <c r="K9" t="s">
        <v>148</v>
      </c>
      <c r="L9" t="s">
        <v>211</v>
      </c>
      <c r="M9" t="s">
        <v>59</v>
      </c>
      <c r="N9" t="s">
        <v>97</v>
      </c>
      <c r="O9" t="s">
        <v>101</v>
      </c>
      <c r="P9" t="s">
        <v>212</v>
      </c>
      <c r="Q9" t="s">
        <v>137</v>
      </c>
      <c r="R9" t="s">
        <v>138</v>
      </c>
      <c r="S9" t="s">
        <v>98</v>
      </c>
      <c r="T9">
        <v>274.39999999999998</v>
      </c>
      <c r="U9">
        <v>264.27999999999997</v>
      </c>
      <c r="V9">
        <f>(T9+U9)/2</f>
        <v>269.33999999999997</v>
      </c>
      <c r="W9">
        <f>T9-U9</f>
        <v>10.120000000000005</v>
      </c>
      <c r="X9">
        <v>-98.131111000000004</v>
      </c>
      <c r="Y9">
        <v>35.816386999999999</v>
      </c>
      <c r="Z9" t="s">
        <v>213</v>
      </c>
      <c r="AA9" t="s">
        <v>63</v>
      </c>
      <c r="AB9" t="s">
        <v>214</v>
      </c>
      <c r="AC9" t="s">
        <v>229</v>
      </c>
      <c r="AD9" t="s">
        <v>216</v>
      </c>
      <c r="AE9" t="s">
        <v>217</v>
      </c>
      <c r="AH9" t="s">
        <v>65</v>
      </c>
      <c r="AI9" t="s">
        <v>218</v>
      </c>
      <c r="AJ9">
        <v>1965</v>
      </c>
      <c r="AK9" t="s">
        <v>232</v>
      </c>
      <c r="AM9" t="s">
        <v>220</v>
      </c>
      <c r="AN9" t="s">
        <v>177</v>
      </c>
      <c r="AO9" t="s">
        <v>68</v>
      </c>
      <c r="AP9" t="s">
        <v>95</v>
      </c>
      <c r="AQ9" t="s">
        <v>233</v>
      </c>
      <c r="AR9" t="s">
        <v>70</v>
      </c>
      <c r="AS9">
        <v>101</v>
      </c>
      <c r="AT9" t="s">
        <v>71</v>
      </c>
      <c r="AU9">
        <v>-24.88</v>
      </c>
      <c r="AV9">
        <v>7.76</v>
      </c>
      <c r="AW9" t="s">
        <v>72</v>
      </c>
      <c r="AX9">
        <v>101</v>
      </c>
      <c r="AY9" t="s">
        <v>71</v>
      </c>
      <c r="AZ9">
        <v>-25.94</v>
      </c>
      <c r="BA9">
        <v>5.8</v>
      </c>
      <c r="BB9" t="s">
        <v>73</v>
      </c>
    </row>
    <row r="10" spans="1:54" x14ac:dyDescent="0.4">
      <c r="A10">
        <v>287929</v>
      </c>
      <c r="D10" t="s">
        <v>54</v>
      </c>
      <c r="G10">
        <v>1</v>
      </c>
      <c r="H10" t="s">
        <v>228</v>
      </c>
      <c r="I10" t="s">
        <v>57</v>
      </c>
      <c r="K10" t="s">
        <v>148</v>
      </c>
      <c r="L10" t="s">
        <v>211</v>
      </c>
      <c r="M10" t="s">
        <v>59</v>
      </c>
      <c r="N10" t="s">
        <v>97</v>
      </c>
      <c r="O10" t="s">
        <v>101</v>
      </c>
      <c r="P10" t="s">
        <v>212</v>
      </c>
      <c r="Q10" t="s">
        <v>137</v>
      </c>
      <c r="R10" t="s">
        <v>138</v>
      </c>
      <c r="S10" t="s">
        <v>98</v>
      </c>
      <c r="T10">
        <v>274.39999999999998</v>
      </c>
      <c r="U10">
        <v>264.27999999999997</v>
      </c>
      <c r="V10">
        <f>(T10+U10)/2</f>
        <v>269.33999999999997</v>
      </c>
      <c r="W10">
        <f>T10-U10</f>
        <v>10.120000000000005</v>
      </c>
      <c r="X10">
        <v>-97.985832000000002</v>
      </c>
      <c r="Y10">
        <v>35.674441999999999</v>
      </c>
      <c r="Z10" t="s">
        <v>213</v>
      </c>
      <c r="AA10" t="s">
        <v>63</v>
      </c>
      <c r="AB10" t="s">
        <v>214</v>
      </c>
      <c r="AC10" t="s">
        <v>234</v>
      </c>
      <c r="AD10" t="s">
        <v>235</v>
      </c>
      <c r="AE10" t="s">
        <v>217</v>
      </c>
      <c r="AH10" t="s">
        <v>65</v>
      </c>
      <c r="AI10" t="s">
        <v>218</v>
      </c>
      <c r="AJ10">
        <v>1965</v>
      </c>
      <c r="AK10" t="s">
        <v>236</v>
      </c>
      <c r="AM10" t="s">
        <v>237</v>
      </c>
      <c r="AN10" t="s">
        <v>177</v>
      </c>
      <c r="AO10" t="s">
        <v>68</v>
      </c>
      <c r="AP10" t="s">
        <v>95</v>
      </c>
      <c r="AQ10" t="s">
        <v>238</v>
      </c>
      <c r="AR10" t="s">
        <v>70</v>
      </c>
      <c r="AS10">
        <v>101</v>
      </c>
      <c r="AT10" t="s">
        <v>71</v>
      </c>
      <c r="AU10">
        <v>-24.84</v>
      </c>
      <c r="AV10">
        <v>7.58</v>
      </c>
      <c r="AW10" t="s">
        <v>72</v>
      </c>
      <c r="AX10">
        <v>101</v>
      </c>
      <c r="AY10" t="s">
        <v>71</v>
      </c>
      <c r="AZ10">
        <v>-25.9</v>
      </c>
      <c r="BA10">
        <v>5.62</v>
      </c>
      <c r="BB10" t="s">
        <v>73</v>
      </c>
    </row>
    <row r="11" spans="1:54" x14ac:dyDescent="0.4">
      <c r="A11">
        <v>289331</v>
      </c>
      <c r="D11" t="s">
        <v>54</v>
      </c>
      <c r="E11" t="s">
        <v>153</v>
      </c>
      <c r="G11">
        <v>33</v>
      </c>
      <c r="H11" t="s">
        <v>74</v>
      </c>
      <c r="I11" t="s">
        <v>57</v>
      </c>
      <c r="K11" t="s">
        <v>148</v>
      </c>
      <c r="L11" t="s">
        <v>211</v>
      </c>
      <c r="M11" t="s">
        <v>59</v>
      </c>
      <c r="N11" t="s">
        <v>97</v>
      </c>
      <c r="O11" t="s">
        <v>101</v>
      </c>
      <c r="P11" t="s">
        <v>212</v>
      </c>
      <c r="Q11" t="s">
        <v>137</v>
      </c>
      <c r="R11" t="s">
        <v>138</v>
      </c>
      <c r="S11" t="s">
        <v>98</v>
      </c>
      <c r="T11">
        <v>274.39999999999998</v>
      </c>
      <c r="U11">
        <v>264.27999999999997</v>
      </c>
      <c r="V11">
        <f>(T11+U11)/2</f>
        <v>269.33999999999997</v>
      </c>
      <c r="W11">
        <f>T11-U11</f>
        <v>10.120000000000005</v>
      </c>
      <c r="X11">
        <v>-98.209723999999994</v>
      </c>
      <c r="Y11">
        <v>35.941665999999998</v>
      </c>
      <c r="Z11" t="s">
        <v>239</v>
      </c>
      <c r="AA11" t="s">
        <v>63</v>
      </c>
      <c r="AB11" t="s">
        <v>214</v>
      </c>
      <c r="AC11" t="s">
        <v>229</v>
      </c>
      <c r="AD11" t="s">
        <v>216</v>
      </c>
      <c r="AE11" t="s">
        <v>217</v>
      </c>
      <c r="AH11" t="s">
        <v>65</v>
      </c>
      <c r="AI11" t="s">
        <v>218</v>
      </c>
      <c r="AJ11">
        <v>1965</v>
      </c>
      <c r="AK11" t="s">
        <v>240</v>
      </c>
      <c r="AM11" t="s">
        <v>220</v>
      </c>
      <c r="AN11" t="s">
        <v>67</v>
      </c>
      <c r="AO11" t="s">
        <v>68</v>
      </c>
      <c r="AP11" t="s">
        <v>95</v>
      </c>
      <c r="AQ11" t="s">
        <v>241</v>
      </c>
      <c r="AR11" t="s">
        <v>70</v>
      </c>
      <c r="AS11">
        <v>101</v>
      </c>
      <c r="AT11" t="s">
        <v>71</v>
      </c>
      <c r="AU11">
        <v>-24.87</v>
      </c>
      <c r="AV11">
        <v>7.9</v>
      </c>
      <c r="AW11" t="s">
        <v>72</v>
      </c>
      <c r="AX11">
        <v>101</v>
      </c>
      <c r="AY11" t="s">
        <v>71</v>
      </c>
      <c r="AZ11">
        <v>-25.94</v>
      </c>
      <c r="BA11">
        <v>5.94</v>
      </c>
      <c r="BB11" t="s">
        <v>73</v>
      </c>
    </row>
    <row r="12" spans="1:54" x14ac:dyDescent="0.4">
      <c r="A12">
        <v>289337</v>
      </c>
      <c r="D12" t="s">
        <v>54</v>
      </c>
      <c r="G12">
        <v>3</v>
      </c>
      <c r="H12" t="s">
        <v>242</v>
      </c>
      <c r="I12" t="s">
        <v>57</v>
      </c>
      <c r="K12" t="s">
        <v>148</v>
      </c>
      <c r="L12" t="s">
        <v>211</v>
      </c>
      <c r="M12" t="s">
        <v>59</v>
      </c>
      <c r="N12" t="s">
        <v>97</v>
      </c>
      <c r="O12" t="s">
        <v>101</v>
      </c>
      <c r="P12" t="s">
        <v>212</v>
      </c>
      <c r="Q12" t="s">
        <v>137</v>
      </c>
      <c r="R12" t="s">
        <v>138</v>
      </c>
      <c r="S12" t="s">
        <v>98</v>
      </c>
      <c r="T12">
        <v>274.39999999999998</v>
      </c>
      <c r="U12">
        <v>264.27999999999997</v>
      </c>
      <c r="V12">
        <f>(T12+U12)/2</f>
        <v>269.33999999999997</v>
      </c>
      <c r="W12">
        <f>T12-U12</f>
        <v>10.120000000000005</v>
      </c>
      <c r="X12">
        <v>-98.154442000000003</v>
      </c>
      <c r="Y12">
        <v>35.911110000000001</v>
      </c>
      <c r="Z12" t="s">
        <v>213</v>
      </c>
      <c r="AA12" t="s">
        <v>63</v>
      </c>
      <c r="AB12" t="s">
        <v>214</v>
      </c>
      <c r="AC12" t="s">
        <v>229</v>
      </c>
      <c r="AD12" t="s">
        <v>216</v>
      </c>
      <c r="AE12" t="s">
        <v>217</v>
      </c>
      <c r="AH12" t="s">
        <v>65</v>
      </c>
      <c r="AI12" t="s">
        <v>218</v>
      </c>
      <c r="AJ12">
        <v>1965</v>
      </c>
      <c r="AK12" t="s">
        <v>243</v>
      </c>
      <c r="AM12" t="s">
        <v>220</v>
      </c>
      <c r="AN12" t="s">
        <v>67</v>
      </c>
      <c r="AO12" t="s">
        <v>68</v>
      </c>
      <c r="AP12" t="s">
        <v>95</v>
      </c>
      <c r="AQ12" t="s">
        <v>244</v>
      </c>
      <c r="AR12" t="s">
        <v>70</v>
      </c>
      <c r="AS12">
        <v>101</v>
      </c>
      <c r="AT12" t="s">
        <v>71</v>
      </c>
      <c r="AU12">
        <v>-24.85</v>
      </c>
      <c r="AV12">
        <v>7.85</v>
      </c>
      <c r="AW12" t="s">
        <v>72</v>
      </c>
      <c r="AX12">
        <v>101</v>
      </c>
      <c r="AY12" t="s">
        <v>71</v>
      </c>
      <c r="AZ12">
        <v>-25.91</v>
      </c>
      <c r="BA12">
        <v>5.89</v>
      </c>
      <c r="BB12" t="s">
        <v>73</v>
      </c>
    </row>
    <row r="13" spans="1:54" x14ac:dyDescent="0.4">
      <c r="A13">
        <v>745278</v>
      </c>
      <c r="D13" t="s">
        <v>54</v>
      </c>
      <c r="G13">
        <v>1</v>
      </c>
      <c r="H13" t="s">
        <v>56</v>
      </c>
      <c r="I13" t="s">
        <v>57</v>
      </c>
      <c r="K13" t="s">
        <v>135</v>
      </c>
      <c r="L13" t="s">
        <v>523</v>
      </c>
      <c r="M13" t="s">
        <v>59</v>
      </c>
      <c r="P13" t="s">
        <v>212</v>
      </c>
      <c r="Q13" t="s">
        <v>137</v>
      </c>
      <c r="R13" t="s">
        <v>138</v>
      </c>
      <c r="S13" t="s">
        <v>98</v>
      </c>
      <c r="T13">
        <v>274.39999999999998</v>
      </c>
      <c r="U13">
        <v>264.27999999999997</v>
      </c>
      <c r="V13">
        <f>(T13+U13)/2</f>
        <v>269.33999999999997</v>
      </c>
      <c r="W13">
        <f>T13-U13</f>
        <v>10.120000000000005</v>
      </c>
      <c r="X13">
        <v>44.554721999999998</v>
      </c>
      <c r="Y13">
        <v>65.591667000000001</v>
      </c>
      <c r="Z13" t="s">
        <v>99</v>
      </c>
      <c r="AA13" t="s">
        <v>139</v>
      </c>
      <c r="AB13" t="s">
        <v>524</v>
      </c>
      <c r="AC13" t="s">
        <v>525</v>
      </c>
      <c r="AG13" t="s">
        <v>526</v>
      </c>
      <c r="AH13" t="s">
        <v>65</v>
      </c>
      <c r="AI13" t="s">
        <v>207</v>
      </c>
      <c r="AJ13">
        <v>1997</v>
      </c>
      <c r="AK13" t="s">
        <v>527</v>
      </c>
      <c r="AM13" t="s">
        <v>528</v>
      </c>
      <c r="AN13" t="s">
        <v>121</v>
      </c>
      <c r="AO13" t="s">
        <v>68</v>
      </c>
      <c r="AP13" t="s">
        <v>69</v>
      </c>
      <c r="AQ13" t="s">
        <v>529</v>
      </c>
      <c r="AR13" t="s">
        <v>70</v>
      </c>
      <c r="AS13">
        <v>302</v>
      </c>
      <c r="AT13" t="s">
        <v>71</v>
      </c>
      <c r="AU13">
        <v>37.619999999999997</v>
      </c>
      <c r="AV13">
        <v>34.99</v>
      </c>
      <c r="AW13" t="s">
        <v>72</v>
      </c>
      <c r="AX13">
        <v>301</v>
      </c>
      <c r="AY13" t="s">
        <v>71</v>
      </c>
      <c r="AZ13">
        <v>35.32</v>
      </c>
      <c r="BA13">
        <v>34.25</v>
      </c>
      <c r="BB13" t="s">
        <v>73</v>
      </c>
    </row>
    <row r="14" spans="1:54" x14ac:dyDescent="0.4">
      <c r="A14">
        <v>792642</v>
      </c>
      <c r="D14" t="s">
        <v>54</v>
      </c>
      <c r="G14">
        <v>1</v>
      </c>
      <c r="H14" t="s">
        <v>56</v>
      </c>
      <c r="I14" t="s">
        <v>57</v>
      </c>
      <c r="K14" t="s">
        <v>530</v>
      </c>
      <c r="L14" t="s">
        <v>802</v>
      </c>
      <c r="M14" t="s">
        <v>59</v>
      </c>
      <c r="P14" t="s">
        <v>212</v>
      </c>
      <c r="Q14" t="s">
        <v>137</v>
      </c>
      <c r="R14" t="s">
        <v>138</v>
      </c>
      <c r="S14" t="s">
        <v>98</v>
      </c>
      <c r="T14">
        <v>274.39999999999998</v>
      </c>
      <c r="U14">
        <v>264.27999999999997</v>
      </c>
      <c r="V14">
        <f>(T14+U14)/2</f>
        <v>269.33999999999997</v>
      </c>
      <c r="W14">
        <f>T14-U14</f>
        <v>10.120000000000005</v>
      </c>
      <c r="X14">
        <v>44.554721999999998</v>
      </c>
      <c r="Y14">
        <v>65.591667000000001</v>
      </c>
      <c r="Z14" t="s">
        <v>99</v>
      </c>
      <c r="AA14" t="s">
        <v>139</v>
      </c>
      <c r="AB14" t="s">
        <v>524</v>
      </c>
      <c r="AC14" t="s">
        <v>525</v>
      </c>
      <c r="AG14" t="s">
        <v>526</v>
      </c>
      <c r="AH14" t="s">
        <v>65</v>
      </c>
      <c r="AI14" t="s">
        <v>207</v>
      </c>
      <c r="AJ14">
        <v>2008</v>
      </c>
      <c r="AK14" t="s">
        <v>527</v>
      </c>
      <c r="AM14" t="s">
        <v>528</v>
      </c>
      <c r="AN14" t="s">
        <v>121</v>
      </c>
      <c r="AO14" t="s">
        <v>68</v>
      </c>
      <c r="AP14" t="s">
        <v>69</v>
      </c>
      <c r="AQ14" t="s">
        <v>529</v>
      </c>
      <c r="AR14" t="s">
        <v>70</v>
      </c>
      <c r="AS14">
        <v>302</v>
      </c>
      <c r="AT14" t="s">
        <v>71</v>
      </c>
      <c r="AU14">
        <v>37.619999999999997</v>
      </c>
      <c r="AV14">
        <v>34.99</v>
      </c>
      <c r="AW14" t="s">
        <v>72</v>
      </c>
      <c r="AX14">
        <v>301</v>
      </c>
      <c r="AY14" t="s">
        <v>71</v>
      </c>
      <c r="AZ14">
        <v>35.32</v>
      </c>
      <c r="BA14">
        <v>34.25</v>
      </c>
      <c r="BB14" t="s">
        <v>73</v>
      </c>
    </row>
    <row r="15" spans="1:54" x14ac:dyDescent="0.4">
      <c r="A15">
        <v>792642</v>
      </c>
      <c r="D15" t="s">
        <v>54</v>
      </c>
      <c r="G15">
        <v>1</v>
      </c>
      <c r="H15" t="s">
        <v>56</v>
      </c>
      <c r="I15" t="s">
        <v>57</v>
      </c>
      <c r="K15" t="s">
        <v>530</v>
      </c>
      <c r="L15" t="s">
        <v>802</v>
      </c>
      <c r="M15" t="s">
        <v>59</v>
      </c>
      <c r="P15" t="s">
        <v>212</v>
      </c>
      <c r="Q15" t="s">
        <v>137</v>
      </c>
      <c r="R15" t="s">
        <v>138</v>
      </c>
      <c r="S15" t="s">
        <v>98</v>
      </c>
      <c r="T15">
        <v>274.39999999999998</v>
      </c>
      <c r="U15">
        <v>264.27999999999997</v>
      </c>
      <c r="V15">
        <f>(T15+U15)/2</f>
        <v>269.33999999999997</v>
      </c>
      <c r="W15">
        <f>T15-U15</f>
        <v>10.120000000000005</v>
      </c>
      <c r="X15">
        <v>44.554721999999998</v>
      </c>
      <c r="Y15">
        <v>65.591667000000001</v>
      </c>
      <c r="Z15" t="s">
        <v>99</v>
      </c>
      <c r="AA15" t="s">
        <v>139</v>
      </c>
      <c r="AB15" t="s">
        <v>524</v>
      </c>
      <c r="AC15" t="s">
        <v>525</v>
      </c>
      <c r="AG15" t="s">
        <v>526</v>
      </c>
      <c r="AH15" t="s">
        <v>65</v>
      </c>
      <c r="AI15" t="s">
        <v>207</v>
      </c>
      <c r="AJ15">
        <v>2008</v>
      </c>
      <c r="AK15" t="s">
        <v>527</v>
      </c>
      <c r="AM15" t="s">
        <v>528</v>
      </c>
      <c r="AN15" t="s">
        <v>121</v>
      </c>
      <c r="AO15" t="s">
        <v>68</v>
      </c>
      <c r="AP15" t="s">
        <v>69</v>
      </c>
      <c r="AQ15" t="s">
        <v>529</v>
      </c>
      <c r="AR15" t="s">
        <v>70</v>
      </c>
      <c r="AS15">
        <v>302</v>
      </c>
      <c r="AT15" t="s">
        <v>71</v>
      </c>
      <c r="AU15">
        <v>37.619999999999997</v>
      </c>
      <c r="AV15">
        <v>34.99</v>
      </c>
      <c r="AW15" t="s">
        <v>72</v>
      </c>
      <c r="AX15">
        <v>301</v>
      </c>
      <c r="AY15" t="s">
        <v>71</v>
      </c>
      <c r="AZ15">
        <v>35.32</v>
      </c>
      <c r="BA15">
        <v>34.25</v>
      </c>
      <c r="BB15" t="s">
        <v>73</v>
      </c>
    </row>
    <row r="16" spans="1:54" x14ac:dyDescent="0.4">
      <c r="A16">
        <v>792642</v>
      </c>
      <c r="D16" t="s">
        <v>54</v>
      </c>
      <c r="G16">
        <v>1</v>
      </c>
      <c r="H16" t="s">
        <v>56</v>
      </c>
      <c r="I16" t="s">
        <v>57</v>
      </c>
      <c r="K16" t="s">
        <v>530</v>
      </c>
      <c r="L16" t="s">
        <v>802</v>
      </c>
      <c r="M16" t="s">
        <v>59</v>
      </c>
      <c r="P16" t="s">
        <v>212</v>
      </c>
      <c r="Q16" t="s">
        <v>137</v>
      </c>
      <c r="R16" t="s">
        <v>138</v>
      </c>
      <c r="S16" t="s">
        <v>98</v>
      </c>
      <c r="T16">
        <v>274.39999999999998</v>
      </c>
      <c r="U16">
        <v>264.27999999999997</v>
      </c>
      <c r="V16">
        <f>(T16+U16)/2</f>
        <v>269.33999999999997</v>
      </c>
      <c r="W16">
        <f>T16-U16</f>
        <v>10.120000000000005</v>
      </c>
      <c r="X16">
        <v>44.554721999999998</v>
      </c>
      <c r="Y16">
        <v>65.591667000000001</v>
      </c>
      <c r="Z16" t="s">
        <v>99</v>
      </c>
      <c r="AA16" t="s">
        <v>139</v>
      </c>
      <c r="AB16" t="s">
        <v>524</v>
      </c>
      <c r="AC16" t="s">
        <v>525</v>
      </c>
      <c r="AG16" t="s">
        <v>526</v>
      </c>
      <c r="AH16" t="s">
        <v>65</v>
      </c>
      <c r="AI16" t="s">
        <v>207</v>
      </c>
      <c r="AJ16">
        <v>2008</v>
      </c>
      <c r="AK16" t="s">
        <v>527</v>
      </c>
      <c r="AM16" t="s">
        <v>528</v>
      </c>
      <c r="AN16" t="s">
        <v>121</v>
      </c>
      <c r="AO16" t="s">
        <v>68</v>
      </c>
      <c r="AP16" t="s">
        <v>69</v>
      </c>
      <c r="AQ16" t="s">
        <v>529</v>
      </c>
      <c r="AR16" t="s">
        <v>70</v>
      </c>
      <c r="AS16">
        <v>302</v>
      </c>
      <c r="AT16" t="s">
        <v>71</v>
      </c>
      <c r="AU16">
        <v>37.619999999999997</v>
      </c>
      <c r="AV16">
        <v>34.99</v>
      </c>
      <c r="AW16" t="s">
        <v>72</v>
      </c>
      <c r="AX16">
        <v>301</v>
      </c>
      <c r="AY16" t="s">
        <v>71</v>
      </c>
      <c r="AZ16">
        <v>35.32</v>
      </c>
      <c r="BA16">
        <v>34.25</v>
      </c>
      <c r="BB16" t="s">
        <v>73</v>
      </c>
    </row>
    <row r="17" spans="1:54" x14ac:dyDescent="0.4">
      <c r="A17">
        <v>792642</v>
      </c>
      <c r="D17" t="s">
        <v>54</v>
      </c>
      <c r="G17">
        <v>1</v>
      </c>
      <c r="H17" t="s">
        <v>56</v>
      </c>
      <c r="I17" t="s">
        <v>57</v>
      </c>
      <c r="K17" t="s">
        <v>530</v>
      </c>
      <c r="L17" t="s">
        <v>802</v>
      </c>
      <c r="M17" t="s">
        <v>59</v>
      </c>
      <c r="P17" t="s">
        <v>212</v>
      </c>
      <c r="Q17" t="s">
        <v>137</v>
      </c>
      <c r="R17" t="s">
        <v>138</v>
      </c>
      <c r="S17" t="s">
        <v>98</v>
      </c>
      <c r="T17">
        <v>274.39999999999998</v>
      </c>
      <c r="U17">
        <v>264.27999999999997</v>
      </c>
      <c r="V17">
        <f>(T17+U17)/2</f>
        <v>269.33999999999997</v>
      </c>
      <c r="W17">
        <f>T17-U17</f>
        <v>10.120000000000005</v>
      </c>
      <c r="X17">
        <v>44.554721999999998</v>
      </c>
      <c r="Y17">
        <v>65.591667000000001</v>
      </c>
      <c r="Z17" t="s">
        <v>99</v>
      </c>
      <c r="AA17" t="s">
        <v>139</v>
      </c>
      <c r="AB17" t="s">
        <v>524</v>
      </c>
      <c r="AC17" t="s">
        <v>525</v>
      </c>
      <c r="AG17" t="s">
        <v>526</v>
      </c>
      <c r="AH17" t="s">
        <v>65</v>
      </c>
      <c r="AI17" t="s">
        <v>207</v>
      </c>
      <c r="AJ17">
        <v>2008</v>
      </c>
      <c r="AK17" t="s">
        <v>527</v>
      </c>
      <c r="AM17" t="s">
        <v>528</v>
      </c>
      <c r="AN17" t="s">
        <v>121</v>
      </c>
      <c r="AO17" t="s">
        <v>68</v>
      </c>
      <c r="AP17" t="s">
        <v>69</v>
      </c>
      <c r="AQ17" t="s">
        <v>529</v>
      </c>
      <c r="AR17" t="s">
        <v>70</v>
      </c>
      <c r="AS17">
        <v>302</v>
      </c>
      <c r="AT17" t="s">
        <v>71</v>
      </c>
      <c r="AU17">
        <v>37.619999999999997</v>
      </c>
      <c r="AV17">
        <v>34.99</v>
      </c>
      <c r="AW17" t="s">
        <v>72</v>
      </c>
      <c r="AX17">
        <v>301</v>
      </c>
      <c r="AY17" t="s">
        <v>71</v>
      </c>
      <c r="AZ17">
        <v>35.32</v>
      </c>
      <c r="BA17">
        <v>34.25</v>
      </c>
      <c r="BB17" t="s">
        <v>73</v>
      </c>
    </row>
    <row r="18" spans="1:54" x14ac:dyDescent="0.4">
      <c r="A18">
        <v>792722</v>
      </c>
      <c r="D18" t="s">
        <v>54</v>
      </c>
      <c r="E18" t="s">
        <v>55</v>
      </c>
      <c r="G18">
        <v>1</v>
      </c>
      <c r="H18" t="s">
        <v>56</v>
      </c>
      <c r="I18" t="s">
        <v>57</v>
      </c>
      <c r="K18" t="s">
        <v>135</v>
      </c>
      <c r="L18" t="s">
        <v>532</v>
      </c>
      <c r="M18" t="s">
        <v>59</v>
      </c>
      <c r="P18" t="s">
        <v>212</v>
      </c>
      <c r="Q18" t="s">
        <v>137</v>
      </c>
      <c r="R18" t="s">
        <v>138</v>
      </c>
      <c r="S18" t="s">
        <v>98</v>
      </c>
      <c r="T18">
        <v>274.39999999999998</v>
      </c>
      <c r="U18">
        <v>264.27999999999997</v>
      </c>
      <c r="V18">
        <f>(T18+U18)/2</f>
        <v>269.33999999999997</v>
      </c>
      <c r="W18">
        <f>T18-U18</f>
        <v>10.120000000000005</v>
      </c>
      <c r="X18">
        <v>-98.368331999999995</v>
      </c>
      <c r="Y18">
        <v>36.019722000000002</v>
      </c>
      <c r="Z18" t="s">
        <v>213</v>
      </c>
      <c r="AA18" t="s">
        <v>63</v>
      </c>
      <c r="AB18" t="s">
        <v>214</v>
      </c>
      <c r="AC18" t="s">
        <v>215</v>
      </c>
      <c r="AD18" t="s">
        <v>216</v>
      </c>
      <c r="AE18" t="s">
        <v>217</v>
      </c>
      <c r="AH18" t="s">
        <v>65</v>
      </c>
      <c r="AI18" t="s">
        <v>803</v>
      </c>
      <c r="AJ18">
        <v>2001</v>
      </c>
      <c r="AK18" t="s">
        <v>224</v>
      </c>
      <c r="AM18" t="s">
        <v>220</v>
      </c>
      <c r="AN18" t="s">
        <v>121</v>
      </c>
      <c r="AO18" t="s">
        <v>68</v>
      </c>
      <c r="AP18" t="s">
        <v>69</v>
      </c>
      <c r="AQ18" t="s">
        <v>225</v>
      </c>
      <c r="AR18" t="s">
        <v>70</v>
      </c>
      <c r="AS18">
        <v>101</v>
      </c>
      <c r="AT18" t="s">
        <v>71</v>
      </c>
      <c r="AU18">
        <v>-24.95</v>
      </c>
      <c r="AV18">
        <v>8.0299999999999994</v>
      </c>
      <c r="AW18" t="s">
        <v>72</v>
      </c>
      <c r="AX18">
        <v>101</v>
      </c>
      <c r="AY18" t="s">
        <v>71</v>
      </c>
      <c r="AZ18">
        <v>-26.01</v>
      </c>
      <c r="BA18">
        <v>6.07</v>
      </c>
      <c r="BB18" t="s">
        <v>73</v>
      </c>
    </row>
    <row r="19" spans="1:54" x14ac:dyDescent="0.4">
      <c r="A19">
        <v>837590</v>
      </c>
      <c r="D19" t="s">
        <v>54</v>
      </c>
      <c r="G19">
        <v>1</v>
      </c>
      <c r="H19" t="s">
        <v>56</v>
      </c>
      <c r="I19" t="s">
        <v>57</v>
      </c>
      <c r="K19" t="s">
        <v>1110</v>
      </c>
      <c r="L19" t="s">
        <v>1111</v>
      </c>
      <c r="M19" t="s">
        <v>59</v>
      </c>
      <c r="P19" t="s">
        <v>212</v>
      </c>
      <c r="Q19" t="s">
        <v>137</v>
      </c>
      <c r="R19" t="s">
        <v>138</v>
      </c>
      <c r="S19" t="s">
        <v>98</v>
      </c>
      <c r="T19">
        <v>274.39999999999998</v>
      </c>
      <c r="U19">
        <v>264.27999999999997</v>
      </c>
      <c r="V19">
        <f>(T19+U19)/2</f>
        <v>269.33999999999997</v>
      </c>
      <c r="W19">
        <f>T19-U19</f>
        <v>10.120000000000005</v>
      </c>
      <c r="X19">
        <v>45.672778999999998</v>
      </c>
      <c r="Y19">
        <v>64.922775000000001</v>
      </c>
      <c r="Z19" t="s">
        <v>99</v>
      </c>
      <c r="AA19" t="s">
        <v>139</v>
      </c>
      <c r="AB19" t="s">
        <v>524</v>
      </c>
      <c r="AC19" t="s">
        <v>1112</v>
      </c>
      <c r="AD19" t="s">
        <v>1113</v>
      </c>
      <c r="AG19" t="s">
        <v>526</v>
      </c>
      <c r="AH19" t="s">
        <v>65</v>
      </c>
      <c r="AI19" t="s">
        <v>207</v>
      </c>
      <c r="AJ19">
        <v>2008</v>
      </c>
      <c r="AK19" t="s">
        <v>1114</v>
      </c>
      <c r="AM19" t="s">
        <v>1115</v>
      </c>
      <c r="AN19" t="s">
        <v>121</v>
      </c>
      <c r="AO19" t="s">
        <v>68</v>
      </c>
      <c r="AP19" t="s">
        <v>69</v>
      </c>
      <c r="AR19" t="s">
        <v>70</v>
      </c>
      <c r="AS19">
        <v>302</v>
      </c>
      <c r="AT19" t="s">
        <v>71</v>
      </c>
      <c r="AU19">
        <v>38.57</v>
      </c>
      <c r="AV19">
        <v>34.74</v>
      </c>
      <c r="AW19" t="s">
        <v>72</v>
      </c>
      <c r="AX19">
        <v>301</v>
      </c>
      <c r="AY19" t="s">
        <v>71</v>
      </c>
      <c r="AZ19">
        <v>36.270000000000003</v>
      </c>
      <c r="BA19">
        <v>34.020000000000003</v>
      </c>
      <c r="BB19" t="s">
        <v>73</v>
      </c>
    </row>
    <row r="20" spans="1:54" x14ac:dyDescent="0.4">
      <c r="A20">
        <v>1374680</v>
      </c>
      <c r="D20" t="s">
        <v>54</v>
      </c>
      <c r="G20">
        <v>1</v>
      </c>
      <c r="H20" t="s">
        <v>56</v>
      </c>
      <c r="I20" t="s">
        <v>57</v>
      </c>
      <c r="K20" t="s">
        <v>1110</v>
      </c>
      <c r="L20" t="s">
        <v>1111</v>
      </c>
      <c r="M20" t="s">
        <v>59</v>
      </c>
      <c r="P20" t="s">
        <v>212</v>
      </c>
      <c r="Q20" t="s">
        <v>137</v>
      </c>
      <c r="R20" t="s">
        <v>138</v>
      </c>
      <c r="S20" t="s">
        <v>98</v>
      </c>
      <c r="T20">
        <v>274.39999999999998</v>
      </c>
      <c r="U20">
        <v>264.27999999999997</v>
      </c>
      <c r="V20">
        <f>(T20+U20)/2</f>
        <v>269.33999999999997</v>
      </c>
      <c r="W20">
        <f>T20-U20</f>
        <v>10.120000000000005</v>
      </c>
      <c r="X20">
        <v>44.554721999999998</v>
      </c>
      <c r="Y20">
        <v>65.591667000000001</v>
      </c>
      <c r="Z20" t="s">
        <v>99</v>
      </c>
      <c r="AA20" t="s">
        <v>139</v>
      </c>
      <c r="AB20" t="s">
        <v>524</v>
      </c>
      <c r="AC20" t="s">
        <v>1968</v>
      </c>
      <c r="AG20" t="s">
        <v>526</v>
      </c>
      <c r="AH20" t="s">
        <v>65</v>
      </c>
      <c r="AI20" t="s">
        <v>207</v>
      </c>
      <c r="AJ20">
        <v>1997</v>
      </c>
      <c r="AK20" t="s">
        <v>1969</v>
      </c>
      <c r="AN20" t="s">
        <v>121</v>
      </c>
      <c r="AO20" t="s">
        <v>68</v>
      </c>
      <c r="AP20" t="s">
        <v>69</v>
      </c>
      <c r="AQ20" t="s">
        <v>1970</v>
      </c>
      <c r="AR20" t="s">
        <v>70</v>
      </c>
      <c r="AS20">
        <v>302</v>
      </c>
      <c r="AT20" t="s">
        <v>71</v>
      </c>
      <c r="AU20">
        <v>37.619999999999997</v>
      </c>
      <c r="AV20">
        <v>34.99</v>
      </c>
      <c r="AW20" t="s">
        <v>72</v>
      </c>
      <c r="AX20">
        <v>301</v>
      </c>
      <c r="AY20" t="s">
        <v>71</v>
      </c>
      <c r="AZ20">
        <v>35.32</v>
      </c>
      <c r="BA20">
        <v>34.25</v>
      </c>
      <c r="BB20" t="s">
        <v>73</v>
      </c>
    </row>
    <row r="21" spans="1:54" x14ac:dyDescent="0.4">
      <c r="A21">
        <v>1374681</v>
      </c>
      <c r="D21" t="s">
        <v>54</v>
      </c>
      <c r="G21">
        <v>1</v>
      </c>
      <c r="H21" t="s">
        <v>56</v>
      </c>
      <c r="I21" t="s">
        <v>57</v>
      </c>
      <c r="K21" t="s">
        <v>135</v>
      </c>
      <c r="L21" t="s">
        <v>651</v>
      </c>
      <c r="M21" t="s">
        <v>59</v>
      </c>
      <c r="P21" t="s">
        <v>212</v>
      </c>
      <c r="Q21" t="s">
        <v>137</v>
      </c>
      <c r="R21" t="s">
        <v>138</v>
      </c>
      <c r="S21" t="s">
        <v>98</v>
      </c>
      <c r="T21">
        <v>274.39999999999998</v>
      </c>
      <c r="U21">
        <v>264.27999999999997</v>
      </c>
      <c r="V21">
        <f>(T21+U21)/2</f>
        <v>269.33999999999997</v>
      </c>
      <c r="W21">
        <f>T21-U21</f>
        <v>10.120000000000005</v>
      </c>
      <c r="X21">
        <v>44.554721999999998</v>
      </c>
      <c r="Y21">
        <v>65.591667000000001</v>
      </c>
      <c r="Z21" t="s">
        <v>99</v>
      </c>
      <c r="AA21" t="s">
        <v>139</v>
      </c>
      <c r="AB21" t="s">
        <v>524</v>
      </c>
      <c r="AC21" t="s">
        <v>1968</v>
      </c>
      <c r="AG21" t="s">
        <v>526</v>
      </c>
      <c r="AH21" t="s">
        <v>65</v>
      </c>
      <c r="AI21" t="s">
        <v>207</v>
      </c>
      <c r="AJ21">
        <v>1997</v>
      </c>
      <c r="AK21" t="s">
        <v>1969</v>
      </c>
      <c r="AN21" t="s">
        <v>121</v>
      </c>
      <c r="AO21" t="s">
        <v>68</v>
      </c>
      <c r="AP21" t="s">
        <v>69</v>
      </c>
      <c r="AQ21" t="s">
        <v>1970</v>
      </c>
      <c r="AR21" t="s">
        <v>70</v>
      </c>
      <c r="AS21">
        <v>302</v>
      </c>
      <c r="AT21" t="s">
        <v>71</v>
      </c>
      <c r="AU21">
        <v>37.619999999999997</v>
      </c>
      <c r="AV21">
        <v>34.99</v>
      </c>
      <c r="AW21" t="s">
        <v>72</v>
      </c>
      <c r="AX21">
        <v>301</v>
      </c>
      <c r="AY21" t="s">
        <v>71</v>
      </c>
      <c r="AZ21">
        <v>35.32</v>
      </c>
      <c r="BA21">
        <v>34.25</v>
      </c>
      <c r="BB21" t="s">
        <v>73</v>
      </c>
    </row>
    <row r="22" spans="1:54" x14ac:dyDescent="0.4">
      <c r="A22">
        <v>1374682</v>
      </c>
      <c r="D22" t="s">
        <v>54</v>
      </c>
      <c r="G22">
        <v>1</v>
      </c>
      <c r="H22" t="s">
        <v>56</v>
      </c>
      <c r="I22" t="s">
        <v>57</v>
      </c>
      <c r="K22" t="s">
        <v>135</v>
      </c>
      <c r="L22" t="s">
        <v>523</v>
      </c>
      <c r="M22" t="s">
        <v>59</v>
      </c>
      <c r="P22" t="s">
        <v>212</v>
      </c>
      <c r="Q22" t="s">
        <v>137</v>
      </c>
      <c r="R22" t="s">
        <v>138</v>
      </c>
      <c r="S22" t="s">
        <v>98</v>
      </c>
      <c r="T22">
        <v>274.39999999999998</v>
      </c>
      <c r="U22">
        <v>264.27999999999997</v>
      </c>
      <c r="V22">
        <f>(T22+U22)/2</f>
        <v>269.33999999999997</v>
      </c>
      <c r="W22">
        <f>T22-U22</f>
        <v>10.120000000000005</v>
      </c>
      <c r="X22">
        <v>44.554721999999998</v>
      </c>
      <c r="Y22">
        <v>65.591667000000001</v>
      </c>
      <c r="Z22" t="s">
        <v>99</v>
      </c>
      <c r="AA22" t="s">
        <v>139</v>
      </c>
      <c r="AB22" t="s">
        <v>524</v>
      </c>
      <c r="AC22" t="s">
        <v>1968</v>
      </c>
      <c r="AG22" t="s">
        <v>526</v>
      </c>
      <c r="AH22" t="s">
        <v>65</v>
      </c>
      <c r="AI22" t="s">
        <v>207</v>
      </c>
      <c r="AJ22">
        <v>1997</v>
      </c>
      <c r="AK22" t="s">
        <v>1969</v>
      </c>
      <c r="AN22" t="s">
        <v>121</v>
      </c>
      <c r="AO22" t="s">
        <v>68</v>
      </c>
      <c r="AP22" t="s">
        <v>69</v>
      </c>
      <c r="AQ22" t="s">
        <v>1970</v>
      </c>
      <c r="AR22" t="s">
        <v>70</v>
      </c>
      <c r="AS22">
        <v>302</v>
      </c>
      <c r="AT22" t="s">
        <v>71</v>
      </c>
      <c r="AU22">
        <v>37.619999999999997</v>
      </c>
      <c r="AV22">
        <v>34.99</v>
      </c>
      <c r="AW22" t="s">
        <v>72</v>
      </c>
      <c r="AX22">
        <v>301</v>
      </c>
      <c r="AY22" t="s">
        <v>71</v>
      </c>
      <c r="AZ22">
        <v>35.32</v>
      </c>
      <c r="BA22">
        <v>34.25</v>
      </c>
      <c r="BB22" t="s">
        <v>73</v>
      </c>
    </row>
    <row r="23" spans="1:54" x14ac:dyDescent="0.4">
      <c r="A23">
        <v>1374686</v>
      </c>
      <c r="D23" t="s">
        <v>54</v>
      </c>
      <c r="G23">
        <v>1</v>
      </c>
      <c r="H23" t="s">
        <v>56</v>
      </c>
      <c r="I23" t="s">
        <v>57</v>
      </c>
      <c r="K23" t="s">
        <v>135</v>
      </c>
      <c r="L23" t="s">
        <v>532</v>
      </c>
      <c r="M23" t="s">
        <v>59</v>
      </c>
      <c r="P23" t="s">
        <v>212</v>
      </c>
      <c r="Q23" t="s">
        <v>137</v>
      </c>
      <c r="R23" t="s">
        <v>138</v>
      </c>
      <c r="S23" t="s">
        <v>98</v>
      </c>
      <c r="T23">
        <v>274.39999999999998</v>
      </c>
      <c r="U23">
        <v>264.27999999999997</v>
      </c>
      <c r="V23">
        <f>(T23+U23)/2</f>
        <v>269.33999999999997</v>
      </c>
      <c r="W23">
        <f>T23-U23</f>
        <v>10.120000000000005</v>
      </c>
      <c r="X23">
        <v>44.554721999999998</v>
      </c>
      <c r="Y23">
        <v>65.591667000000001</v>
      </c>
      <c r="Z23" t="s">
        <v>99</v>
      </c>
      <c r="AA23" t="s">
        <v>139</v>
      </c>
      <c r="AB23" t="s">
        <v>524</v>
      </c>
      <c r="AC23" t="s">
        <v>1968</v>
      </c>
      <c r="AG23" t="s">
        <v>526</v>
      </c>
      <c r="AH23" t="s">
        <v>65</v>
      </c>
      <c r="AI23" t="s">
        <v>531</v>
      </c>
      <c r="AJ23">
        <v>1984</v>
      </c>
      <c r="AK23" t="s">
        <v>1971</v>
      </c>
      <c r="AN23" t="s">
        <v>121</v>
      </c>
      <c r="AO23" t="s">
        <v>68</v>
      </c>
      <c r="AP23" t="s">
        <v>69</v>
      </c>
      <c r="AQ23" t="s">
        <v>1970</v>
      </c>
      <c r="AR23" t="s">
        <v>70</v>
      </c>
      <c r="AS23">
        <v>302</v>
      </c>
      <c r="AT23" t="s">
        <v>71</v>
      </c>
      <c r="AU23">
        <v>37.619999999999997</v>
      </c>
      <c r="AV23">
        <v>34.99</v>
      </c>
      <c r="AW23" t="s">
        <v>72</v>
      </c>
      <c r="AX23">
        <v>301</v>
      </c>
      <c r="AY23" t="s">
        <v>71</v>
      </c>
      <c r="AZ23">
        <v>35.32</v>
      </c>
      <c r="BA23">
        <v>34.25</v>
      </c>
      <c r="BB23" t="s">
        <v>73</v>
      </c>
    </row>
    <row r="24" spans="1:54" x14ac:dyDescent="0.4">
      <c r="A24">
        <v>1374687</v>
      </c>
      <c r="D24" t="s">
        <v>54</v>
      </c>
      <c r="G24">
        <v>1</v>
      </c>
      <c r="H24" t="s">
        <v>56</v>
      </c>
      <c r="I24" t="s">
        <v>57</v>
      </c>
      <c r="K24" t="s">
        <v>135</v>
      </c>
      <c r="L24" t="s">
        <v>651</v>
      </c>
      <c r="M24" t="s">
        <v>59</v>
      </c>
      <c r="P24" t="s">
        <v>212</v>
      </c>
      <c r="Q24" t="s">
        <v>137</v>
      </c>
      <c r="R24" t="s">
        <v>138</v>
      </c>
      <c r="S24" t="s">
        <v>98</v>
      </c>
      <c r="T24">
        <v>274.39999999999998</v>
      </c>
      <c r="U24">
        <v>264.27999999999997</v>
      </c>
      <c r="V24">
        <f>(T24+U24)/2</f>
        <v>269.33999999999997</v>
      </c>
      <c r="W24">
        <f>T24-U24</f>
        <v>10.120000000000005</v>
      </c>
      <c r="X24">
        <v>44.554721999999998</v>
      </c>
      <c r="Y24">
        <v>65.591667000000001</v>
      </c>
      <c r="Z24" t="s">
        <v>99</v>
      </c>
      <c r="AA24" t="s">
        <v>139</v>
      </c>
      <c r="AB24" t="s">
        <v>524</v>
      </c>
      <c r="AC24" t="s">
        <v>1968</v>
      </c>
      <c r="AG24" t="s">
        <v>526</v>
      </c>
      <c r="AH24" t="s">
        <v>65</v>
      </c>
      <c r="AI24" t="s">
        <v>207</v>
      </c>
      <c r="AJ24">
        <v>1997</v>
      </c>
      <c r="AK24" t="s">
        <v>1971</v>
      </c>
      <c r="AN24" t="s">
        <v>121</v>
      </c>
      <c r="AO24" t="s">
        <v>68</v>
      </c>
      <c r="AP24" t="s">
        <v>69</v>
      </c>
      <c r="AQ24" t="s">
        <v>1970</v>
      </c>
      <c r="AR24" t="s">
        <v>70</v>
      </c>
      <c r="AS24">
        <v>302</v>
      </c>
      <c r="AT24" t="s">
        <v>71</v>
      </c>
      <c r="AU24">
        <v>37.619999999999997</v>
      </c>
      <c r="AV24">
        <v>34.99</v>
      </c>
      <c r="AW24" t="s">
        <v>72</v>
      </c>
      <c r="AX24">
        <v>301</v>
      </c>
      <c r="AY24" t="s">
        <v>71</v>
      </c>
      <c r="AZ24">
        <v>35.32</v>
      </c>
      <c r="BA24">
        <v>34.25</v>
      </c>
      <c r="BB24" t="s">
        <v>73</v>
      </c>
    </row>
    <row r="25" spans="1:54" x14ac:dyDescent="0.4">
      <c r="A25">
        <v>1374690</v>
      </c>
      <c r="D25" t="s">
        <v>54</v>
      </c>
      <c r="G25">
        <v>1</v>
      </c>
      <c r="H25" t="s">
        <v>56</v>
      </c>
      <c r="I25" t="s">
        <v>57</v>
      </c>
      <c r="K25" t="s">
        <v>530</v>
      </c>
      <c r="L25" t="s">
        <v>802</v>
      </c>
      <c r="M25" t="s">
        <v>59</v>
      </c>
      <c r="P25" t="s">
        <v>212</v>
      </c>
      <c r="Q25" t="s">
        <v>137</v>
      </c>
      <c r="R25" t="s">
        <v>138</v>
      </c>
      <c r="S25" t="s">
        <v>98</v>
      </c>
      <c r="T25">
        <v>274.39999999999998</v>
      </c>
      <c r="U25">
        <v>264.27999999999997</v>
      </c>
      <c r="V25">
        <f>(T25+U25)/2</f>
        <v>269.33999999999997</v>
      </c>
      <c r="W25">
        <f>T25-U25</f>
        <v>10.120000000000005</v>
      </c>
      <c r="X25">
        <v>44.554721999999998</v>
      </c>
      <c r="Y25">
        <v>65.591667000000001</v>
      </c>
      <c r="Z25" t="s">
        <v>99</v>
      </c>
      <c r="AA25" t="s">
        <v>139</v>
      </c>
      <c r="AB25" t="s">
        <v>524</v>
      </c>
      <c r="AC25" t="s">
        <v>1968</v>
      </c>
      <c r="AG25" t="s">
        <v>526</v>
      </c>
      <c r="AH25" t="s">
        <v>65</v>
      </c>
      <c r="AI25" t="s">
        <v>207</v>
      </c>
      <c r="AJ25">
        <v>2008</v>
      </c>
      <c r="AK25" t="s">
        <v>1971</v>
      </c>
      <c r="AN25" t="s">
        <v>121</v>
      </c>
      <c r="AO25" t="s">
        <v>68</v>
      </c>
      <c r="AP25" t="s">
        <v>69</v>
      </c>
      <c r="AQ25" t="s">
        <v>1970</v>
      </c>
      <c r="AR25" t="s">
        <v>70</v>
      </c>
      <c r="AS25">
        <v>302</v>
      </c>
      <c r="AT25" t="s">
        <v>71</v>
      </c>
      <c r="AU25">
        <v>37.619999999999997</v>
      </c>
      <c r="AV25">
        <v>34.99</v>
      </c>
      <c r="AW25" t="s">
        <v>72</v>
      </c>
      <c r="AX25">
        <v>301</v>
      </c>
      <c r="AY25" t="s">
        <v>71</v>
      </c>
      <c r="AZ25">
        <v>35.32</v>
      </c>
      <c r="BA25">
        <v>34.25</v>
      </c>
      <c r="BB25" t="s">
        <v>73</v>
      </c>
    </row>
    <row r="26" spans="1:54" x14ac:dyDescent="0.4">
      <c r="A26">
        <v>1374692</v>
      </c>
      <c r="D26" t="s">
        <v>54</v>
      </c>
      <c r="G26">
        <v>1</v>
      </c>
      <c r="H26" t="s">
        <v>56</v>
      </c>
      <c r="I26" t="s">
        <v>57</v>
      </c>
      <c r="K26" t="s">
        <v>135</v>
      </c>
      <c r="L26" t="s">
        <v>532</v>
      </c>
      <c r="M26" t="s">
        <v>59</v>
      </c>
      <c r="P26" t="s">
        <v>212</v>
      </c>
      <c r="Q26" t="s">
        <v>137</v>
      </c>
      <c r="R26" t="s">
        <v>138</v>
      </c>
      <c r="S26" t="s">
        <v>98</v>
      </c>
      <c r="T26">
        <v>274.39999999999998</v>
      </c>
      <c r="U26">
        <v>264.27999999999997</v>
      </c>
      <c r="V26">
        <f>(T26+U26)/2</f>
        <v>269.33999999999997</v>
      </c>
      <c r="W26">
        <f>T26-U26</f>
        <v>10.120000000000005</v>
      </c>
      <c r="X26">
        <v>44.554721999999998</v>
      </c>
      <c r="Y26">
        <v>65.591667000000001</v>
      </c>
      <c r="Z26" t="s">
        <v>99</v>
      </c>
      <c r="AA26" t="s">
        <v>139</v>
      </c>
      <c r="AB26" t="s">
        <v>524</v>
      </c>
      <c r="AC26" t="s">
        <v>1968</v>
      </c>
      <c r="AG26" t="s">
        <v>526</v>
      </c>
      <c r="AH26" t="s">
        <v>65</v>
      </c>
      <c r="AI26" t="s">
        <v>531</v>
      </c>
      <c r="AJ26">
        <v>1984</v>
      </c>
      <c r="AK26" t="s">
        <v>1972</v>
      </c>
      <c r="AM26" t="s">
        <v>1973</v>
      </c>
      <c r="AN26" t="s">
        <v>121</v>
      </c>
      <c r="AO26" t="s">
        <v>68</v>
      </c>
      <c r="AP26" t="s">
        <v>69</v>
      </c>
      <c r="AQ26" t="s">
        <v>1970</v>
      </c>
      <c r="AR26" t="s">
        <v>70</v>
      </c>
      <c r="AS26">
        <v>302</v>
      </c>
      <c r="AT26" t="s">
        <v>71</v>
      </c>
      <c r="AU26">
        <v>37.619999999999997</v>
      </c>
      <c r="AV26">
        <v>34.99</v>
      </c>
      <c r="AW26" t="s">
        <v>72</v>
      </c>
      <c r="AX26">
        <v>301</v>
      </c>
      <c r="AY26" t="s">
        <v>71</v>
      </c>
      <c r="AZ26">
        <v>35.32</v>
      </c>
      <c r="BA26">
        <v>34.25</v>
      </c>
      <c r="BB26" t="s">
        <v>73</v>
      </c>
    </row>
    <row r="27" spans="1:54" x14ac:dyDescent="0.4">
      <c r="A27">
        <v>1374692</v>
      </c>
      <c r="D27" t="s">
        <v>54</v>
      </c>
      <c r="G27">
        <v>1</v>
      </c>
      <c r="H27" t="s">
        <v>56</v>
      </c>
      <c r="I27" t="s">
        <v>57</v>
      </c>
      <c r="K27" t="s">
        <v>135</v>
      </c>
      <c r="L27" t="s">
        <v>532</v>
      </c>
      <c r="M27" t="s">
        <v>59</v>
      </c>
      <c r="P27" t="s">
        <v>212</v>
      </c>
      <c r="Q27" t="s">
        <v>137</v>
      </c>
      <c r="R27" t="s">
        <v>138</v>
      </c>
      <c r="S27" t="s">
        <v>98</v>
      </c>
      <c r="T27">
        <v>274.39999999999998</v>
      </c>
      <c r="U27">
        <v>264.27999999999997</v>
      </c>
      <c r="V27">
        <f>(T27+U27)/2</f>
        <v>269.33999999999997</v>
      </c>
      <c r="W27">
        <f>T27-U27</f>
        <v>10.120000000000005</v>
      </c>
      <c r="X27">
        <v>44.554721999999998</v>
      </c>
      <c r="Y27">
        <v>65.591667000000001</v>
      </c>
      <c r="Z27" t="s">
        <v>99</v>
      </c>
      <c r="AA27" t="s">
        <v>139</v>
      </c>
      <c r="AB27" t="s">
        <v>524</v>
      </c>
      <c r="AC27" t="s">
        <v>1968</v>
      </c>
      <c r="AG27" t="s">
        <v>526</v>
      </c>
      <c r="AH27" t="s">
        <v>65</v>
      </c>
      <c r="AI27" t="s">
        <v>531</v>
      </c>
      <c r="AJ27">
        <v>1984</v>
      </c>
      <c r="AK27" t="s">
        <v>1972</v>
      </c>
      <c r="AM27" t="s">
        <v>1973</v>
      </c>
      <c r="AN27" t="s">
        <v>121</v>
      </c>
      <c r="AO27" t="s">
        <v>68</v>
      </c>
      <c r="AP27" t="s">
        <v>69</v>
      </c>
      <c r="AQ27" t="s">
        <v>1970</v>
      </c>
      <c r="AR27" t="s">
        <v>70</v>
      </c>
      <c r="AS27">
        <v>302</v>
      </c>
      <c r="AT27" t="s">
        <v>71</v>
      </c>
      <c r="AU27">
        <v>37.619999999999997</v>
      </c>
      <c r="AV27">
        <v>34.99</v>
      </c>
      <c r="AW27" t="s">
        <v>72</v>
      </c>
      <c r="AX27">
        <v>301</v>
      </c>
      <c r="AY27" t="s">
        <v>71</v>
      </c>
      <c r="AZ27">
        <v>35.32</v>
      </c>
      <c r="BA27">
        <v>34.25</v>
      </c>
      <c r="BB27" t="s">
        <v>73</v>
      </c>
    </row>
    <row r="28" spans="1:54" x14ac:dyDescent="0.4">
      <c r="A28">
        <v>1374693</v>
      </c>
      <c r="D28" t="s">
        <v>54</v>
      </c>
      <c r="G28">
        <v>1</v>
      </c>
      <c r="H28" t="s">
        <v>56</v>
      </c>
      <c r="I28" t="s">
        <v>57</v>
      </c>
      <c r="K28" t="s">
        <v>135</v>
      </c>
      <c r="L28" t="s">
        <v>651</v>
      </c>
      <c r="M28" t="s">
        <v>59</v>
      </c>
      <c r="P28" t="s">
        <v>212</v>
      </c>
      <c r="Q28" t="s">
        <v>137</v>
      </c>
      <c r="R28" t="s">
        <v>138</v>
      </c>
      <c r="S28" t="s">
        <v>98</v>
      </c>
      <c r="T28">
        <v>274.39999999999998</v>
      </c>
      <c r="U28">
        <v>264.27999999999997</v>
      </c>
      <c r="V28">
        <f>(T28+U28)/2</f>
        <v>269.33999999999997</v>
      </c>
      <c r="W28">
        <f>T28-U28</f>
        <v>10.120000000000005</v>
      </c>
      <c r="X28">
        <v>44.554721999999998</v>
      </c>
      <c r="Y28">
        <v>65.591667000000001</v>
      </c>
      <c r="Z28" t="s">
        <v>99</v>
      </c>
      <c r="AA28" t="s">
        <v>139</v>
      </c>
      <c r="AB28" t="s">
        <v>524</v>
      </c>
      <c r="AC28" t="s">
        <v>1968</v>
      </c>
      <c r="AG28" t="s">
        <v>526</v>
      </c>
      <c r="AH28" t="s">
        <v>65</v>
      </c>
      <c r="AI28" t="s">
        <v>207</v>
      </c>
      <c r="AJ28">
        <v>1997</v>
      </c>
      <c r="AK28" t="s">
        <v>1972</v>
      </c>
      <c r="AM28" t="s">
        <v>1973</v>
      </c>
      <c r="AN28" t="s">
        <v>121</v>
      </c>
      <c r="AO28" t="s">
        <v>68</v>
      </c>
      <c r="AP28" t="s">
        <v>69</v>
      </c>
      <c r="AQ28" t="s">
        <v>1970</v>
      </c>
      <c r="AR28" t="s">
        <v>70</v>
      </c>
      <c r="AS28">
        <v>302</v>
      </c>
      <c r="AT28" t="s">
        <v>71</v>
      </c>
      <c r="AU28">
        <v>37.619999999999997</v>
      </c>
      <c r="AV28">
        <v>34.99</v>
      </c>
      <c r="AW28" t="s">
        <v>72</v>
      </c>
      <c r="AX28">
        <v>301</v>
      </c>
      <c r="AY28" t="s">
        <v>71</v>
      </c>
      <c r="AZ28">
        <v>35.32</v>
      </c>
      <c r="BA28">
        <v>34.25</v>
      </c>
      <c r="BB28" t="s">
        <v>73</v>
      </c>
    </row>
    <row r="29" spans="1:54" x14ac:dyDescent="0.4">
      <c r="A29">
        <v>1374695</v>
      </c>
      <c r="D29" t="s">
        <v>54</v>
      </c>
      <c r="G29">
        <v>1</v>
      </c>
      <c r="H29" t="s">
        <v>56</v>
      </c>
      <c r="I29" t="s">
        <v>57</v>
      </c>
      <c r="K29" t="s">
        <v>530</v>
      </c>
      <c r="L29" t="s">
        <v>802</v>
      </c>
      <c r="M29" t="s">
        <v>59</v>
      </c>
      <c r="P29" t="s">
        <v>212</v>
      </c>
      <c r="Q29" t="s">
        <v>137</v>
      </c>
      <c r="R29" t="s">
        <v>138</v>
      </c>
      <c r="S29" t="s">
        <v>98</v>
      </c>
      <c r="T29">
        <v>274.39999999999998</v>
      </c>
      <c r="U29">
        <v>264.27999999999997</v>
      </c>
      <c r="V29">
        <f>(T29+U29)/2</f>
        <v>269.33999999999997</v>
      </c>
      <c r="W29">
        <f>T29-U29</f>
        <v>10.120000000000005</v>
      </c>
      <c r="X29">
        <v>44.554721999999998</v>
      </c>
      <c r="Y29">
        <v>65.591667000000001</v>
      </c>
      <c r="Z29" t="s">
        <v>99</v>
      </c>
      <c r="AA29" t="s">
        <v>139</v>
      </c>
      <c r="AB29" t="s">
        <v>524</v>
      </c>
      <c r="AC29" t="s">
        <v>1968</v>
      </c>
      <c r="AG29" t="s">
        <v>526</v>
      </c>
      <c r="AH29" t="s">
        <v>65</v>
      </c>
      <c r="AI29" t="s">
        <v>207</v>
      </c>
      <c r="AJ29">
        <v>2008</v>
      </c>
      <c r="AK29" t="s">
        <v>1972</v>
      </c>
      <c r="AM29" t="s">
        <v>1973</v>
      </c>
      <c r="AN29" t="s">
        <v>121</v>
      </c>
      <c r="AO29" t="s">
        <v>68</v>
      </c>
      <c r="AP29" t="s">
        <v>69</v>
      </c>
      <c r="AQ29" t="s">
        <v>1970</v>
      </c>
      <c r="AR29" t="s">
        <v>70</v>
      </c>
      <c r="AS29">
        <v>302</v>
      </c>
      <c r="AT29" t="s">
        <v>71</v>
      </c>
      <c r="AU29">
        <v>37.619999999999997</v>
      </c>
      <c r="AV29">
        <v>34.99</v>
      </c>
      <c r="AW29" t="s">
        <v>72</v>
      </c>
      <c r="AX29">
        <v>301</v>
      </c>
      <c r="AY29" t="s">
        <v>71</v>
      </c>
      <c r="AZ29">
        <v>35.32</v>
      </c>
      <c r="BA29">
        <v>34.25</v>
      </c>
      <c r="BB29" t="s">
        <v>73</v>
      </c>
    </row>
    <row r="30" spans="1:54" x14ac:dyDescent="0.4">
      <c r="A30">
        <v>1374698</v>
      </c>
      <c r="D30" t="s">
        <v>54</v>
      </c>
      <c r="G30">
        <v>1</v>
      </c>
      <c r="H30" t="s">
        <v>56</v>
      </c>
      <c r="I30" t="s">
        <v>57</v>
      </c>
      <c r="K30" t="s">
        <v>135</v>
      </c>
      <c r="L30" t="s">
        <v>651</v>
      </c>
      <c r="M30" t="s">
        <v>59</v>
      </c>
      <c r="P30" t="s">
        <v>212</v>
      </c>
      <c r="Q30" t="s">
        <v>137</v>
      </c>
      <c r="R30" t="s">
        <v>138</v>
      </c>
      <c r="S30" t="s">
        <v>98</v>
      </c>
      <c r="T30">
        <v>274.39999999999998</v>
      </c>
      <c r="U30">
        <v>264.27999999999997</v>
      </c>
      <c r="V30">
        <f>(T30+U30)/2</f>
        <v>269.33999999999997</v>
      </c>
      <c r="W30">
        <f>T30-U30</f>
        <v>10.120000000000005</v>
      </c>
      <c r="X30">
        <v>44.554721999999998</v>
      </c>
      <c r="Y30">
        <v>65.591667000000001</v>
      </c>
      <c r="Z30" t="s">
        <v>99</v>
      </c>
      <c r="AA30" t="s">
        <v>139</v>
      </c>
      <c r="AB30" t="s">
        <v>524</v>
      </c>
      <c r="AC30" t="s">
        <v>1968</v>
      </c>
      <c r="AG30" t="s">
        <v>526</v>
      </c>
      <c r="AH30" t="s">
        <v>65</v>
      </c>
      <c r="AI30" t="s">
        <v>207</v>
      </c>
      <c r="AJ30">
        <v>1997</v>
      </c>
      <c r="AK30" t="s">
        <v>1974</v>
      </c>
      <c r="AM30" t="s">
        <v>1975</v>
      </c>
      <c r="AN30" t="s">
        <v>121</v>
      </c>
      <c r="AO30" t="s">
        <v>68</v>
      </c>
      <c r="AP30" t="s">
        <v>69</v>
      </c>
      <c r="AQ30" t="s">
        <v>1970</v>
      </c>
      <c r="AR30" t="s">
        <v>70</v>
      </c>
      <c r="AS30">
        <v>302</v>
      </c>
      <c r="AT30" t="s">
        <v>71</v>
      </c>
      <c r="AU30">
        <v>37.619999999999997</v>
      </c>
      <c r="AV30">
        <v>34.99</v>
      </c>
      <c r="AW30" t="s">
        <v>72</v>
      </c>
      <c r="AX30">
        <v>301</v>
      </c>
      <c r="AY30" t="s">
        <v>71</v>
      </c>
      <c r="AZ30">
        <v>35.32</v>
      </c>
      <c r="BA30">
        <v>34.25</v>
      </c>
      <c r="BB30" t="s">
        <v>73</v>
      </c>
    </row>
    <row r="31" spans="1:54" x14ac:dyDescent="0.4">
      <c r="A31">
        <v>1374699</v>
      </c>
      <c r="D31" t="s">
        <v>54</v>
      </c>
      <c r="G31">
        <v>1</v>
      </c>
      <c r="H31" t="s">
        <v>56</v>
      </c>
      <c r="I31" t="s">
        <v>57</v>
      </c>
      <c r="K31" t="s">
        <v>102</v>
      </c>
      <c r="L31" t="s">
        <v>1976</v>
      </c>
      <c r="M31" t="s">
        <v>59</v>
      </c>
      <c r="P31" t="s">
        <v>212</v>
      </c>
      <c r="Q31" t="s">
        <v>137</v>
      </c>
      <c r="R31" t="s">
        <v>138</v>
      </c>
      <c r="S31" t="s">
        <v>98</v>
      </c>
      <c r="T31">
        <v>274.39999999999998</v>
      </c>
      <c r="U31">
        <v>264.27999999999997</v>
      </c>
      <c r="V31">
        <f>(T31+U31)/2</f>
        <v>269.33999999999997</v>
      </c>
      <c r="W31">
        <f>T31-U31</f>
        <v>10.120000000000005</v>
      </c>
      <c r="X31">
        <v>44.554721999999998</v>
      </c>
      <c r="Y31">
        <v>65.591667000000001</v>
      </c>
      <c r="Z31" t="s">
        <v>99</v>
      </c>
      <c r="AA31" t="s">
        <v>139</v>
      </c>
      <c r="AB31" t="s">
        <v>524</v>
      </c>
      <c r="AC31" t="s">
        <v>1968</v>
      </c>
      <c r="AG31" t="s">
        <v>526</v>
      </c>
      <c r="AH31" t="s">
        <v>65</v>
      </c>
      <c r="AI31" t="s">
        <v>1977</v>
      </c>
      <c r="AJ31">
        <v>2002</v>
      </c>
      <c r="AK31" t="s">
        <v>1974</v>
      </c>
      <c r="AM31" t="s">
        <v>1975</v>
      </c>
      <c r="AN31" t="s">
        <v>121</v>
      </c>
      <c r="AO31" t="s">
        <v>68</v>
      </c>
      <c r="AP31" t="s">
        <v>69</v>
      </c>
      <c r="AQ31" t="s">
        <v>1970</v>
      </c>
      <c r="AR31" t="s">
        <v>70</v>
      </c>
      <c r="AS31">
        <v>302</v>
      </c>
      <c r="AT31" t="s">
        <v>71</v>
      </c>
      <c r="AU31">
        <v>37.619999999999997</v>
      </c>
      <c r="AV31">
        <v>34.99</v>
      </c>
      <c r="AW31" t="s">
        <v>72</v>
      </c>
      <c r="AX31">
        <v>301</v>
      </c>
      <c r="AY31" t="s">
        <v>71</v>
      </c>
      <c r="AZ31">
        <v>35.32</v>
      </c>
      <c r="BA31">
        <v>34.25</v>
      </c>
      <c r="BB31" t="s">
        <v>73</v>
      </c>
    </row>
    <row r="32" spans="1:54" x14ac:dyDescent="0.4">
      <c r="A32">
        <v>1374701</v>
      </c>
      <c r="D32" t="s">
        <v>54</v>
      </c>
      <c r="G32">
        <v>1</v>
      </c>
      <c r="H32" t="s">
        <v>56</v>
      </c>
      <c r="I32" t="s">
        <v>57</v>
      </c>
      <c r="K32" t="s">
        <v>530</v>
      </c>
      <c r="L32" t="s">
        <v>802</v>
      </c>
      <c r="M32" t="s">
        <v>59</v>
      </c>
      <c r="P32" t="s">
        <v>212</v>
      </c>
      <c r="Q32" t="s">
        <v>137</v>
      </c>
      <c r="R32" t="s">
        <v>138</v>
      </c>
      <c r="S32" t="s">
        <v>98</v>
      </c>
      <c r="T32">
        <v>274.39999999999998</v>
      </c>
      <c r="U32">
        <v>264.27999999999997</v>
      </c>
      <c r="V32">
        <f>(T32+U32)/2</f>
        <v>269.33999999999997</v>
      </c>
      <c r="W32">
        <f>T32-U32</f>
        <v>10.120000000000005</v>
      </c>
      <c r="X32">
        <v>44.554721999999998</v>
      </c>
      <c r="Y32">
        <v>65.591667000000001</v>
      </c>
      <c r="Z32" t="s">
        <v>99</v>
      </c>
      <c r="AA32" t="s">
        <v>139</v>
      </c>
      <c r="AB32" t="s">
        <v>524</v>
      </c>
      <c r="AC32" t="s">
        <v>1968</v>
      </c>
      <c r="AG32" t="s">
        <v>526</v>
      </c>
      <c r="AH32" t="s">
        <v>65</v>
      </c>
      <c r="AI32" t="s">
        <v>207</v>
      </c>
      <c r="AJ32">
        <v>2008</v>
      </c>
      <c r="AK32" t="s">
        <v>1974</v>
      </c>
      <c r="AM32" t="s">
        <v>1975</v>
      </c>
      <c r="AN32" t="s">
        <v>121</v>
      </c>
      <c r="AO32" t="s">
        <v>68</v>
      </c>
      <c r="AP32" t="s">
        <v>69</v>
      </c>
      <c r="AQ32" t="s">
        <v>1970</v>
      </c>
      <c r="AR32" t="s">
        <v>70</v>
      </c>
      <c r="AS32">
        <v>302</v>
      </c>
      <c r="AT32" t="s">
        <v>71</v>
      </c>
      <c r="AU32">
        <v>37.619999999999997</v>
      </c>
      <c r="AV32">
        <v>34.99</v>
      </c>
      <c r="AW32" t="s">
        <v>72</v>
      </c>
      <c r="AX32">
        <v>301</v>
      </c>
      <c r="AY32" t="s">
        <v>71</v>
      </c>
      <c r="AZ32">
        <v>35.32</v>
      </c>
      <c r="BA32">
        <v>34.25</v>
      </c>
      <c r="BB32" t="s">
        <v>73</v>
      </c>
    </row>
    <row r="33" spans="1:54" x14ac:dyDescent="0.4">
      <c r="A33">
        <v>1374703</v>
      </c>
      <c r="D33" t="s">
        <v>54</v>
      </c>
      <c r="G33">
        <v>1</v>
      </c>
      <c r="H33" t="s">
        <v>56</v>
      </c>
      <c r="I33" t="s">
        <v>57</v>
      </c>
      <c r="K33" t="s">
        <v>530</v>
      </c>
      <c r="L33" t="s">
        <v>802</v>
      </c>
      <c r="M33" t="s">
        <v>59</v>
      </c>
      <c r="P33" t="s">
        <v>212</v>
      </c>
      <c r="Q33" t="s">
        <v>137</v>
      </c>
      <c r="R33" t="s">
        <v>138</v>
      </c>
      <c r="S33" t="s">
        <v>98</v>
      </c>
      <c r="T33">
        <v>274.39999999999998</v>
      </c>
      <c r="U33">
        <v>264.27999999999997</v>
      </c>
      <c r="V33">
        <f>(T33+U33)/2</f>
        <v>269.33999999999997</v>
      </c>
      <c r="W33">
        <f>T33-U33</f>
        <v>10.120000000000005</v>
      </c>
      <c r="X33">
        <v>44.554721999999998</v>
      </c>
      <c r="Y33">
        <v>65.591667000000001</v>
      </c>
      <c r="Z33" t="s">
        <v>99</v>
      </c>
      <c r="AA33" t="s">
        <v>139</v>
      </c>
      <c r="AB33" t="s">
        <v>524</v>
      </c>
      <c r="AC33" t="s">
        <v>1968</v>
      </c>
      <c r="AG33" t="s">
        <v>526</v>
      </c>
      <c r="AH33" t="s">
        <v>65</v>
      </c>
      <c r="AI33" t="s">
        <v>207</v>
      </c>
      <c r="AJ33">
        <v>2008</v>
      </c>
      <c r="AK33" t="s">
        <v>1978</v>
      </c>
      <c r="AN33" t="s">
        <v>121</v>
      </c>
      <c r="AO33" t="s">
        <v>68</v>
      </c>
      <c r="AP33" t="s">
        <v>69</v>
      </c>
      <c r="AQ33" t="s">
        <v>1970</v>
      </c>
      <c r="AR33" t="s">
        <v>70</v>
      </c>
      <c r="AS33">
        <v>302</v>
      </c>
      <c r="AT33" t="s">
        <v>71</v>
      </c>
      <c r="AU33">
        <v>37.619999999999997</v>
      </c>
      <c r="AV33">
        <v>34.99</v>
      </c>
      <c r="AW33" t="s">
        <v>72</v>
      </c>
      <c r="AX33">
        <v>301</v>
      </c>
      <c r="AY33" t="s">
        <v>71</v>
      </c>
      <c r="AZ33">
        <v>35.32</v>
      </c>
      <c r="BA33">
        <v>34.25</v>
      </c>
      <c r="BB33" t="s">
        <v>73</v>
      </c>
    </row>
    <row r="34" spans="1:54" x14ac:dyDescent="0.4">
      <c r="A34">
        <v>1374705</v>
      </c>
      <c r="D34" t="s">
        <v>54</v>
      </c>
      <c r="G34">
        <v>1</v>
      </c>
      <c r="H34" t="s">
        <v>56</v>
      </c>
      <c r="I34" t="s">
        <v>57</v>
      </c>
      <c r="K34" t="s">
        <v>530</v>
      </c>
      <c r="L34" t="s">
        <v>802</v>
      </c>
      <c r="M34" t="s">
        <v>59</v>
      </c>
      <c r="P34" t="s">
        <v>212</v>
      </c>
      <c r="Q34" t="s">
        <v>137</v>
      </c>
      <c r="R34" t="s">
        <v>138</v>
      </c>
      <c r="S34" t="s">
        <v>98</v>
      </c>
      <c r="T34">
        <v>274.39999999999998</v>
      </c>
      <c r="U34">
        <v>264.27999999999997</v>
      </c>
      <c r="V34">
        <f>(T34+U34)/2</f>
        <v>269.33999999999997</v>
      </c>
      <c r="W34">
        <f>T34-U34</f>
        <v>10.120000000000005</v>
      </c>
      <c r="X34">
        <v>44.554721999999998</v>
      </c>
      <c r="Y34">
        <v>65.591667000000001</v>
      </c>
      <c r="Z34" t="s">
        <v>99</v>
      </c>
      <c r="AA34" t="s">
        <v>139</v>
      </c>
      <c r="AB34" t="s">
        <v>524</v>
      </c>
      <c r="AC34" t="s">
        <v>1968</v>
      </c>
      <c r="AG34" t="s">
        <v>526</v>
      </c>
      <c r="AH34" t="s">
        <v>65</v>
      </c>
      <c r="AI34" t="s">
        <v>207</v>
      </c>
      <c r="AJ34">
        <v>2008</v>
      </c>
      <c r="AK34" t="s">
        <v>1979</v>
      </c>
      <c r="AN34" t="s">
        <v>121</v>
      </c>
      <c r="AO34" t="s">
        <v>68</v>
      </c>
      <c r="AP34" t="s">
        <v>69</v>
      </c>
      <c r="AQ34" t="s">
        <v>1970</v>
      </c>
      <c r="AR34" t="s">
        <v>70</v>
      </c>
      <c r="AS34">
        <v>302</v>
      </c>
      <c r="AT34" t="s">
        <v>71</v>
      </c>
      <c r="AU34">
        <v>37.619999999999997</v>
      </c>
      <c r="AV34">
        <v>34.99</v>
      </c>
      <c r="AW34" t="s">
        <v>72</v>
      </c>
      <c r="AX34">
        <v>301</v>
      </c>
      <c r="AY34" t="s">
        <v>71</v>
      </c>
      <c r="AZ34">
        <v>35.32</v>
      </c>
      <c r="BA34">
        <v>34.25</v>
      </c>
      <c r="BB34" t="s">
        <v>73</v>
      </c>
    </row>
    <row r="35" spans="1:54" x14ac:dyDescent="0.4">
      <c r="A35">
        <v>1374705</v>
      </c>
      <c r="D35" t="s">
        <v>54</v>
      </c>
      <c r="G35">
        <v>1</v>
      </c>
      <c r="H35" t="s">
        <v>56</v>
      </c>
      <c r="I35" t="s">
        <v>57</v>
      </c>
      <c r="K35" t="s">
        <v>530</v>
      </c>
      <c r="L35" t="s">
        <v>802</v>
      </c>
      <c r="M35" t="s">
        <v>59</v>
      </c>
      <c r="P35" t="s">
        <v>212</v>
      </c>
      <c r="Q35" t="s">
        <v>137</v>
      </c>
      <c r="R35" t="s">
        <v>138</v>
      </c>
      <c r="S35" t="s">
        <v>98</v>
      </c>
      <c r="T35">
        <v>274.39999999999998</v>
      </c>
      <c r="U35">
        <v>264.27999999999997</v>
      </c>
      <c r="V35">
        <f>(T35+U35)/2</f>
        <v>269.33999999999997</v>
      </c>
      <c r="W35">
        <f>T35-U35</f>
        <v>10.120000000000005</v>
      </c>
      <c r="X35">
        <v>44.554721999999998</v>
      </c>
      <c r="Y35">
        <v>65.591667000000001</v>
      </c>
      <c r="Z35" t="s">
        <v>99</v>
      </c>
      <c r="AA35" t="s">
        <v>139</v>
      </c>
      <c r="AB35" t="s">
        <v>524</v>
      </c>
      <c r="AC35" t="s">
        <v>1968</v>
      </c>
      <c r="AG35" t="s">
        <v>526</v>
      </c>
      <c r="AH35" t="s">
        <v>65</v>
      </c>
      <c r="AI35" t="s">
        <v>207</v>
      </c>
      <c r="AJ35">
        <v>2008</v>
      </c>
      <c r="AK35" t="s">
        <v>1979</v>
      </c>
      <c r="AN35" t="s">
        <v>121</v>
      </c>
      <c r="AO35" t="s">
        <v>68</v>
      </c>
      <c r="AP35" t="s">
        <v>69</v>
      </c>
      <c r="AQ35" t="s">
        <v>1970</v>
      </c>
      <c r="AR35" t="s">
        <v>70</v>
      </c>
      <c r="AS35">
        <v>302</v>
      </c>
      <c r="AT35" t="s">
        <v>71</v>
      </c>
      <c r="AU35">
        <v>37.619999999999997</v>
      </c>
      <c r="AV35">
        <v>34.99</v>
      </c>
      <c r="AW35" t="s">
        <v>72</v>
      </c>
      <c r="AX35">
        <v>301</v>
      </c>
      <c r="AY35" t="s">
        <v>71</v>
      </c>
      <c r="AZ35">
        <v>35.32</v>
      </c>
      <c r="BA35">
        <v>34.25</v>
      </c>
      <c r="BB35" t="s">
        <v>73</v>
      </c>
    </row>
    <row r="36" spans="1:54" x14ac:dyDescent="0.4">
      <c r="A36">
        <v>1385576</v>
      </c>
      <c r="D36" t="s">
        <v>54</v>
      </c>
      <c r="G36">
        <v>1</v>
      </c>
      <c r="H36" t="s">
        <v>56</v>
      </c>
      <c r="I36" t="s">
        <v>57</v>
      </c>
      <c r="K36" t="s">
        <v>530</v>
      </c>
      <c r="L36" t="s">
        <v>802</v>
      </c>
      <c r="M36" t="s">
        <v>59</v>
      </c>
      <c r="P36" t="s">
        <v>212</v>
      </c>
      <c r="Q36" t="s">
        <v>137</v>
      </c>
      <c r="R36" t="s">
        <v>138</v>
      </c>
      <c r="S36" t="s">
        <v>98</v>
      </c>
      <c r="T36">
        <v>274.39999999999998</v>
      </c>
      <c r="U36">
        <v>264.27999999999997</v>
      </c>
      <c r="V36">
        <f>(T36+U36)/2</f>
        <v>269.33999999999997</v>
      </c>
      <c r="W36">
        <f>T36-U36</f>
        <v>10.120000000000005</v>
      </c>
      <c r="X36">
        <v>44.554721999999998</v>
      </c>
      <c r="Y36">
        <v>65.591667000000001</v>
      </c>
      <c r="Z36" t="s">
        <v>99</v>
      </c>
      <c r="AA36" t="s">
        <v>139</v>
      </c>
      <c r="AB36" t="s">
        <v>524</v>
      </c>
      <c r="AC36" t="s">
        <v>2012</v>
      </c>
      <c r="AG36" t="s">
        <v>526</v>
      </c>
      <c r="AH36" t="s">
        <v>65</v>
      </c>
      <c r="AI36" t="s">
        <v>207</v>
      </c>
      <c r="AJ36">
        <v>2008</v>
      </c>
      <c r="AK36" t="s">
        <v>2013</v>
      </c>
      <c r="AN36" t="s">
        <v>121</v>
      </c>
      <c r="AO36" t="s">
        <v>68</v>
      </c>
      <c r="AP36" t="s">
        <v>69</v>
      </c>
      <c r="AR36" t="s">
        <v>70</v>
      </c>
      <c r="AS36">
        <v>302</v>
      </c>
      <c r="AT36" t="s">
        <v>71</v>
      </c>
      <c r="AU36">
        <v>37.619999999999997</v>
      </c>
      <c r="AV36">
        <v>34.99</v>
      </c>
      <c r="AW36" t="s">
        <v>72</v>
      </c>
      <c r="AX36">
        <v>301</v>
      </c>
      <c r="AY36" t="s">
        <v>71</v>
      </c>
      <c r="AZ36">
        <v>35.32</v>
      </c>
      <c r="BA36">
        <v>34.25</v>
      </c>
      <c r="BB36" t="s">
        <v>73</v>
      </c>
    </row>
    <row r="37" spans="1:54" x14ac:dyDescent="0.4">
      <c r="A37">
        <v>1385577</v>
      </c>
      <c r="D37" t="s">
        <v>54</v>
      </c>
      <c r="G37">
        <v>2</v>
      </c>
      <c r="H37" t="s">
        <v>74</v>
      </c>
      <c r="I37" t="s">
        <v>57</v>
      </c>
      <c r="K37" t="s">
        <v>135</v>
      </c>
      <c r="L37" t="s">
        <v>651</v>
      </c>
      <c r="M37" t="s">
        <v>59</v>
      </c>
      <c r="P37" t="s">
        <v>212</v>
      </c>
      <c r="Q37" t="s">
        <v>137</v>
      </c>
      <c r="R37" t="s">
        <v>138</v>
      </c>
      <c r="S37" t="s">
        <v>98</v>
      </c>
      <c r="T37">
        <v>274.39999999999998</v>
      </c>
      <c r="U37">
        <v>264.27999999999997</v>
      </c>
      <c r="V37">
        <f>(T37+U37)/2</f>
        <v>269.33999999999997</v>
      </c>
      <c r="W37">
        <f>T37-U37</f>
        <v>10.120000000000005</v>
      </c>
      <c r="X37">
        <v>44.554721999999998</v>
      </c>
      <c r="Y37">
        <v>65.591667000000001</v>
      </c>
      <c r="Z37" t="s">
        <v>99</v>
      </c>
      <c r="AA37" t="s">
        <v>139</v>
      </c>
      <c r="AB37" t="s">
        <v>524</v>
      </c>
      <c r="AC37" t="s">
        <v>2012</v>
      </c>
      <c r="AG37" t="s">
        <v>526</v>
      </c>
      <c r="AH37" t="s">
        <v>65</v>
      </c>
      <c r="AI37" t="s">
        <v>2014</v>
      </c>
      <c r="AJ37">
        <v>2000</v>
      </c>
      <c r="AK37" t="s">
        <v>2013</v>
      </c>
      <c r="AN37" t="s">
        <v>121</v>
      </c>
      <c r="AO37" t="s">
        <v>68</v>
      </c>
      <c r="AP37" t="s">
        <v>69</v>
      </c>
      <c r="AR37" t="s">
        <v>70</v>
      </c>
      <c r="AS37">
        <v>302</v>
      </c>
      <c r="AT37" t="s">
        <v>71</v>
      </c>
      <c r="AU37">
        <v>37.619999999999997</v>
      </c>
      <c r="AV37">
        <v>34.99</v>
      </c>
      <c r="AW37" t="s">
        <v>72</v>
      </c>
      <c r="AX37">
        <v>301</v>
      </c>
      <c r="AY37" t="s">
        <v>71</v>
      </c>
      <c r="AZ37">
        <v>35.32</v>
      </c>
      <c r="BA37">
        <v>34.25</v>
      </c>
      <c r="BB37" t="s">
        <v>73</v>
      </c>
    </row>
    <row r="38" spans="1:54" x14ac:dyDescent="0.4">
      <c r="A38">
        <v>1385578</v>
      </c>
      <c r="D38" t="s">
        <v>54</v>
      </c>
      <c r="G38">
        <v>1</v>
      </c>
      <c r="H38" t="s">
        <v>56</v>
      </c>
      <c r="I38" t="s">
        <v>57</v>
      </c>
      <c r="K38" t="s">
        <v>135</v>
      </c>
      <c r="L38" t="s">
        <v>532</v>
      </c>
      <c r="M38" t="s">
        <v>59</v>
      </c>
      <c r="P38" t="s">
        <v>212</v>
      </c>
      <c r="Q38" t="s">
        <v>137</v>
      </c>
      <c r="R38" t="s">
        <v>138</v>
      </c>
      <c r="S38" t="s">
        <v>98</v>
      </c>
      <c r="T38">
        <v>274.39999999999998</v>
      </c>
      <c r="U38">
        <v>264.27999999999997</v>
      </c>
      <c r="V38">
        <f>(T38+U38)/2</f>
        <v>269.33999999999997</v>
      </c>
      <c r="W38">
        <f>T38-U38</f>
        <v>10.120000000000005</v>
      </c>
      <c r="X38">
        <v>45.672778999999998</v>
      </c>
      <c r="Y38">
        <v>64.922775000000001</v>
      </c>
      <c r="Z38" t="s">
        <v>99</v>
      </c>
      <c r="AA38" t="s">
        <v>139</v>
      </c>
      <c r="AB38" t="s">
        <v>524</v>
      </c>
      <c r="AC38" t="s">
        <v>1112</v>
      </c>
      <c r="AD38" t="s">
        <v>1113</v>
      </c>
      <c r="AG38" t="s">
        <v>526</v>
      </c>
      <c r="AH38" t="s">
        <v>65</v>
      </c>
      <c r="AI38" t="s">
        <v>2014</v>
      </c>
      <c r="AJ38">
        <v>2000</v>
      </c>
      <c r="AK38" t="s">
        <v>2015</v>
      </c>
      <c r="AM38" t="s">
        <v>2016</v>
      </c>
      <c r="AN38" t="s">
        <v>121</v>
      </c>
      <c r="AO38" t="s">
        <v>68</v>
      </c>
      <c r="AP38" t="s">
        <v>69</v>
      </c>
      <c r="AR38" t="s">
        <v>70</v>
      </c>
      <c r="AS38">
        <v>302</v>
      </c>
      <c r="AT38" t="s">
        <v>71</v>
      </c>
      <c r="AU38">
        <v>38.57</v>
      </c>
      <c r="AV38">
        <v>34.74</v>
      </c>
      <c r="AW38" t="s">
        <v>72</v>
      </c>
      <c r="AX38">
        <v>301</v>
      </c>
      <c r="AY38" t="s">
        <v>71</v>
      </c>
      <c r="AZ38">
        <v>36.270000000000003</v>
      </c>
      <c r="BA38">
        <v>34.020000000000003</v>
      </c>
      <c r="BB38" t="s">
        <v>73</v>
      </c>
    </row>
    <row r="39" spans="1:54" x14ac:dyDescent="0.4">
      <c r="A39" s="1" t="s">
        <v>2533</v>
      </c>
      <c r="B39" s="1"/>
      <c r="C39" s="1"/>
      <c r="D39" s="1" t="s">
        <v>54</v>
      </c>
      <c r="E39" s="1"/>
      <c r="F39" s="1" t="s">
        <v>2534</v>
      </c>
      <c r="G39" s="1">
        <v>1</v>
      </c>
      <c r="H39" s="1" t="s">
        <v>2281</v>
      </c>
      <c r="I39" s="2" t="s">
        <v>57</v>
      </c>
      <c r="J39" s="2" t="s">
        <v>2402</v>
      </c>
      <c r="K39" s="2" t="s">
        <v>148</v>
      </c>
      <c r="L39" s="3" t="s">
        <v>2535</v>
      </c>
      <c r="M39" s="2" t="s">
        <v>59</v>
      </c>
      <c r="N39" s="3"/>
      <c r="O39" s="3"/>
      <c r="P39" s="2" t="s">
        <v>212</v>
      </c>
      <c r="Q39" s="2"/>
      <c r="R39" s="2" t="s">
        <v>138</v>
      </c>
      <c r="S39" s="2" t="s">
        <v>98</v>
      </c>
      <c r="T39">
        <v>274.39999999999998</v>
      </c>
      <c r="U39">
        <v>266.89999999999998</v>
      </c>
      <c r="V39">
        <f>(T39+U39)/2</f>
        <v>270.64999999999998</v>
      </c>
      <c r="W39">
        <f>T39-U39</f>
        <v>7.5</v>
      </c>
      <c r="X39" s="4" t="s">
        <v>2536</v>
      </c>
      <c r="Y39" s="4" t="s">
        <v>2537</v>
      </c>
      <c r="Z39" s="4"/>
      <c r="AA39" s="2" t="s">
        <v>1614</v>
      </c>
      <c r="AB39" s="2" t="s">
        <v>2538</v>
      </c>
      <c r="AC39" s="2" t="s">
        <v>2539</v>
      </c>
      <c r="AD39" s="2" t="s">
        <v>2540</v>
      </c>
      <c r="AE39" s="2" t="s">
        <v>2541</v>
      </c>
      <c r="AF39" s="2" t="s">
        <v>2283</v>
      </c>
      <c r="AG39" s="3" t="s">
        <v>2283</v>
      </c>
      <c r="AH39" s="3"/>
      <c r="AI39" s="2" t="s">
        <v>2542</v>
      </c>
      <c r="AJ39" s="2">
        <v>2023</v>
      </c>
      <c r="AK39" s="4" t="s">
        <v>2543</v>
      </c>
      <c r="AL39" s="8" t="s">
        <v>2544</v>
      </c>
      <c r="AM39" s="4"/>
      <c r="AN39" s="4"/>
      <c r="AO39" s="2"/>
      <c r="AP39" s="2"/>
      <c r="AQ39" s="2"/>
      <c r="AR39" s="2"/>
      <c r="AS39" s="2"/>
      <c r="AT39" s="2"/>
      <c r="AU39" s="2"/>
      <c r="AV39" s="2"/>
      <c r="AW39" s="2"/>
      <c r="AX39" s="2"/>
      <c r="AY39" s="2"/>
      <c r="AZ39" s="2"/>
      <c r="BA39" s="2"/>
      <c r="BB39" s="2"/>
    </row>
    <row r="40" spans="1:54" x14ac:dyDescent="0.4">
      <c r="A40" s="1" t="s">
        <v>2545</v>
      </c>
      <c r="B40" s="1"/>
      <c r="C40" s="1"/>
      <c r="D40" s="1" t="s">
        <v>54</v>
      </c>
      <c r="E40" s="1"/>
      <c r="F40" s="1" t="s">
        <v>2546</v>
      </c>
      <c r="G40" s="1">
        <v>1</v>
      </c>
      <c r="H40" s="1" t="s">
        <v>2281</v>
      </c>
      <c r="I40" s="2" t="s">
        <v>57</v>
      </c>
      <c r="J40" s="2" t="s">
        <v>2402</v>
      </c>
      <c r="K40" s="2" t="s">
        <v>148</v>
      </c>
      <c r="L40" s="3" t="s">
        <v>2547</v>
      </c>
      <c r="M40" s="2" t="s">
        <v>59</v>
      </c>
      <c r="N40" s="3"/>
      <c r="O40" s="3"/>
      <c r="P40" s="2" t="s">
        <v>212</v>
      </c>
      <c r="Q40" s="2"/>
      <c r="R40" s="2" t="s">
        <v>138</v>
      </c>
      <c r="S40" s="2" t="s">
        <v>98</v>
      </c>
      <c r="T40">
        <v>274.39999999999998</v>
      </c>
      <c r="U40">
        <v>266.89999999999998</v>
      </c>
      <c r="V40">
        <f>(T40+U40)/2</f>
        <v>270.64999999999998</v>
      </c>
      <c r="W40">
        <f>T40-U40</f>
        <v>7.5</v>
      </c>
      <c r="X40" s="4" t="s">
        <v>2548</v>
      </c>
      <c r="Y40" s="4" t="s">
        <v>2549</v>
      </c>
      <c r="Z40" s="4"/>
      <c r="AA40" s="2" t="s">
        <v>2394</v>
      </c>
      <c r="AB40" s="2" t="s">
        <v>100</v>
      </c>
      <c r="AC40" s="7" t="s">
        <v>245</v>
      </c>
      <c r="AD40" s="2" t="s">
        <v>2550</v>
      </c>
      <c r="AE40" s="2" t="s">
        <v>2551</v>
      </c>
      <c r="AF40" s="2" t="s">
        <v>2552</v>
      </c>
      <c r="AG40" s="3" t="s">
        <v>2283</v>
      </c>
      <c r="AH40" s="3"/>
      <c r="AI40" s="2" t="s">
        <v>218</v>
      </c>
      <c r="AJ40" s="2">
        <v>1962</v>
      </c>
      <c r="AK40" s="4" t="s">
        <v>2403</v>
      </c>
      <c r="AL40" s="8" t="s">
        <v>2553</v>
      </c>
      <c r="AM40" s="4"/>
      <c r="AN40" s="4"/>
      <c r="AO40" s="2"/>
      <c r="AP40" s="2"/>
      <c r="AQ40" s="2"/>
      <c r="AR40" s="2"/>
      <c r="AS40" s="2"/>
      <c r="AT40" s="2"/>
      <c r="AU40" s="2"/>
      <c r="AV40" s="2"/>
      <c r="AW40" s="2"/>
      <c r="AX40" s="2"/>
      <c r="AY40" s="2"/>
      <c r="AZ40" s="2"/>
      <c r="BA40" s="2"/>
      <c r="BB40" s="2"/>
    </row>
    <row r="41" spans="1:54" x14ac:dyDescent="0.4">
      <c r="A41">
        <v>789656</v>
      </c>
      <c r="D41" t="s">
        <v>54</v>
      </c>
      <c r="E41" t="s">
        <v>55</v>
      </c>
      <c r="F41" t="s">
        <v>630</v>
      </c>
      <c r="G41">
        <v>8</v>
      </c>
      <c r="H41" t="s">
        <v>74</v>
      </c>
      <c r="I41" t="s">
        <v>57</v>
      </c>
      <c r="K41" t="s">
        <v>204</v>
      </c>
      <c r="L41" t="s">
        <v>205</v>
      </c>
      <c r="M41" t="s">
        <v>59</v>
      </c>
      <c r="N41" t="s">
        <v>97</v>
      </c>
      <c r="O41" t="s">
        <v>101</v>
      </c>
      <c r="P41" t="s">
        <v>212</v>
      </c>
      <c r="R41" t="s">
        <v>138</v>
      </c>
      <c r="S41" t="s">
        <v>98</v>
      </c>
      <c r="T41">
        <v>274.39999999999998</v>
      </c>
      <c r="U41">
        <v>266.89999999999998</v>
      </c>
      <c r="V41">
        <f>(T41+U41)/2</f>
        <v>270.64999999999998</v>
      </c>
      <c r="W41">
        <f>T41-U41</f>
        <v>7.5</v>
      </c>
      <c r="X41">
        <v>97.737503000000004</v>
      </c>
      <c r="Y41">
        <v>39.704166000000001</v>
      </c>
      <c r="Z41" t="s">
        <v>85</v>
      </c>
      <c r="AA41" t="s">
        <v>186</v>
      </c>
      <c r="AB41" t="s">
        <v>631</v>
      </c>
      <c r="AD41" t="s">
        <v>632</v>
      </c>
      <c r="AH41" t="s">
        <v>65</v>
      </c>
      <c r="AI41" t="s">
        <v>628</v>
      </c>
      <c r="AJ41">
        <v>2008</v>
      </c>
      <c r="AK41" t="s">
        <v>633</v>
      </c>
      <c r="AM41" t="s">
        <v>632</v>
      </c>
      <c r="AN41" t="s">
        <v>121</v>
      </c>
      <c r="AO41" t="s">
        <v>68</v>
      </c>
      <c r="AP41" t="s">
        <v>95</v>
      </c>
      <c r="AQ41" t="s">
        <v>634</v>
      </c>
      <c r="AR41" t="s">
        <v>70</v>
      </c>
      <c r="AS41">
        <v>604</v>
      </c>
      <c r="AT41" t="s">
        <v>71</v>
      </c>
      <c r="AU41">
        <v>109.15</v>
      </c>
      <c r="AV41">
        <v>26.65</v>
      </c>
      <c r="AW41" t="s">
        <v>72</v>
      </c>
      <c r="AX41">
        <v>604</v>
      </c>
      <c r="AY41" t="s">
        <v>71</v>
      </c>
      <c r="AZ41">
        <v>89.57</v>
      </c>
      <c r="BA41">
        <v>30.67</v>
      </c>
      <c r="BB41" t="s">
        <v>73</v>
      </c>
    </row>
    <row r="42" spans="1:54" x14ac:dyDescent="0.4">
      <c r="A42">
        <v>990446</v>
      </c>
      <c r="D42" t="s">
        <v>54</v>
      </c>
      <c r="E42" t="s">
        <v>55</v>
      </c>
      <c r="F42" t="s">
        <v>630</v>
      </c>
      <c r="G42">
        <v>1</v>
      </c>
      <c r="H42" t="s">
        <v>56</v>
      </c>
      <c r="I42" t="s">
        <v>57</v>
      </c>
      <c r="K42" t="s">
        <v>148</v>
      </c>
      <c r="L42" t="s">
        <v>1681</v>
      </c>
      <c r="M42" t="s">
        <v>59</v>
      </c>
      <c r="N42" t="s">
        <v>97</v>
      </c>
      <c r="O42" t="s">
        <v>101</v>
      </c>
      <c r="P42" t="s">
        <v>212</v>
      </c>
      <c r="R42" t="s">
        <v>138</v>
      </c>
      <c r="S42" t="s">
        <v>98</v>
      </c>
      <c r="T42">
        <v>274.39999999999998</v>
      </c>
      <c r="U42">
        <v>266.89999999999998</v>
      </c>
      <c r="V42">
        <f>(T42+U42)/2</f>
        <v>270.64999999999998</v>
      </c>
      <c r="W42">
        <f>T42-U42</f>
        <v>7.5</v>
      </c>
      <c r="X42">
        <v>97.737503000000004</v>
      </c>
      <c r="Y42">
        <v>39.704166000000001</v>
      </c>
      <c r="Z42" t="s">
        <v>85</v>
      </c>
      <c r="AA42" t="s">
        <v>186</v>
      </c>
      <c r="AB42" t="s">
        <v>631</v>
      </c>
      <c r="AD42" t="s">
        <v>632</v>
      </c>
      <c r="AH42" t="s">
        <v>65</v>
      </c>
      <c r="AI42" t="s">
        <v>464</v>
      </c>
      <c r="AJ42">
        <v>2011</v>
      </c>
      <c r="AK42" t="s">
        <v>633</v>
      </c>
      <c r="AM42" t="s">
        <v>632</v>
      </c>
      <c r="AN42" t="s">
        <v>121</v>
      </c>
      <c r="AO42" t="s">
        <v>68</v>
      </c>
      <c r="AP42" t="s">
        <v>95</v>
      </c>
      <c r="AQ42" t="s">
        <v>634</v>
      </c>
      <c r="AR42" t="s">
        <v>70</v>
      </c>
      <c r="AS42">
        <v>604</v>
      </c>
      <c r="AT42" t="s">
        <v>71</v>
      </c>
      <c r="AU42">
        <v>109.15</v>
      </c>
      <c r="AV42">
        <v>26.65</v>
      </c>
      <c r="AW42" t="s">
        <v>72</v>
      </c>
      <c r="AX42">
        <v>604</v>
      </c>
      <c r="AY42" t="s">
        <v>71</v>
      </c>
      <c r="AZ42">
        <v>89.57</v>
      </c>
      <c r="BA42">
        <v>30.67</v>
      </c>
      <c r="BB42" t="s">
        <v>73</v>
      </c>
    </row>
    <row r="43" spans="1:54" x14ac:dyDescent="0.4">
      <c r="A43">
        <v>1640653</v>
      </c>
      <c r="D43" t="s">
        <v>54</v>
      </c>
      <c r="I43" t="s">
        <v>57</v>
      </c>
      <c r="K43" t="s">
        <v>148</v>
      </c>
      <c r="L43" t="s">
        <v>509</v>
      </c>
      <c r="M43" t="s">
        <v>59</v>
      </c>
      <c r="N43" t="s">
        <v>97</v>
      </c>
      <c r="O43" t="s">
        <v>101</v>
      </c>
      <c r="P43" t="s">
        <v>212</v>
      </c>
      <c r="R43" t="s">
        <v>138</v>
      </c>
      <c r="S43" t="s">
        <v>98</v>
      </c>
      <c r="T43">
        <v>274.39999999999998</v>
      </c>
      <c r="U43">
        <v>266.89999999999998</v>
      </c>
      <c r="V43">
        <f>(T43+U43)/2</f>
        <v>270.64999999999998</v>
      </c>
      <c r="W43">
        <f>T43-U43</f>
        <v>7.5</v>
      </c>
      <c r="X43">
        <v>51.652099999999997</v>
      </c>
      <c r="Y43">
        <v>54.519401999999999</v>
      </c>
      <c r="Z43" t="s">
        <v>183</v>
      </c>
      <c r="AA43" t="s">
        <v>139</v>
      </c>
      <c r="AB43" t="s">
        <v>2067</v>
      </c>
      <c r="AH43" t="s">
        <v>65</v>
      </c>
      <c r="AI43" t="s">
        <v>2266</v>
      </c>
      <c r="AJ43">
        <v>2022</v>
      </c>
      <c r="AK43" t="s">
        <v>2267</v>
      </c>
      <c r="AO43">
        <v>4</v>
      </c>
      <c r="AR43" t="s">
        <v>70</v>
      </c>
      <c r="AS43">
        <v>302</v>
      </c>
      <c r="AT43" t="s">
        <v>71</v>
      </c>
      <c r="AU43">
        <v>47.51</v>
      </c>
      <c r="AV43">
        <v>27.06</v>
      </c>
      <c r="AW43" t="s">
        <v>72</v>
      </c>
      <c r="AX43">
        <v>301</v>
      </c>
      <c r="AY43" t="s">
        <v>71</v>
      </c>
      <c r="AZ43">
        <v>46.94</v>
      </c>
      <c r="BA43">
        <v>27.39</v>
      </c>
      <c r="BB43" t="s">
        <v>73</v>
      </c>
    </row>
    <row r="44" spans="1:54" x14ac:dyDescent="0.4">
      <c r="A44">
        <v>733154</v>
      </c>
      <c r="D44" t="s">
        <v>54</v>
      </c>
      <c r="G44">
        <v>1</v>
      </c>
      <c r="H44" t="s">
        <v>56</v>
      </c>
      <c r="I44" t="s">
        <v>57</v>
      </c>
      <c r="K44" t="s">
        <v>247</v>
      </c>
      <c r="L44" t="s">
        <v>487</v>
      </c>
      <c r="M44" t="s">
        <v>59</v>
      </c>
      <c r="O44" t="s">
        <v>107</v>
      </c>
      <c r="P44" t="s">
        <v>137</v>
      </c>
      <c r="Q44" t="s">
        <v>169</v>
      </c>
      <c r="R44" t="s">
        <v>138</v>
      </c>
      <c r="S44" t="s">
        <v>98</v>
      </c>
      <c r="T44">
        <v>266.89999999999998</v>
      </c>
      <c r="U44">
        <v>259.51</v>
      </c>
      <c r="V44">
        <f>(T44+U44)/2</f>
        <v>263.20499999999998</v>
      </c>
      <c r="W44">
        <f>T44-U44</f>
        <v>7.3899999999999864</v>
      </c>
      <c r="X44">
        <v>-54.150002000000001</v>
      </c>
      <c r="Y44">
        <v>-30.016666000000001</v>
      </c>
      <c r="Z44" t="s">
        <v>113</v>
      </c>
      <c r="AA44" t="s">
        <v>367</v>
      </c>
      <c r="AB44" t="s">
        <v>368</v>
      </c>
      <c r="AC44" t="s">
        <v>488</v>
      </c>
      <c r="AD44" t="s">
        <v>489</v>
      </c>
      <c r="AE44" t="s">
        <v>490</v>
      </c>
      <c r="AF44" t="s">
        <v>491</v>
      </c>
      <c r="AH44" t="s">
        <v>65</v>
      </c>
      <c r="AI44" t="s">
        <v>492</v>
      </c>
      <c r="AJ44">
        <v>2003</v>
      </c>
      <c r="AK44" t="s">
        <v>493</v>
      </c>
      <c r="AM44" t="s">
        <v>494</v>
      </c>
      <c r="AN44" t="s">
        <v>67</v>
      </c>
      <c r="AO44" t="s">
        <v>106</v>
      </c>
      <c r="AP44" t="s">
        <v>69</v>
      </c>
      <c r="AR44" t="s">
        <v>70</v>
      </c>
      <c r="AS44">
        <v>201</v>
      </c>
      <c r="AT44" t="s">
        <v>71</v>
      </c>
      <c r="AU44">
        <v>-24.87</v>
      </c>
      <c r="AV44">
        <v>-40.200000000000003</v>
      </c>
      <c r="AW44" t="s">
        <v>72</v>
      </c>
      <c r="AX44">
        <v>202</v>
      </c>
      <c r="AY44" t="s">
        <v>71</v>
      </c>
      <c r="AZ44">
        <v>-28.66</v>
      </c>
      <c r="BA44">
        <v>-45.6</v>
      </c>
      <c r="BB44" t="s">
        <v>73</v>
      </c>
    </row>
    <row r="45" spans="1:54" x14ac:dyDescent="0.4">
      <c r="A45">
        <v>1381590</v>
      </c>
      <c r="D45" t="s">
        <v>54</v>
      </c>
      <c r="E45" t="s">
        <v>105</v>
      </c>
      <c r="G45">
        <v>1</v>
      </c>
      <c r="H45" t="s">
        <v>56</v>
      </c>
      <c r="I45" t="s">
        <v>57</v>
      </c>
      <c r="K45" t="s">
        <v>204</v>
      </c>
      <c r="L45" t="s">
        <v>1984</v>
      </c>
      <c r="M45" t="s">
        <v>59</v>
      </c>
      <c r="P45" t="s">
        <v>137</v>
      </c>
      <c r="R45" t="s">
        <v>138</v>
      </c>
      <c r="S45" t="s">
        <v>98</v>
      </c>
      <c r="T45">
        <v>266.89999999999998</v>
      </c>
      <c r="U45">
        <v>264.27999999999997</v>
      </c>
      <c r="V45">
        <f>(T45+U45)/2</f>
        <v>265.58999999999997</v>
      </c>
      <c r="W45">
        <f>T45-U45</f>
        <v>2.6200000000000045</v>
      </c>
      <c r="X45">
        <v>48.531387000000002</v>
      </c>
      <c r="Y45">
        <v>55.148609</v>
      </c>
      <c r="Z45" t="s">
        <v>85</v>
      </c>
      <c r="AA45" t="s">
        <v>139</v>
      </c>
      <c r="AB45" t="s">
        <v>261</v>
      </c>
      <c r="AC45" t="s">
        <v>1985</v>
      </c>
      <c r="AG45" t="s">
        <v>1986</v>
      </c>
      <c r="AH45" t="s">
        <v>65</v>
      </c>
      <c r="AI45" t="s">
        <v>207</v>
      </c>
      <c r="AJ45">
        <v>2008</v>
      </c>
      <c r="AK45" t="s">
        <v>1987</v>
      </c>
      <c r="AM45" t="s">
        <v>1988</v>
      </c>
      <c r="AN45" t="s">
        <v>94</v>
      </c>
      <c r="AO45" t="s">
        <v>68</v>
      </c>
      <c r="AP45" t="s">
        <v>69</v>
      </c>
      <c r="AQ45" t="s">
        <v>1989</v>
      </c>
      <c r="AR45" t="s">
        <v>70</v>
      </c>
      <c r="AS45">
        <v>302</v>
      </c>
      <c r="AT45" t="s">
        <v>71</v>
      </c>
      <c r="AU45">
        <v>51.68</v>
      </c>
      <c r="AV45">
        <v>34.35</v>
      </c>
      <c r="AW45" t="s">
        <v>72</v>
      </c>
      <c r="AX45">
        <v>301</v>
      </c>
      <c r="AY45" t="s">
        <v>71</v>
      </c>
      <c r="AZ45">
        <v>43.28</v>
      </c>
      <c r="BA45">
        <v>29.28</v>
      </c>
      <c r="BB45" t="s">
        <v>73</v>
      </c>
    </row>
    <row r="46" spans="1:54" x14ac:dyDescent="0.4">
      <c r="A46">
        <v>1382839</v>
      </c>
      <c r="D46" t="s">
        <v>54</v>
      </c>
      <c r="E46" t="s">
        <v>105</v>
      </c>
      <c r="I46" t="s">
        <v>57</v>
      </c>
      <c r="K46" t="s">
        <v>2004</v>
      </c>
      <c r="L46" t="s">
        <v>2005</v>
      </c>
      <c r="M46" t="s">
        <v>59</v>
      </c>
      <c r="P46" t="s">
        <v>137</v>
      </c>
      <c r="R46" t="s">
        <v>138</v>
      </c>
      <c r="S46" t="s">
        <v>98</v>
      </c>
      <c r="T46">
        <v>266.89999999999998</v>
      </c>
      <c r="U46">
        <v>264.27999999999997</v>
      </c>
      <c r="V46">
        <f>(T46+U46)/2</f>
        <v>265.58999999999997</v>
      </c>
      <c r="W46">
        <f>T46-U46</f>
        <v>2.6200000000000045</v>
      </c>
      <c r="X46">
        <v>48.531387000000002</v>
      </c>
      <c r="Y46">
        <v>55.148609</v>
      </c>
      <c r="Z46" t="s">
        <v>85</v>
      </c>
      <c r="AA46" t="s">
        <v>139</v>
      </c>
      <c r="AB46" t="s">
        <v>261</v>
      </c>
      <c r="AC46" t="s">
        <v>1985</v>
      </c>
      <c r="AG46" t="s">
        <v>1986</v>
      </c>
      <c r="AH46" t="s">
        <v>65</v>
      </c>
      <c r="AI46" t="s">
        <v>207</v>
      </c>
      <c r="AJ46">
        <v>2008</v>
      </c>
      <c r="AK46" t="s">
        <v>1987</v>
      </c>
      <c r="AM46" t="s">
        <v>1988</v>
      </c>
      <c r="AN46" t="s">
        <v>94</v>
      </c>
      <c r="AO46" t="s">
        <v>68</v>
      </c>
      <c r="AP46" t="s">
        <v>69</v>
      </c>
      <c r="AQ46" t="s">
        <v>1989</v>
      </c>
      <c r="AR46" t="s">
        <v>70</v>
      </c>
      <c r="AS46">
        <v>302</v>
      </c>
      <c r="AT46" t="s">
        <v>71</v>
      </c>
      <c r="AU46">
        <v>51.68</v>
      </c>
      <c r="AV46">
        <v>34.35</v>
      </c>
      <c r="AW46" t="s">
        <v>72</v>
      </c>
      <c r="AX46">
        <v>301</v>
      </c>
      <c r="AY46" t="s">
        <v>71</v>
      </c>
      <c r="AZ46">
        <v>43.28</v>
      </c>
      <c r="BA46">
        <v>29.28</v>
      </c>
      <c r="BB46" t="s">
        <v>73</v>
      </c>
    </row>
    <row r="47" spans="1:54" x14ac:dyDescent="0.4">
      <c r="A47" s="1" t="s">
        <v>2554</v>
      </c>
      <c r="B47" s="1"/>
      <c r="C47" s="1"/>
      <c r="D47" s="1" t="s">
        <v>54</v>
      </c>
      <c r="E47" s="1"/>
      <c r="F47" s="1" t="s">
        <v>2555</v>
      </c>
      <c r="G47" s="1">
        <v>1</v>
      </c>
      <c r="H47" s="1" t="s">
        <v>2281</v>
      </c>
      <c r="I47" s="2" t="s">
        <v>57</v>
      </c>
      <c r="J47" s="2" t="s">
        <v>2390</v>
      </c>
      <c r="K47" s="2" t="s">
        <v>247</v>
      </c>
      <c r="L47" s="3" t="s">
        <v>487</v>
      </c>
      <c r="M47" s="2" t="s">
        <v>59</v>
      </c>
      <c r="N47" s="3"/>
      <c r="O47" s="3"/>
      <c r="P47" s="2" t="s">
        <v>137</v>
      </c>
      <c r="Q47" s="2"/>
      <c r="R47" s="2" t="s">
        <v>138</v>
      </c>
      <c r="S47" s="2" t="s">
        <v>98</v>
      </c>
      <c r="T47">
        <v>266.89999999999998</v>
      </c>
      <c r="U47">
        <v>264.27999999999997</v>
      </c>
      <c r="V47">
        <f>(T47+U47)/2</f>
        <v>265.58999999999997</v>
      </c>
      <c r="W47">
        <f>T47-U47</f>
        <v>2.6200000000000045</v>
      </c>
      <c r="X47" s="4">
        <v>-54.17</v>
      </c>
      <c r="Y47" s="4">
        <v>-31.84</v>
      </c>
      <c r="Z47" s="2"/>
      <c r="AA47" s="2" t="s">
        <v>367</v>
      </c>
      <c r="AB47" s="2" t="s">
        <v>2387</v>
      </c>
      <c r="AC47" s="2" t="s">
        <v>2283</v>
      </c>
      <c r="AD47" s="2" t="s">
        <v>489</v>
      </c>
      <c r="AE47" s="2" t="s">
        <v>490</v>
      </c>
      <c r="AF47" s="2" t="s">
        <v>491</v>
      </c>
      <c r="AG47" s="3" t="s">
        <v>487</v>
      </c>
      <c r="AH47" s="3"/>
      <c r="AI47" s="2" t="s">
        <v>2556</v>
      </c>
      <c r="AJ47" s="2">
        <v>2021</v>
      </c>
      <c r="AK47" s="9" t="s">
        <v>2389</v>
      </c>
      <c r="AL47" s="10" t="s">
        <v>2557</v>
      </c>
      <c r="AM47" s="4"/>
      <c r="AN47" s="4"/>
      <c r="AO47" s="2"/>
      <c r="AP47" s="2"/>
      <c r="AQ47" s="2"/>
      <c r="AR47" s="2"/>
      <c r="AS47" s="2"/>
      <c r="AT47" s="2"/>
      <c r="AU47" s="2"/>
      <c r="AV47" s="2"/>
      <c r="AW47" s="2"/>
      <c r="AX47" s="2"/>
      <c r="AY47" s="2"/>
      <c r="AZ47" s="2"/>
      <c r="BA47" s="2"/>
      <c r="BB47" s="2"/>
    </row>
    <row r="48" spans="1:54" x14ac:dyDescent="0.4">
      <c r="A48" s="1" t="s">
        <v>2558</v>
      </c>
      <c r="B48" s="1"/>
      <c r="C48" s="1"/>
      <c r="D48" s="1" t="s">
        <v>54</v>
      </c>
      <c r="E48" s="1"/>
      <c r="F48" s="1" t="s">
        <v>2280</v>
      </c>
      <c r="G48" s="1">
        <v>1</v>
      </c>
      <c r="H48" s="1" t="s">
        <v>2281</v>
      </c>
      <c r="I48" s="2" t="s">
        <v>57</v>
      </c>
      <c r="J48" s="2" t="s">
        <v>2390</v>
      </c>
      <c r="K48" s="2" t="s">
        <v>247</v>
      </c>
      <c r="L48" s="3" t="s">
        <v>487</v>
      </c>
      <c r="M48" s="2" t="s">
        <v>59</v>
      </c>
      <c r="N48" s="3"/>
      <c r="O48" s="3"/>
      <c r="P48" s="2" t="s">
        <v>137</v>
      </c>
      <c r="Q48" s="2"/>
      <c r="R48" s="2" t="s">
        <v>138</v>
      </c>
      <c r="S48" s="2" t="s">
        <v>98</v>
      </c>
      <c r="T48">
        <v>266.89999999999998</v>
      </c>
      <c r="U48">
        <v>264.27999999999997</v>
      </c>
      <c r="V48">
        <f>(T48+U48)/2</f>
        <v>265.58999999999997</v>
      </c>
      <c r="W48">
        <f>T48-U48</f>
        <v>2.6200000000000045</v>
      </c>
      <c r="X48" s="4">
        <v>-54.17</v>
      </c>
      <c r="Y48" s="4">
        <v>-31.84</v>
      </c>
      <c r="Z48" s="2"/>
      <c r="AA48" s="2" t="s">
        <v>367</v>
      </c>
      <c r="AB48" s="2" t="s">
        <v>2387</v>
      </c>
      <c r="AC48" s="2" t="s">
        <v>2283</v>
      </c>
      <c r="AD48" s="2" t="s">
        <v>489</v>
      </c>
      <c r="AE48" s="2" t="s">
        <v>490</v>
      </c>
      <c r="AF48" s="2" t="s">
        <v>491</v>
      </c>
      <c r="AG48" s="3" t="s">
        <v>487</v>
      </c>
      <c r="AH48" s="3"/>
      <c r="AI48" s="2" t="s">
        <v>2556</v>
      </c>
      <c r="AJ48" s="2">
        <v>2021</v>
      </c>
      <c r="AK48" s="9" t="s">
        <v>2389</v>
      </c>
      <c r="AL48" s="10" t="s">
        <v>2559</v>
      </c>
      <c r="AM48" s="4"/>
      <c r="AN48" s="4"/>
      <c r="AO48" s="2"/>
      <c r="AP48" s="2"/>
      <c r="AQ48" s="2"/>
      <c r="AR48" s="2"/>
      <c r="AS48" s="2"/>
      <c r="AT48" s="2"/>
      <c r="AU48" s="2"/>
      <c r="AV48" s="2"/>
      <c r="AW48" s="2"/>
      <c r="AX48" s="2"/>
      <c r="AY48" s="2"/>
      <c r="AZ48" s="2"/>
      <c r="BA48" s="2"/>
      <c r="BB48" s="2"/>
    </row>
    <row r="49" spans="1:54" x14ac:dyDescent="0.4">
      <c r="A49" s="1" t="s">
        <v>2560</v>
      </c>
      <c r="B49" s="1"/>
      <c r="C49" s="1"/>
      <c r="D49" s="1" t="s">
        <v>54</v>
      </c>
      <c r="E49" s="1"/>
      <c r="F49" s="1" t="s">
        <v>2561</v>
      </c>
      <c r="G49" s="1">
        <v>1</v>
      </c>
      <c r="H49" s="1" t="s">
        <v>2281</v>
      </c>
      <c r="I49" s="2" t="s">
        <v>57</v>
      </c>
      <c r="J49" s="2" t="s">
        <v>2390</v>
      </c>
      <c r="K49" s="2" t="s">
        <v>247</v>
      </c>
      <c r="L49" s="3" t="s">
        <v>487</v>
      </c>
      <c r="M49" s="2" t="s">
        <v>59</v>
      </c>
      <c r="N49" s="3"/>
      <c r="O49" s="3"/>
      <c r="P49" s="2" t="s">
        <v>137</v>
      </c>
      <c r="Q49" s="2"/>
      <c r="R49" s="2" t="s">
        <v>138</v>
      </c>
      <c r="S49" s="2" t="s">
        <v>98</v>
      </c>
      <c r="T49">
        <v>266.89999999999998</v>
      </c>
      <c r="U49">
        <v>264.27999999999997</v>
      </c>
      <c r="V49">
        <f>(T49+U49)/2</f>
        <v>265.58999999999997</v>
      </c>
      <c r="W49">
        <f>T49-U49</f>
        <v>2.6200000000000045</v>
      </c>
      <c r="X49" s="4">
        <v>-54.17</v>
      </c>
      <c r="Y49" s="4">
        <v>-31.84</v>
      </c>
      <c r="Z49" s="2"/>
      <c r="AA49" s="2" t="s">
        <v>367</v>
      </c>
      <c r="AB49" s="2" t="s">
        <v>2387</v>
      </c>
      <c r="AC49" s="2" t="s">
        <v>2283</v>
      </c>
      <c r="AD49" s="2" t="s">
        <v>489</v>
      </c>
      <c r="AE49" s="2" t="s">
        <v>490</v>
      </c>
      <c r="AF49" s="2" t="s">
        <v>491</v>
      </c>
      <c r="AG49" s="3" t="s">
        <v>487</v>
      </c>
      <c r="AH49" s="3"/>
      <c r="AI49" s="2" t="s">
        <v>2556</v>
      </c>
      <c r="AJ49" s="2">
        <v>2021</v>
      </c>
      <c r="AK49" s="9" t="s">
        <v>2389</v>
      </c>
      <c r="AL49" s="10" t="s">
        <v>2562</v>
      </c>
      <c r="AM49" s="4"/>
      <c r="AN49" s="4"/>
      <c r="AO49" s="2"/>
      <c r="AP49" s="2"/>
      <c r="AQ49" s="2"/>
      <c r="AR49" s="2"/>
      <c r="AS49" s="2"/>
      <c r="AT49" s="2"/>
      <c r="AU49" s="2"/>
      <c r="AV49" s="2"/>
      <c r="AW49" s="2"/>
      <c r="AX49" s="2"/>
      <c r="AY49" s="2"/>
      <c r="AZ49" s="2"/>
      <c r="BA49" s="2"/>
      <c r="BB49" s="2"/>
    </row>
    <row r="50" spans="1:54" x14ac:dyDescent="0.4">
      <c r="A50" s="1" t="s">
        <v>2563</v>
      </c>
      <c r="B50" s="1"/>
      <c r="C50" s="1"/>
      <c r="D50" s="1" t="s">
        <v>54</v>
      </c>
      <c r="E50" s="1"/>
      <c r="F50" s="1" t="s">
        <v>2564</v>
      </c>
      <c r="G50" s="1">
        <v>1</v>
      </c>
      <c r="H50" s="1" t="s">
        <v>2281</v>
      </c>
      <c r="I50" s="2" t="s">
        <v>57</v>
      </c>
      <c r="J50" s="2" t="s">
        <v>2390</v>
      </c>
      <c r="K50" s="2" t="s">
        <v>247</v>
      </c>
      <c r="L50" s="3" t="s">
        <v>487</v>
      </c>
      <c r="M50" s="2" t="s">
        <v>59</v>
      </c>
      <c r="N50" s="3"/>
      <c r="O50" s="3"/>
      <c r="P50" s="2" t="s">
        <v>137</v>
      </c>
      <c r="Q50" s="2"/>
      <c r="R50" s="2" t="s">
        <v>138</v>
      </c>
      <c r="S50" s="2" t="s">
        <v>98</v>
      </c>
      <c r="T50">
        <v>266.89999999999998</v>
      </c>
      <c r="U50">
        <v>264.27999999999997</v>
      </c>
      <c r="V50">
        <f>(T50+U50)/2</f>
        <v>265.58999999999997</v>
      </c>
      <c r="W50">
        <f>T50-U50</f>
        <v>2.6200000000000045</v>
      </c>
      <c r="X50" s="4">
        <v>-54.1</v>
      </c>
      <c r="Y50" s="4">
        <v>-31.83</v>
      </c>
      <c r="Z50" s="2"/>
      <c r="AA50" s="2" t="s">
        <v>367</v>
      </c>
      <c r="AB50" s="2" t="s">
        <v>2387</v>
      </c>
      <c r="AC50" s="2" t="s">
        <v>2565</v>
      </c>
      <c r="AD50" s="2" t="s">
        <v>489</v>
      </c>
      <c r="AE50" s="2" t="s">
        <v>490</v>
      </c>
      <c r="AF50" s="2" t="s">
        <v>491</v>
      </c>
      <c r="AG50" s="3" t="s">
        <v>487</v>
      </c>
      <c r="AH50" s="3"/>
      <c r="AI50" s="2" t="s">
        <v>2556</v>
      </c>
      <c r="AJ50" s="2">
        <v>2021</v>
      </c>
      <c r="AK50" s="9" t="s">
        <v>2389</v>
      </c>
      <c r="AL50" s="10" t="s">
        <v>2566</v>
      </c>
      <c r="AM50" s="4"/>
      <c r="AN50" s="4"/>
      <c r="AO50" s="2"/>
      <c r="AP50" s="2"/>
      <c r="AQ50" s="2"/>
      <c r="AR50" s="2"/>
      <c r="AS50" s="2"/>
      <c r="AT50" s="2"/>
      <c r="AU50" s="2"/>
      <c r="AV50" s="2"/>
      <c r="AW50" s="2"/>
      <c r="AX50" s="2"/>
      <c r="AY50" s="2"/>
      <c r="AZ50" s="2"/>
      <c r="BA50" s="2"/>
      <c r="BB50" s="2"/>
    </row>
    <row r="51" spans="1:54" x14ac:dyDescent="0.4">
      <c r="A51" s="1" t="s">
        <v>2567</v>
      </c>
      <c r="B51" s="1"/>
      <c r="C51" s="1"/>
      <c r="D51" s="1" t="s">
        <v>54</v>
      </c>
      <c r="E51" s="1"/>
      <c r="F51" s="1" t="s">
        <v>2568</v>
      </c>
      <c r="G51" s="1">
        <v>1</v>
      </c>
      <c r="H51" s="1" t="s">
        <v>2281</v>
      </c>
      <c r="I51" s="2" t="s">
        <v>57</v>
      </c>
      <c r="J51" s="2" t="s">
        <v>2390</v>
      </c>
      <c r="K51" s="2" t="s">
        <v>247</v>
      </c>
      <c r="L51" s="3" t="s">
        <v>487</v>
      </c>
      <c r="M51" s="2" t="s">
        <v>59</v>
      </c>
      <c r="N51" s="3"/>
      <c r="O51" s="3"/>
      <c r="P51" s="2" t="s">
        <v>137</v>
      </c>
      <c r="Q51" s="2"/>
      <c r="R51" s="2" t="s">
        <v>138</v>
      </c>
      <c r="S51" s="2" t="s">
        <v>98</v>
      </c>
      <c r="T51">
        <v>266.89999999999998</v>
      </c>
      <c r="U51">
        <v>264.27999999999997</v>
      </c>
      <c r="V51">
        <f>(T51+U51)/2</f>
        <v>265.58999999999997</v>
      </c>
      <c r="W51">
        <f>T51-U51</f>
        <v>2.6200000000000045</v>
      </c>
      <c r="X51" s="4">
        <v>-54.16</v>
      </c>
      <c r="Y51" s="4">
        <v>-29.84</v>
      </c>
      <c r="Z51" s="2"/>
      <c r="AA51" s="2" t="s">
        <v>367</v>
      </c>
      <c r="AB51" s="2" t="s">
        <v>2387</v>
      </c>
      <c r="AC51" s="2" t="s">
        <v>2569</v>
      </c>
      <c r="AD51" s="2" t="s">
        <v>489</v>
      </c>
      <c r="AE51" s="2" t="s">
        <v>490</v>
      </c>
      <c r="AF51" s="2" t="s">
        <v>2283</v>
      </c>
      <c r="AG51" s="3" t="s">
        <v>487</v>
      </c>
      <c r="AH51" s="3"/>
      <c r="AI51" s="2" t="s">
        <v>2283</v>
      </c>
      <c r="AJ51" s="2" t="s">
        <v>2283</v>
      </c>
      <c r="AK51" s="9" t="s">
        <v>2570</v>
      </c>
      <c r="AL51" s="10" t="s">
        <v>2571</v>
      </c>
      <c r="AM51" s="4"/>
      <c r="AN51" s="4"/>
      <c r="AO51" s="2"/>
      <c r="AP51" s="2"/>
      <c r="AQ51" s="2"/>
      <c r="AR51" s="2"/>
      <c r="AS51" s="2"/>
      <c r="AT51" s="2"/>
      <c r="AU51" s="2"/>
      <c r="AV51" s="2"/>
      <c r="AW51" s="2"/>
      <c r="AX51" s="2"/>
      <c r="AY51" s="2"/>
      <c r="AZ51" s="2"/>
      <c r="BA51" s="2"/>
      <c r="BB51" s="2"/>
    </row>
    <row r="52" spans="1:54" x14ac:dyDescent="0.4">
      <c r="A52">
        <v>219963</v>
      </c>
      <c r="D52" t="s">
        <v>54</v>
      </c>
      <c r="I52" t="s">
        <v>57</v>
      </c>
      <c r="K52" t="s">
        <v>135</v>
      </c>
      <c r="L52" t="s">
        <v>136</v>
      </c>
      <c r="M52" t="s">
        <v>59</v>
      </c>
      <c r="P52" t="s">
        <v>137</v>
      </c>
      <c r="R52" t="s">
        <v>138</v>
      </c>
      <c r="S52" t="s">
        <v>98</v>
      </c>
      <c r="T52">
        <v>266.89999999999998</v>
      </c>
      <c r="U52">
        <v>264.27999999999997</v>
      </c>
      <c r="V52">
        <f>(T52+U52)/2</f>
        <v>265.58999999999997</v>
      </c>
      <c r="W52">
        <f>T52-U52</f>
        <v>2.6200000000000045</v>
      </c>
      <c r="X52">
        <v>54.080002</v>
      </c>
      <c r="Y52">
        <v>54.099997999999999</v>
      </c>
      <c r="Z52" t="s">
        <v>99</v>
      </c>
      <c r="AA52" t="s">
        <v>139</v>
      </c>
      <c r="AG52" t="s">
        <v>140</v>
      </c>
      <c r="AH52" t="s">
        <v>11</v>
      </c>
      <c r="AI52" t="s">
        <v>141</v>
      </c>
      <c r="AJ52">
        <v>1983</v>
      </c>
      <c r="AK52" t="s">
        <v>142</v>
      </c>
      <c r="AM52" t="s">
        <v>143</v>
      </c>
      <c r="AO52">
        <v>4</v>
      </c>
      <c r="AR52" t="s">
        <v>70</v>
      </c>
      <c r="AS52">
        <v>302</v>
      </c>
      <c r="AT52" t="s">
        <v>71</v>
      </c>
      <c r="AU52">
        <v>51.49</v>
      </c>
      <c r="AV52">
        <v>30.24</v>
      </c>
      <c r="AW52" t="s">
        <v>72</v>
      </c>
      <c r="AX52">
        <v>301</v>
      </c>
      <c r="AY52" t="s">
        <v>71</v>
      </c>
      <c r="AZ52">
        <v>47.91</v>
      </c>
      <c r="BA52">
        <v>28.92</v>
      </c>
      <c r="BB52" t="s">
        <v>73</v>
      </c>
    </row>
    <row r="53" spans="1:54" x14ac:dyDescent="0.4">
      <c r="A53">
        <v>286782</v>
      </c>
      <c r="D53" t="s">
        <v>54</v>
      </c>
      <c r="G53">
        <v>3</v>
      </c>
      <c r="H53" t="s">
        <v>74</v>
      </c>
      <c r="I53" t="s">
        <v>57</v>
      </c>
      <c r="K53" t="s">
        <v>204</v>
      </c>
      <c r="L53" t="s">
        <v>205</v>
      </c>
      <c r="M53" t="s">
        <v>59</v>
      </c>
      <c r="N53" t="s">
        <v>97</v>
      </c>
      <c r="O53" t="s">
        <v>101</v>
      </c>
      <c r="P53" t="s">
        <v>137</v>
      </c>
      <c r="R53" t="s">
        <v>138</v>
      </c>
      <c r="S53" t="s">
        <v>98</v>
      </c>
      <c r="T53">
        <v>266.89999999999998</v>
      </c>
      <c r="U53">
        <v>264.27999999999997</v>
      </c>
      <c r="V53">
        <f>(T53+U53)/2</f>
        <v>265.58999999999997</v>
      </c>
      <c r="W53">
        <f>T53-U53</f>
        <v>2.6200000000000045</v>
      </c>
      <c r="X53">
        <v>54.125</v>
      </c>
      <c r="Y53">
        <v>54.108333999999999</v>
      </c>
      <c r="Z53" t="s">
        <v>85</v>
      </c>
      <c r="AA53" t="s">
        <v>139</v>
      </c>
      <c r="AB53" t="s">
        <v>206</v>
      </c>
      <c r="AC53" t="s">
        <v>142</v>
      </c>
      <c r="AD53" t="s">
        <v>142</v>
      </c>
      <c r="AG53" t="s">
        <v>140</v>
      </c>
      <c r="AH53" t="s">
        <v>65</v>
      </c>
      <c r="AI53" t="s">
        <v>207</v>
      </c>
      <c r="AJ53">
        <v>1973</v>
      </c>
      <c r="AK53" t="s">
        <v>208</v>
      </c>
      <c r="AM53" t="s">
        <v>209</v>
      </c>
      <c r="AN53" t="s">
        <v>94</v>
      </c>
      <c r="AO53" t="s">
        <v>68</v>
      </c>
      <c r="AP53" t="s">
        <v>69</v>
      </c>
      <c r="AQ53" t="s">
        <v>210</v>
      </c>
      <c r="AR53" t="s">
        <v>70</v>
      </c>
      <c r="AS53">
        <v>302</v>
      </c>
      <c r="AT53" t="s">
        <v>71</v>
      </c>
      <c r="AU53">
        <v>51.51</v>
      </c>
      <c r="AV53">
        <v>30.26</v>
      </c>
      <c r="AW53" t="s">
        <v>72</v>
      </c>
      <c r="AX53">
        <v>301</v>
      </c>
      <c r="AY53" t="s">
        <v>71</v>
      </c>
      <c r="AZ53">
        <v>47.93</v>
      </c>
      <c r="BA53">
        <v>28.95</v>
      </c>
      <c r="BB53" t="s">
        <v>73</v>
      </c>
    </row>
    <row r="54" spans="1:54" x14ac:dyDescent="0.4">
      <c r="A54">
        <v>747876</v>
      </c>
      <c r="D54" t="s">
        <v>54</v>
      </c>
      <c r="G54">
        <v>1</v>
      </c>
      <c r="H54" t="s">
        <v>56</v>
      </c>
      <c r="I54" t="s">
        <v>57</v>
      </c>
      <c r="K54" t="s">
        <v>135</v>
      </c>
      <c r="L54" t="s">
        <v>532</v>
      </c>
      <c r="M54" t="s">
        <v>59</v>
      </c>
      <c r="P54" t="s">
        <v>137</v>
      </c>
      <c r="R54" t="s">
        <v>138</v>
      </c>
      <c r="S54" t="s">
        <v>98</v>
      </c>
      <c r="T54">
        <v>266.89999999999998</v>
      </c>
      <c r="U54">
        <v>264.27999999999997</v>
      </c>
      <c r="V54">
        <f>(T54+U54)/2</f>
        <v>265.58999999999997</v>
      </c>
      <c r="W54">
        <f>T54-U54</f>
        <v>2.6200000000000045</v>
      </c>
      <c r="X54">
        <v>54.416668000000001</v>
      </c>
      <c r="Y54">
        <v>52.583331999999999</v>
      </c>
      <c r="Z54" t="s">
        <v>533</v>
      </c>
      <c r="AA54" t="s">
        <v>139</v>
      </c>
      <c r="AB54" t="s">
        <v>316</v>
      </c>
      <c r="AD54" t="s">
        <v>142</v>
      </c>
      <c r="AG54" t="s">
        <v>140</v>
      </c>
      <c r="AH54" t="s">
        <v>65</v>
      </c>
      <c r="AI54" t="s">
        <v>531</v>
      </c>
      <c r="AJ54">
        <v>1984</v>
      </c>
      <c r="AK54" t="s">
        <v>534</v>
      </c>
      <c r="AM54" t="s">
        <v>535</v>
      </c>
      <c r="AN54" t="s">
        <v>121</v>
      </c>
      <c r="AO54" t="s">
        <v>106</v>
      </c>
      <c r="AP54" t="s">
        <v>69</v>
      </c>
      <c r="AQ54" t="s">
        <v>536</v>
      </c>
      <c r="AR54" t="s">
        <v>70</v>
      </c>
      <c r="AS54">
        <v>302</v>
      </c>
      <c r="AT54" t="s">
        <v>71</v>
      </c>
      <c r="AU54">
        <v>52.72</v>
      </c>
      <c r="AV54">
        <v>29.14</v>
      </c>
      <c r="AW54" t="s">
        <v>72</v>
      </c>
      <c r="AX54">
        <v>301</v>
      </c>
      <c r="AY54" t="s">
        <v>71</v>
      </c>
      <c r="AZ54">
        <v>49.21</v>
      </c>
      <c r="BA54">
        <v>27.9</v>
      </c>
      <c r="BB54" t="s">
        <v>73</v>
      </c>
    </row>
    <row r="55" spans="1:54" x14ac:dyDescent="0.4">
      <c r="A55">
        <v>789767</v>
      </c>
      <c r="D55" t="s">
        <v>54</v>
      </c>
      <c r="G55">
        <v>1</v>
      </c>
      <c r="H55" t="s">
        <v>56</v>
      </c>
      <c r="I55" t="s">
        <v>57</v>
      </c>
      <c r="K55" t="s">
        <v>135</v>
      </c>
      <c r="L55" t="s">
        <v>651</v>
      </c>
      <c r="M55" t="s">
        <v>59</v>
      </c>
      <c r="P55" t="s">
        <v>137</v>
      </c>
      <c r="R55" t="s">
        <v>138</v>
      </c>
      <c r="S55" t="s">
        <v>98</v>
      </c>
      <c r="T55">
        <v>266.89999999999998</v>
      </c>
      <c r="U55">
        <v>264.27999999999997</v>
      </c>
      <c r="V55">
        <f>(T55+U55)/2</f>
        <v>265.58999999999997</v>
      </c>
      <c r="W55">
        <f>T55-U55</f>
        <v>2.6200000000000045</v>
      </c>
      <c r="X55">
        <v>54.125</v>
      </c>
      <c r="Y55">
        <v>54.108333999999999</v>
      </c>
      <c r="Z55" t="s">
        <v>85</v>
      </c>
      <c r="AA55" t="s">
        <v>139</v>
      </c>
      <c r="AB55" t="s">
        <v>206</v>
      </c>
      <c r="AC55" t="s">
        <v>142</v>
      </c>
      <c r="AD55" t="s">
        <v>142</v>
      </c>
      <c r="AG55" t="s">
        <v>140</v>
      </c>
      <c r="AH55" t="s">
        <v>65</v>
      </c>
      <c r="AI55" t="s">
        <v>531</v>
      </c>
      <c r="AJ55">
        <v>1984</v>
      </c>
      <c r="AK55" t="s">
        <v>208</v>
      </c>
      <c r="AM55" t="s">
        <v>209</v>
      </c>
      <c r="AN55" t="s">
        <v>94</v>
      </c>
      <c r="AO55" t="s">
        <v>68</v>
      </c>
      <c r="AP55" t="s">
        <v>69</v>
      </c>
      <c r="AQ55" t="s">
        <v>210</v>
      </c>
      <c r="AR55" t="s">
        <v>70</v>
      </c>
      <c r="AS55">
        <v>302</v>
      </c>
      <c r="AT55" t="s">
        <v>71</v>
      </c>
      <c r="AU55">
        <v>51.51</v>
      </c>
      <c r="AV55">
        <v>30.26</v>
      </c>
      <c r="AW55" t="s">
        <v>72</v>
      </c>
      <c r="AX55">
        <v>301</v>
      </c>
      <c r="AY55" t="s">
        <v>71</v>
      </c>
      <c r="AZ55">
        <v>47.93</v>
      </c>
      <c r="BA55">
        <v>28.95</v>
      </c>
      <c r="BB55" t="s">
        <v>73</v>
      </c>
    </row>
    <row r="56" spans="1:54" x14ac:dyDescent="0.4">
      <c r="A56">
        <v>789767</v>
      </c>
      <c r="D56" t="s">
        <v>54</v>
      </c>
      <c r="G56">
        <v>1</v>
      </c>
      <c r="H56" t="s">
        <v>56</v>
      </c>
      <c r="I56" t="s">
        <v>57</v>
      </c>
      <c r="K56" t="s">
        <v>135</v>
      </c>
      <c r="L56" t="s">
        <v>651</v>
      </c>
      <c r="M56" t="s">
        <v>59</v>
      </c>
      <c r="P56" t="s">
        <v>137</v>
      </c>
      <c r="R56" t="s">
        <v>138</v>
      </c>
      <c r="S56" t="s">
        <v>98</v>
      </c>
      <c r="T56">
        <v>266.89999999999998</v>
      </c>
      <c r="U56">
        <v>264.27999999999997</v>
      </c>
      <c r="V56">
        <f>(T56+U56)/2</f>
        <v>265.58999999999997</v>
      </c>
      <c r="W56">
        <f>T56-U56</f>
        <v>2.6200000000000045</v>
      </c>
      <c r="X56">
        <v>54.125</v>
      </c>
      <c r="Y56">
        <v>54.108333999999999</v>
      </c>
      <c r="Z56" t="s">
        <v>85</v>
      </c>
      <c r="AA56" t="s">
        <v>139</v>
      </c>
      <c r="AB56" t="s">
        <v>206</v>
      </c>
      <c r="AC56" t="s">
        <v>142</v>
      </c>
      <c r="AD56" t="s">
        <v>142</v>
      </c>
      <c r="AG56" t="s">
        <v>140</v>
      </c>
      <c r="AH56" t="s">
        <v>65</v>
      </c>
      <c r="AI56" t="s">
        <v>531</v>
      </c>
      <c r="AJ56">
        <v>1984</v>
      </c>
      <c r="AK56" t="s">
        <v>208</v>
      </c>
      <c r="AM56" t="s">
        <v>209</v>
      </c>
      <c r="AN56" t="s">
        <v>94</v>
      </c>
      <c r="AO56" t="s">
        <v>68</v>
      </c>
      <c r="AP56" t="s">
        <v>69</v>
      </c>
      <c r="AQ56" t="s">
        <v>210</v>
      </c>
      <c r="AR56" t="s">
        <v>70</v>
      </c>
      <c r="AS56">
        <v>302</v>
      </c>
      <c r="AT56" t="s">
        <v>71</v>
      </c>
      <c r="AU56">
        <v>51.51</v>
      </c>
      <c r="AV56">
        <v>30.26</v>
      </c>
      <c r="AW56" t="s">
        <v>72</v>
      </c>
      <c r="AX56">
        <v>301</v>
      </c>
      <c r="AY56" t="s">
        <v>71</v>
      </c>
      <c r="AZ56">
        <v>47.93</v>
      </c>
      <c r="BA56">
        <v>28.95</v>
      </c>
      <c r="BB56" t="s">
        <v>73</v>
      </c>
    </row>
    <row r="57" spans="1:54" x14ac:dyDescent="0.4">
      <c r="A57">
        <v>789767</v>
      </c>
      <c r="D57" t="s">
        <v>54</v>
      </c>
      <c r="G57">
        <v>1</v>
      </c>
      <c r="H57" t="s">
        <v>56</v>
      </c>
      <c r="I57" t="s">
        <v>57</v>
      </c>
      <c r="K57" t="s">
        <v>135</v>
      </c>
      <c r="L57" t="s">
        <v>651</v>
      </c>
      <c r="M57" t="s">
        <v>59</v>
      </c>
      <c r="P57" t="s">
        <v>137</v>
      </c>
      <c r="R57" t="s">
        <v>138</v>
      </c>
      <c r="S57" t="s">
        <v>98</v>
      </c>
      <c r="T57">
        <v>266.89999999999998</v>
      </c>
      <c r="U57">
        <v>264.27999999999997</v>
      </c>
      <c r="V57">
        <f>(T57+U57)/2</f>
        <v>265.58999999999997</v>
      </c>
      <c r="W57">
        <f>T57-U57</f>
        <v>2.6200000000000045</v>
      </c>
      <c r="X57">
        <v>54.125</v>
      </c>
      <c r="Y57">
        <v>54.108333999999999</v>
      </c>
      <c r="Z57" t="s">
        <v>85</v>
      </c>
      <c r="AA57" t="s">
        <v>139</v>
      </c>
      <c r="AB57" t="s">
        <v>206</v>
      </c>
      <c r="AC57" t="s">
        <v>142</v>
      </c>
      <c r="AD57" t="s">
        <v>142</v>
      </c>
      <c r="AG57" t="s">
        <v>140</v>
      </c>
      <c r="AH57" t="s">
        <v>65</v>
      </c>
      <c r="AI57" t="s">
        <v>531</v>
      </c>
      <c r="AJ57">
        <v>1984</v>
      </c>
      <c r="AK57" t="s">
        <v>208</v>
      </c>
      <c r="AM57" t="s">
        <v>209</v>
      </c>
      <c r="AN57" t="s">
        <v>94</v>
      </c>
      <c r="AO57" t="s">
        <v>68</v>
      </c>
      <c r="AP57" t="s">
        <v>69</v>
      </c>
      <c r="AQ57" t="s">
        <v>210</v>
      </c>
      <c r="AR57" t="s">
        <v>70</v>
      </c>
      <c r="AS57">
        <v>302</v>
      </c>
      <c r="AT57" t="s">
        <v>71</v>
      </c>
      <c r="AU57">
        <v>51.51</v>
      </c>
      <c r="AV57">
        <v>30.26</v>
      </c>
      <c r="AW57" t="s">
        <v>72</v>
      </c>
      <c r="AX57">
        <v>301</v>
      </c>
      <c r="AY57" t="s">
        <v>71</v>
      </c>
      <c r="AZ57">
        <v>47.93</v>
      </c>
      <c r="BA57">
        <v>28.95</v>
      </c>
      <c r="BB57" t="s">
        <v>73</v>
      </c>
    </row>
    <row r="58" spans="1:54" x14ac:dyDescent="0.4">
      <c r="A58">
        <v>790205</v>
      </c>
      <c r="D58" t="s">
        <v>54</v>
      </c>
      <c r="G58">
        <v>1</v>
      </c>
      <c r="H58" t="s">
        <v>56</v>
      </c>
      <c r="I58" t="s">
        <v>57</v>
      </c>
      <c r="K58" t="s">
        <v>204</v>
      </c>
      <c r="L58" t="s">
        <v>205</v>
      </c>
      <c r="M58" t="s">
        <v>59</v>
      </c>
      <c r="N58" t="s">
        <v>97</v>
      </c>
      <c r="O58" t="s">
        <v>101</v>
      </c>
      <c r="P58" t="s">
        <v>137</v>
      </c>
      <c r="R58" t="s">
        <v>138</v>
      </c>
      <c r="S58" t="s">
        <v>98</v>
      </c>
      <c r="T58">
        <v>266.89999999999998</v>
      </c>
      <c r="U58">
        <v>264.27999999999997</v>
      </c>
      <c r="V58">
        <f>(T58+U58)/2</f>
        <v>265.58999999999997</v>
      </c>
      <c r="W58">
        <f>T58-U58</f>
        <v>2.6200000000000045</v>
      </c>
      <c r="X58">
        <v>54.416668000000001</v>
      </c>
      <c r="Y58">
        <v>52.583331999999999</v>
      </c>
      <c r="Z58" t="s">
        <v>533</v>
      </c>
      <c r="AA58" t="s">
        <v>139</v>
      </c>
      <c r="AB58" t="s">
        <v>316</v>
      </c>
      <c r="AD58" t="s">
        <v>142</v>
      </c>
      <c r="AG58" t="s">
        <v>140</v>
      </c>
      <c r="AH58" t="s">
        <v>65</v>
      </c>
      <c r="AI58" t="s">
        <v>207</v>
      </c>
      <c r="AJ58">
        <v>2008</v>
      </c>
      <c r="AK58" t="s">
        <v>534</v>
      </c>
      <c r="AM58" t="s">
        <v>535</v>
      </c>
      <c r="AN58" t="s">
        <v>121</v>
      </c>
      <c r="AO58" t="s">
        <v>106</v>
      </c>
      <c r="AP58" t="s">
        <v>69</v>
      </c>
      <c r="AQ58" t="s">
        <v>536</v>
      </c>
      <c r="AR58" t="s">
        <v>70</v>
      </c>
      <c r="AS58">
        <v>302</v>
      </c>
      <c r="AT58" t="s">
        <v>71</v>
      </c>
      <c r="AU58">
        <v>52.72</v>
      </c>
      <c r="AV58">
        <v>29.14</v>
      </c>
      <c r="AW58" t="s">
        <v>72</v>
      </c>
      <c r="AX58">
        <v>301</v>
      </c>
      <c r="AY58" t="s">
        <v>71</v>
      </c>
      <c r="AZ58">
        <v>49.21</v>
      </c>
      <c r="BA58">
        <v>27.9</v>
      </c>
      <c r="BB58" t="s">
        <v>73</v>
      </c>
    </row>
    <row r="59" spans="1:54" x14ac:dyDescent="0.4">
      <c r="A59">
        <v>790205</v>
      </c>
      <c r="D59" t="s">
        <v>54</v>
      </c>
      <c r="G59">
        <v>1</v>
      </c>
      <c r="H59" t="s">
        <v>56</v>
      </c>
      <c r="I59" t="s">
        <v>57</v>
      </c>
      <c r="K59" t="s">
        <v>204</v>
      </c>
      <c r="L59" t="s">
        <v>205</v>
      </c>
      <c r="M59" t="s">
        <v>59</v>
      </c>
      <c r="N59" t="s">
        <v>97</v>
      </c>
      <c r="O59" t="s">
        <v>101</v>
      </c>
      <c r="P59" t="s">
        <v>137</v>
      </c>
      <c r="R59" t="s">
        <v>138</v>
      </c>
      <c r="S59" t="s">
        <v>98</v>
      </c>
      <c r="T59">
        <v>266.89999999999998</v>
      </c>
      <c r="U59">
        <v>264.27999999999997</v>
      </c>
      <c r="V59">
        <f>(T59+U59)/2</f>
        <v>265.58999999999997</v>
      </c>
      <c r="W59">
        <f>T59-U59</f>
        <v>2.6200000000000045</v>
      </c>
      <c r="X59">
        <v>54.416668000000001</v>
      </c>
      <c r="Y59">
        <v>52.583331999999999</v>
      </c>
      <c r="Z59" t="s">
        <v>533</v>
      </c>
      <c r="AA59" t="s">
        <v>139</v>
      </c>
      <c r="AB59" t="s">
        <v>316</v>
      </c>
      <c r="AD59" t="s">
        <v>142</v>
      </c>
      <c r="AG59" t="s">
        <v>140</v>
      </c>
      <c r="AH59" t="s">
        <v>65</v>
      </c>
      <c r="AI59" t="s">
        <v>207</v>
      </c>
      <c r="AJ59">
        <v>2008</v>
      </c>
      <c r="AK59" t="s">
        <v>534</v>
      </c>
      <c r="AM59" t="s">
        <v>535</v>
      </c>
      <c r="AN59" t="s">
        <v>121</v>
      </c>
      <c r="AO59" t="s">
        <v>106</v>
      </c>
      <c r="AP59" t="s">
        <v>69</v>
      </c>
      <c r="AQ59" t="s">
        <v>536</v>
      </c>
      <c r="AR59" t="s">
        <v>70</v>
      </c>
      <c r="AS59">
        <v>302</v>
      </c>
      <c r="AT59" t="s">
        <v>71</v>
      </c>
      <c r="AU59">
        <v>52.72</v>
      </c>
      <c r="AV59">
        <v>29.14</v>
      </c>
      <c r="AW59" t="s">
        <v>72</v>
      </c>
      <c r="AX59">
        <v>301</v>
      </c>
      <c r="AY59" t="s">
        <v>71</v>
      </c>
      <c r="AZ59">
        <v>49.21</v>
      </c>
      <c r="BA59">
        <v>27.9</v>
      </c>
      <c r="BB59" t="s">
        <v>73</v>
      </c>
    </row>
    <row r="60" spans="1:54" x14ac:dyDescent="0.4">
      <c r="A60">
        <v>790205</v>
      </c>
      <c r="D60" t="s">
        <v>54</v>
      </c>
      <c r="G60">
        <v>1</v>
      </c>
      <c r="H60" t="s">
        <v>56</v>
      </c>
      <c r="I60" t="s">
        <v>57</v>
      </c>
      <c r="K60" t="s">
        <v>204</v>
      </c>
      <c r="L60" t="s">
        <v>205</v>
      </c>
      <c r="M60" t="s">
        <v>59</v>
      </c>
      <c r="N60" t="s">
        <v>97</v>
      </c>
      <c r="O60" t="s">
        <v>101</v>
      </c>
      <c r="P60" t="s">
        <v>137</v>
      </c>
      <c r="R60" t="s">
        <v>138</v>
      </c>
      <c r="S60" t="s">
        <v>98</v>
      </c>
      <c r="T60">
        <v>266.89999999999998</v>
      </c>
      <c r="U60">
        <v>264.27999999999997</v>
      </c>
      <c r="V60">
        <f>(T60+U60)/2</f>
        <v>265.58999999999997</v>
      </c>
      <c r="W60">
        <f>T60-U60</f>
        <v>2.6200000000000045</v>
      </c>
      <c r="X60">
        <v>54.416668000000001</v>
      </c>
      <c r="Y60">
        <v>52.583331999999999</v>
      </c>
      <c r="Z60" t="s">
        <v>533</v>
      </c>
      <c r="AA60" t="s">
        <v>139</v>
      </c>
      <c r="AB60" t="s">
        <v>316</v>
      </c>
      <c r="AD60" t="s">
        <v>142</v>
      </c>
      <c r="AG60" t="s">
        <v>140</v>
      </c>
      <c r="AH60" t="s">
        <v>65</v>
      </c>
      <c r="AI60" t="s">
        <v>207</v>
      </c>
      <c r="AJ60">
        <v>2008</v>
      </c>
      <c r="AK60" t="s">
        <v>534</v>
      </c>
      <c r="AM60" t="s">
        <v>535</v>
      </c>
      <c r="AN60" t="s">
        <v>121</v>
      </c>
      <c r="AO60" t="s">
        <v>106</v>
      </c>
      <c r="AP60" t="s">
        <v>69</v>
      </c>
      <c r="AQ60" t="s">
        <v>536</v>
      </c>
      <c r="AR60" t="s">
        <v>70</v>
      </c>
      <c r="AS60">
        <v>302</v>
      </c>
      <c r="AT60" t="s">
        <v>71</v>
      </c>
      <c r="AU60">
        <v>52.72</v>
      </c>
      <c r="AV60">
        <v>29.14</v>
      </c>
      <c r="AW60" t="s">
        <v>72</v>
      </c>
      <c r="AX60">
        <v>301</v>
      </c>
      <c r="AY60" t="s">
        <v>71</v>
      </c>
      <c r="AZ60">
        <v>49.21</v>
      </c>
      <c r="BA60">
        <v>27.9</v>
      </c>
      <c r="BB60" t="s">
        <v>73</v>
      </c>
    </row>
    <row r="61" spans="1:54" x14ac:dyDescent="0.4">
      <c r="A61">
        <v>790207</v>
      </c>
      <c r="D61" t="s">
        <v>54</v>
      </c>
      <c r="G61">
        <v>1</v>
      </c>
      <c r="H61" t="s">
        <v>56</v>
      </c>
      <c r="I61" t="s">
        <v>57</v>
      </c>
      <c r="K61" t="s">
        <v>204</v>
      </c>
      <c r="L61" t="s">
        <v>205</v>
      </c>
      <c r="M61" t="s">
        <v>59</v>
      </c>
      <c r="N61" t="s">
        <v>97</v>
      </c>
      <c r="O61" t="s">
        <v>101</v>
      </c>
      <c r="P61" t="s">
        <v>137</v>
      </c>
      <c r="R61" t="s">
        <v>138</v>
      </c>
      <c r="S61" t="s">
        <v>98</v>
      </c>
      <c r="T61">
        <v>266.89999999999998</v>
      </c>
      <c r="U61">
        <v>264.27999999999997</v>
      </c>
      <c r="V61">
        <f>(T61+U61)/2</f>
        <v>265.58999999999997</v>
      </c>
      <c r="W61">
        <f>T61-U61</f>
        <v>2.6200000000000045</v>
      </c>
      <c r="X61">
        <v>53.565277000000002</v>
      </c>
      <c r="Y61">
        <v>53.650554999999997</v>
      </c>
      <c r="Z61" t="s">
        <v>714</v>
      </c>
      <c r="AA61" t="s">
        <v>139</v>
      </c>
      <c r="AB61" t="s">
        <v>316</v>
      </c>
      <c r="AC61" t="s">
        <v>715</v>
      </c>
      <c r="AD61" t="s">
        <v>142</v>
      </c>
      <c r="AG61" t="s">
        <v>140</v>
      </c>
      <c r="AH61" t="s">
        <v>65</v>
      </c>
      <c r="AI61" t="s">
        <v>716</v>
      </c>
      <c r="AJ61">
        <v>2005</v>
      </c>
      <c r="AK61" t="s">
        <v>717</v>
      </c>
      <c r="AM61" t="s">
        <v>718</v>
      </c>
      <c r="AN61" t="s">
        <v>121</v>
      </c>
      <c r="AO61" t="s">
        <v>68</v>
      </c>
      <c r="AP61" t="s">
        <v>69</v>
      </c>
      <c r="AQ61" t="s">
        <v>719</v>
      </c>
      <c r="AR61" t="s">
        <v>70</v>
      </c>
      <c r="AS61">
        <v>302</v>
      </c>
      <c r="AT61" t="s">
        <v>71</v>
      </c>
      <c r="AU61">
        <v>51.52</v>
      </c>
      <c r="AV61">
        <v>29.69</v>
      </c>
      <c r="AW61" t="s">
        <v>72</v>
      </c>
      <c r="AX61">
        <v>301</v>
      </c>
      <c r="AY61" t="s">
        <v>71</v>
      </c>
      <c r="AZ61">
        <v>47.98</v>
      </c>
      <c r="BA61">
        <v>28.38</v>
      </c>
      <c r="BB61" t="s">
        <v>73</v>
      </c>
    </row>
    <row r="62" spans="1:54" x14ac:dyDescent="0.4">
      <c r="A62">
        <v>799826</v>
      </c>
      <c r="D62" t="s">
        <v>54</v>
      </c>
      <c r="G62">
        <v>1</v>
      </c>
      <c r="H62" t="s">
        <v>56</v>
      </c>
      <c r="I62" t="s">
        <v>57</v>
      </c>
      <c r="K62" t="s">
        <v>135</v>
      </c>
      <c r="L62" t="s">
        <v>136</v>
      </c>
      <c r="M62" t="s">
        <v>59</v>
      </c>
      <c r="P62" t="s">
        <v>137</v>
      </c>
      <c r="R62" t="s">
        <v>138</v>
      </c>
      <c r="S62" t="s">
        <v>98</v>
      </c>
      <c r="T62">
        <v>266.89999999999998</v>
      </c>
      <c r="U62">
        <v>264.27999999999997</v>
      </c>
      <c r="V62">
        <f>(T62+U62)/2</f>
        <v>265.58999999999997</v>
      </c>
      <c r="W62">
        <f>T62-U62</f>
        <v>2.6200000000000045</v>
      </c>
      <c r="X62">
        <v>54.125</v>
      </c>
      <c r="Y62">
        <v>54.108333999999999</v>
      </c>
      <c r="Z62" t="s">
        <v>85</v>
      </c>
      <c r="AA62" t="s">
        <v>139</v>
      </c>
      <c r="AB62" t="s">
        <v>206</v>
      </c>
      <c r="AC62" t="s">
        <v>142</v>
      </c>
      <c r="AD62" t="s">
        <v>142</v>
      </c>
      <c r="AG62" t="s">
        <v>140</v>
      </c>
      <c r="AH62" t="s">
        <v>65</v>
      </c>
      <c r="AI62" t="s">
        <v>207</v>
      </c>
      <c r="AJ62">
        <v>2008</v>
      </c>
      <c r="AK62" t="s">
        <v>208</v>
      </c>
      <c r="AM62" t="s">
        <v>209</v>
      </c>
      <c r="AN62" t="s">
        <v>94</v>
      </c>
      <c r="AO62" t="s">
        <v>68</v>
      </c>
      <c r="AP62" t="s">
        <v>69</v>
      </c>
      <c r="AQ62" t="s">
        <v>210</v>
      </c>
      <c r="AR62" t="s">
        <v>70</v>
      </c>
      <c r="AS62">
        <v>302</v>
      </c>
      <c r="AT62" t="s">
        <v>71</v>
      </c>
      <c r="AU62">
        <v>51.51</v>
      </c>
      <c r="AV62">
        <v>30.26</v>
      </c>
      <c r="AW62" t="s">
        <v>72</v>
      </c>
      <c r="AX62">
        <v>301</v>
      </c>
      <c r="AY62" t="s">
        <v>71</v>
      </c>
      <c r="AZ62">
        <v>47.93</v>
      </c>
      <c r="BA62">
        <v>28.95</v>
      </c>
      <c r="BB62" t="s">
        <v>73</v>
      </c>
    </row>
    <row r="63" spans="1:54" x14ac:dyDescent="0.4">
      <c r="A63">
        <v>1424401</v>
      </c>
      <c r="D63" t="s">
        <v>54</v>
      </c>
      <c r="I63" t="s">
        <v>57</v>
      </c>
      <c r="K63" t="s">
        <v>102</v>
      </c>
      <c r="L63" t="s">
        <v>820</v>
      </c>
      <c r="M63" t="s">
        <v>59</v>
      </c>
      <c r="P63" t="s">
        <v>137</v>
      </c>
      <c r="R63" t="s">
        <v>138</v>
      </c>
      <c r="S63" t="s">
        <v>98</v>
      </c>
      <c r="T63">
        <v>266.89999999999998</v>
      </c>
      <c r="U63">
        <v>264.27999999999997</v>
      </c>
      <c r="V63">
        <f>(T63+U63)/2</f>
        <v>265.58999999999997</v>
      </c>
      <c r="W63">
        <f>T63-U63</f>
        <v>2.6200000000000045</v>
      </c>
      <c r="X63">
        <v>48.884998000000003</v>
      </c>
      <c r="Y63">
        <v>55.029446</v>
      </c>
      <c r="Z63" t="s">
        <v>268</v>
      </c>
      <c r="AA63" t="s">
        <v>139</v>
      </c>
      <c r="AD63" t="s">
        <v>2169</v>
      </c>
      <c r="AH63" t="s">
        <v>11</v>
      </c>
      <c r="AI63" t="s">
        <v>2170</v>
      </c>
      <c r="AJ63">
        <v>2015</v>
      </c>
      <c r="AK63" t="s">
        <v>2171</v>
      </c>
      <c r="AN63" t="s">
        <v>121</v>
      </c>
      <c r="AO63" t="s">
        <v>68</v>
      </c>
      <c r="AP63" t="s">
        <v>69</v>
      </c>
      <c r="AQ63" t="s">
        <v>2172</v>
      </c>
      <c r="AR63" t="s">
        <v>70</v>
      </c>
      <c r="AS63">
        <v>302</v>
      </c>
      <c r="AT63" t="s">
        <v>71</v>
      </c>
      <c r="AU63">
        <v>48.05</v>
      </c>
      <c r="AV63">
        <v>29.23</v>
      </c>
      <c r="AW63" t="s">
        <v>72</v>
      </c>
      <c r="AX63">
        <v>301</v>
      </c>
      <c r="AY63" t="s">
        <v>71</v>
      </c>
      <c r="AZ63">
        <v>44.6</v>
      </c>
      <c r="BA63">
        <v>27.73</v>
      </c>
      <c r="BB63" t="s">
        <v>73</v>
      </c>
    </row>
    <row r="64" spans="1:54" x14ac:dyDescent="0.4">
      <c r="A64">
        <v>299716</v>
      </c>
      <c r="D64" t="s">
        <v>54</v>
      </c>
      <c r="E64" t="s">
        <v>104</v>
      </c>
      <c r="I64" t="s">
        <v>57</v>
      </c>
      <c r="K64" t="s">
        <v>247</v>
      </c>
      <c r="L64" t="s">
        <v>258</v>
      </c>
      <c r="M64" t="s">
        <v>59</v>
      </c>
      <c r="O64" t="s">
        <v>107</v>
      </c>
      <c r="P64" t="s">
        <v>169</v>
      </c>
      <c r="Q64" t="s">
        <v>259</v>
      </c>
      <c r="R64" t="s">
        <v>138</v>
      </c>
      <c r="S64" t="s">
        <v>98</v>
      </c>
      <c r="T64">
        <v>264.27999999999997</v>
      </c>
      <c r="U64">
        <v>254.14</v>
      </c>
      <c r="V64">
        <f>(T64+U64)/2</f>
        <v>259.20999999999998</v>
      </c>
      <c r="W64">
        <f>T64-U64</f>
        <v>10.139999999999986</v>
      </c>
      <c r="X64">
        <v>48.828609</v>
      </c>
      <c r="Y64">
        <v>55.017223000000001</v>
      </c>
      <c r="Z64" t="s">
        <v>99</v>
      </c>
      <c r="AA64" t="s">
        <v>139</v>
      </c>
      <c r="AB64" t="s">
        <v>261</v>
      </c>
      <c r="AC64" t="s">
        <v>262</v>
      </c>
      <c r="AG64" t="s">
        <v>263</v>
      </c>
      <c r="AH64" t="s">
        <v>11</v>
      </c>
      <c r="AI64" t="s">
        <v>264</v>
      </c>
      <c r="AJ64">
        <v>1940</v>
      </c>
      <c r="AK64" t="s">
        <v>265</v>
      </c>
      <c r="AM64" t="s">
        <v>266</v>
      </c>
      <c r="AN64" t="s">
        <v>94</v>
      </c>
      <c r="AO64" t="s">
        <v>68</v>
      </c>
      <c r="AP64" t="s">
        <v>69</v>
      </c>
      <c r="AQ64" t="s">
        <v>267</v>
      </c>
      <c r="AR64" t="s">
        <v>70</v>
      </c>
      <c r="AS64">
        <v>302</v>
      </c>
      <c r="AT64" t="s">
        <v>71</v>
      </c>
      <c r="AU64">
        <v>52.2</v>
      </c>
      <c r="AV64">
        <v>34.99</v>
      </c>
      <c r="AW64" t="s">
        <v>72</v>
      </c>
      <c r="AX64">
        <v>301</v>
      </c>
      <c r="AY64" t="s">
        <v>71</v>
      </c>
      <c r="AZ64">
        <v>43.37</v>
      </c>
      <c r="BA64">
        <v>29.51</v>
      </c>
      <c r="BB64" t="s">
        <v>73</v>
      </c>
    </row>
    <row r="65" spans="1:54" x14ac:dyDescent="0.4">
      <c r="A65">
        <v>1320530</v>
      </c>
      <c r="D65" t="s">
        <v>54</v>
      </c>
      <c r="I65" t="s">
        <v>57</v>
      </c>
      <c r="K65" t="s">
        <v>102</v>
      </c>
      <c r="L65" t="s">
        <v>168</v>
      </c>
      <c r="M65" t="s">
        <v>59</v>
      </c>
      <c r="O65" t="s">
        <v>107</v>
      </c>
      <c r="P65" t="s">
        <v>169</v>
      </c>
      <c r="Q65" t="s">
        <v>259</v>
      </c>
      <c r="R65" t="s">
        <v>138</v>
      </c>
      <c r="S65" t="s">
        <v>98</v>
      </c>
      <c r="T65">
        <v>264.27999999999997</v>
      </c>
      <c r="U65">
        <v>254.14</v>
      </c>
      <c r="V65">
        <f>(T65+U65)/2</f>
        <v>259.20999999999998</v>
      </c>
      <c r="W65">
        <f>T65-U65</f>
        <v>10.139999999999986</v>
      </c>
      <c r="X65">
        <v>21.686111</v>
      </c>
      <c r="Y65">
        <v>-32.985000999999997</v>
      </c>
      <c r="Z65" t="s">
        <v>99</v>
      </c>
      <c r="AA65" t="s">
        <v>86</v>
      </c>
      <c r="AB65" t="s">
        <v>170</v>
      </c>
      <c r="AC65" t="s">
        <v>1001</v>
      </c>
      <c r="AE65" t="s">
        <v>90</v>
      </c>
      <c r="AG65" t="s">
        <v>970</v>
      </c>
      <c r="AH65" t="s">
        <v>65</v>
      </c>
      <c r="AI65" t="s">
        <v>1514</v>
      </c>
      <c r="AJ65">
        <v>1977</v>
      </c>
      <c r="AK65" t="s">
        <v>1898</v>
      </c>
      <c r="AN65" t="s">
        <v>94</v>
      </c>
      <c r="AO65" t="s">
        <v>68</v>
      </c>
      <c r="AQ65" t="s">
        <v>1899</v>
      </c>
      <c r="AR65" t="s">
        <v>70</v>
      </c>
      <c r="AS65">
        <v>701</v>
      </c>
      <c r="AT65" t="s">
        <v>71</v>
      </c>
      <c r="AU65">
        <v>-25.35</v>
      </c>
      <c r="AV65">
        <v>-51.39</v>
      </c>
      <c r="AW65" t="s">
        <v>72</v>
      </c>
      <c r="AX65">
        <v>701</v>
      </c>
      <c r="AY65" t="s">
        <v>71</v>
      </c>
      <c r="AZ65">
        <v>-34.21</v>
      </c>
      <c r="BA65">
        <v>-59.47</v>
      </c>
      <c r="BB65" t="s">
        <v>73</v>
      </c>
    </row>
    <row r="66" spans="1:54" x14ac:dyDescent="0.4">
      <c r="A66">
        <v>789995</v>
      </c>
      <c r="D66" t="s">
        <v>54</v>
      </c>
      <c r="G66">
        <v>2</v>
      </c>
      <c r="H66" t="s">
        <v>74</v>
      </c>
      <c r="I66" t="s">
        <v>57</v>
      </c>
      <c r="K66" t="s">
        <v>475</v>
      </c>
      <c r="L66" t="s">
        <v>661</v>
      </c>
      <c r="M66" t="s">
        <v>59</v>
      </c>
      <c r="N66" t="s">
        <v>60</v>
      </c>
      <c r="P66" t="s">
        <v>169</v>
      </c>
      <c r="Q66" t="s">
        <v>259</v>
      </c>
      <c r="R66" t="s">
        <v>138</v>
      </c>
      <c r="S66" t="s">
        <v>98</v>
      </c>
      <c r="T66">
        <v>264.27999999999997</v>
      </c>
      <c r="U66">
        <v>256.8</v>
      </c>
      <c r="V66">
        <f>(T66+U66)/2</f>
        <v>260.53999999999996</v>
      </c>
      <c r="W66">
        <f>T66-U66</f>
        <v>7.4799999999999613</v>
      </c>
      <c r="X66">
        <v>56.290832999999999</v>
      </c>
      <c r="Y66">
        <v>51.875832000000003</v>
      </c>
      <c r="Z66" t="s">
        <v>662</v>
      </c>
      <c r="AA66" t="s">
        <v>139</v>
      </c>
      <c r="AB66" t="s">
        <v>316</v>
      </c>
      <c r="AC66" t="s">
        <v>663</v>
      </c>
      <c r="AD66" t="s">
        <v>664</v>
      </c>
      <c r="AH66" t="s">
        <v>65</v>
      </c>
      <c r="AI66" t="s">
        <v>665</v>
      </c>
      <c r="AJ66">
        <v>2006</v>
      </c>
      <c r="AK66" t="s">
        <v>666</v>
      </c>
      <c r="AM66" t="s">
        <v>667</v>
      </c>
      <c r="AN66" t="s">
        <v>94</v>
      </c>
      <c r="AO66" t="s">
        <v>68</v>
      </c>
      <c r="AP66" t="s">
        <v>95</v>
      </c>
      <c r="AQ66" t="s">
        <v>668</v>
      </c>
      <c r="AR66" t="s">
        <v>70</v>
      </c>
      <c r="AS66">
        <v>302</v>
      </c>
      <c r="AT66" t="s">
        <v>71</v>
      </c>
      <c r="AU66">
        <v>58.81</v>
      </c>
      <c r="AV66">
        <v>34.68</v>
      </c>
      <c r="AW66" t="s">
        <v>72</v>
      </c>
      <c r="AX66">
        <v>301</v>
      </c>
      <c r="AY66" t="s">
        <v>71</v>
      </c>
      <c r="AZ66">
        <v>49.61</v>
      </c>
      <c r="BA66">
        <v>30.06</v>
      </c>
      <c r="BB66" t="s">
        <v>73</v>
      </c>
    </row>
    <row r="67" spans="1:54" x14ac:dyDescent="0.4">
      <c r="A67">
        <v>789996</v>
      </c>
      <c r="D67" t="s">
        <v>54</v>
      </c>
      <c r="G67">
        <v>2</v>
      </c>
      <c r="H67" t="s">
        <v>74</v>
      </c>
      <c r="I67" t="s">
        <v>57</v>
      </c>
      <c r="K67" t="s">
        <v>475</v>
      </c>
      <c r="L67" t="s">
        <v>661</v>
      </c>
      <c r="M67" t="s">
        <v>59</v>
      </c>
      <c r="N67" t="s">
        <v>60</v>
      </c>
      <c r="P67" t="s">
        <v>169</v>
      </c>
      <c r="Q67" t="s">
        <v>259</v>
      </c>
      <c r="R67" t="s">
        <v>138</v>
      </c>
      <c r="S67" t="s">
        <v>98</v>
      </c>
      <c r="T67">
        <v>264.27999999999997</v>
      </c>
      <c r="U67">
        <v>256.8</v>
      </c>
      <c r="V67">
        <f>(T67+U67)/2</f>
        <v>260.53999999999996</v>
      </c>
      <c r="W67">
        <f>T67-U67</f>
        <v>7.4799999999999613</v>
      </c>
      <c r="X67">
        <v>56.290832999999999</v>
      </c>
      <c r="Y67">
        <v>51.875832000000003</v>
      </c>
      <c r="Z67" t="s">
        <v>662</v>
      </c>
      <c r="AA67" t="s">
        <v>139</v>
      </c>
      <c r="AB67" t="s">
        <v>316</v>
      </c>
      <c r="AC67" t="s">
        <v>663</v>
      </c>
      <c r="AD67" t="s">
        <v>664</v>
      </c>
      <c r="AH67" t="s">
        <v>65</v>
      </c>
      <c r="AI67" t="s">
        <v>665</v>
      </c>
      <c r="AJ67">
        <v>2006</v>
      </c>
      <c r="AK67" t="s">
        <v>666</v>
      </c>
      <c r="AM67" t="s">
        <v>667</v>
      </c>
      <c r="AN67" t="s">
        <v>94</v>
      </c>
      <c r="AO67" t="s">
        <v>68</v>
      </c>
      <c r="AP67" t="s">
        <v>95</v>
      </c>
      <c r="AQ67" t="s">
        <v>668</v>
      </c>
      <c r="AR67" t="s">
        <v>70</v>
      </c>
      <c r="AS67">
        <v>302</v>
      </c>
      <c r="AT67" t="s">
        <v>71</v>
      </c>
      <c r="AU67">
        <v>58.81</v>
      </c>
      <c r="AV67">
        <v>34.68</v>
      </c>
      <c r="AW67" t="s">
        <v>72</v>
      </c>
      <c r="AX67">
        <v>301</v>
      </c>
      <c r="AY67" t="s">
        <v>71</v>
      </c>
      <c r="AZ67">
        <v>49.61</v>
      </c>
      <c r="BA67">
        <v>30.06</v>
      </c>
      <c r="BB67" t="s">
        <v>73</v>
      </c>
    </row>
    <row r="68" spans="1:54" x14ac:dyDescent="0.4">
      <c r="A68">
        <v>837648</v>
      </c>
      <c r="D68" t="s">
        <v>54</v>
      </c>
      <c r="G68">
        <v>1</v>
      </c>
      <c r="H68" t="s">
        <v>56</v>
      </c>
      <c r="I68" t="s">
        <v>57</v>
      </c>
      <c r="K68" t="s">
        <v>247</v>
      </c>
      <c r="L68" t="s">
        <v>258</v>
      </c>
      <c r="M68" t="s">
        <v>59</v>
      </c>
      <c r="O68" t="s">
        <v>107</v>
      </c>
      <c r="P68" t="s">
        <v>169</v>
      </c>
      <c r="Q68" t="s">
        <v>259</v>
      </c>
      <c r="R68" t="s">
        <v>138</v>
      </c>
      <c r="S68" t="s">
        <v>98</v>
      </c>
      <c r="T68">
        <v>264.27999999999997</v>
      </c>
      <c r="U68">
        <v>256.8</v>
      </c>
      <c r="V68">
        <f>(T68+U68)/2</f>
        <v>260.53999999999996</v>
      </c>
      <c r="W68">
        <f>T68-U68</f>
        <v>7.4799999999999613</v>
      </c>
      <c r="X68">
        <v>46.634998000000003</v>
      </c>
      <c r="Y68">
        <v>61.191113000000001</v>
      </c>
      <c r="Z68" t="s">
        <v>99</v>
      </c>
      <c r="AA68" t="s">
        <v>139</v>
      </c>
      <c r="AB68" t="s">
        <v>524</v>
      </c>
      <c r="AC68" t="s">
        <v>1116</v>
      </c>
      <c r="AD68" t="s">
        <v>1117</v>
      </c>
      <c r="AG68" t="s">
        <v>1118</v>
      </c>
      <c r="AH68" t="s">
        <v>65</v>
      </c>
      <c r="AI68" t="s">
        <v>207</v>
      </c>
      <c r="AJ68">
        <v>2008</v>
      </c>
      <c r="AK68" t="s">
        <v>1119</v>
      </c>
      <c r="AM68" t="s">
        <v>1120</v>
      </c>
      <c r="AN68" t="s">
        <v>94</v>
      </c>
      <c r="AO68" t="s">
        <v>68</v>
      </c>
      <c r="AP68" t="s">
        <v>69</v>
      </c>
      <c r="AQ68" t="s">
        <v>1121</v>
      </c>
      <c r="AR68" t="s">
        <v>70</v>
      </c>
      <c r="AS68">
        <v>302</v>
      </c>
      <c r="AT68" t="s">
        <v>71</v>
      </c>
      <c r="AU68">
        <v>46.9</v>
      </c>
      <c r="AV68">
        <v>39.659999999999997</v>
      </c>
      <c r="AW68" t="s">
        <v>72</v>
      </c>
      <c r="AX68">
        <v>301</v>
      </c>
      <c r="AY68" t="s">
        <v>71</v>
      </c>
      <c r="AZ68">
        <v>37.67</v>
      </c>
      <c r="BA68">
        <v>33.479999999999997</v>
      </c>
      <c r="BB68" t="s">
        <v>73</v>
      </c>
    </row>
    <row r="69" spans="1:54" x14ac:dyDescent="0.4">
      <c r="A69">
        <v>837649</v>
      </c>
      <c r="D69" t="s">
        <v>54</v>
      </c>
      <c r="G69">
        <v>1</v>
      </c>
      <c r="H69" t="s">
        <v>56</v>
      </c>
      <c r="I69" t="s">
        <v>57</v>
      </c>
      <c r="K69" t="s">
        <v>247</v>
      </c>
      <c r="L69" t="s">
        <v>258</v>
      </c>
      <c r="M69" t="s">
        <v>59</v>
      </c>
      <c r="O69" t="s">
        <v>107</v>
      </c>
      <c r="P69" t="s">
        <v>169</v>
      </c>
      <c r="Q69" t="s">
        <v>259</v>
      </c>
      <c r="R69" t="s">
        <v>138</v>
      </c>
      <c r="S69" t="s">
        <v>98</v>
      </c>
      <c r="T69">
        <v>264.27999999999997</v>
      </c>
      <c r="U69">
        <v>256.8</v>
      </c>
      <c r="V69">
        <f>(T69+U69)/2</f>
        <v>260.53999999999996</v>
      </c>
      <c r="W69">
        <f>T69-U69</f>
        <v>7.4799999999999613</v>
      </c>
      <c r="X69">
        <v>46.634998000000003</v>
      </c>
      <c r="Y69">
        <v>61.191113000000001</v>
      </c>
      <c r="Z69" t="s">
        <v>99</v>
      </c>
      <c r="AA69" t="s">
        <v>139</v>
      </c>
      <c r="AB69" t="s">
        <v>524</v>
      </c>
      <c r="AC69" t="s">
        <v>1116</v>
      </c>
      <c r="AD69" t="s">
        <v>1117</v>
      </c>
      <c r="AG69" t="s">
        <v>1118</v>
      </c>
      <c r="AH69" t="s">
        <v>65</v>
      </c>
      <c r="AI69" t="s">
        <v>207</v>
      </c>
      <c r="AJ69">
        <v>2008</v>
      </c>
      <c r="AK69" t="s">
        <v>1119</v>
      </c>
      <c r="AM69" t="s">
        <v>1120</v>
      </c>
      <c r="AN69" t="s">
        <v>94</v>
      </c>
      <c r="AO69" t="s">
        <v>68</v>
      </c>
      <c r="AP69" t="s">
        <v>69</v>
      </c>
      <c r="AQ69" t="s">
        <v>1121</v>
      </c>
      <c r="AR69" t="s">
        <v>70</v>
      </c>
      <c r="AS69">
        <v>302</v>
      </c>
      <c r="AT69" t="s">
        <v>71</v>
      </c>
      <c r="AU69">
        <v>46.9</v>
      </c>
      <c r="AV69">
        <v>39.659999999999997</v>
      </c>
      <c r="AW69" t="s">
        <v>72</v>
      </c>
      <c r="AX69">
        <v>301</v>
      </c>
      <c r="AY69" t="s">
        <v>71</v>
      </c>
      <c r="AZ69">
        <v>37.67</v>
      </c>
      <c r="BA69">
        <v>33.479999999999997</v>
      </c>
      <c r="BB69" t="s">
        <v>73</v>
      </c>
    </row>
    <row r="70" spans="1:54" x14ac:dyDescent="0.4">
      <c r="A70">
        <v>837650</v>
      </c>
      <c r="D70" t="s">
        <v>54</v>
      </c>
      <c r="G70">
        <v>1</v>
      </c>
      <c r="H70" t="s">
        <v>56</v>
      </c>
      <c r="I70" t="s">
        <v>57</v>
      </c>
      <c r="K70" t="s">
        <v>247</v>
      </c>
      <c r="L70" t="s">
        <v>258</v>
      </c>
      <c r="M70" t="s">
        <v>59</v>
      </c>
      <c r="O70" t="s">
        <v>107</v>
      </c>
      <c r="P70" t="s">
        <v>169</v>
      </c>
      <c r="Q70" t="s">
        <v>259</v>
      </c>
      <c r="R70" t="s">
        <v>138</v>
      </c>
      <c r="S70" t="s">
        <v>98</v>
      </c>
      <c r="T70">
        <v>264.27999999999997</v>
      </c>
      <c r="U70">
        <v>256.8</v>
      </c>
      <c r="V70">
        <f>(T70+U70)/2</f>
        <v>260.53999999999996</v>
      </c>
      <c r="W70">
        <f>T70-U70</f>
        <v>7.4799999999999613</v>
      </c>
      <c r="X70">
        <v>46.634998000000003</v>
      </c>
      <c r="Y70">
        <v>61.191113000000001</v>
      </c>
      <c r="Z70" t="s">
        <v>99</v>
      </c>
      <c r="AA70" t="s">
        <v>139</v>
      </c>
      <c r="AB70" t="s">
        <v>524</v>
      </c>
      <c r="AC70" t="s">
        <v>1116</v>
      </c>
      <c r="AD70" t="s">
        <v>1117</v>
      </c>
      <c r="AG70" t="s">
        <v>1118</v>
      </c>
      <c r="AH70" t="s">
        <v>65</v>
      </c>
      <c r="AI70" t="s">
        <v>207</v>
      </c>
      <c r="AJ70">
        <v>2008</v>
      </c>
      <c r="AK70" t="s">
        <v>1119</v>
      </c>
      <c r="AM70" t="s">
        <v>1120</v>
      </c>
      <c r="AN70" t="s">
        <v>94</v>
      </c>
      <c r="AO70" t="s">
        <v>68</v>
      </c>
      <c r="AP70" t="s">
        <v>69</v>
      </c>
      <c r="AQ70" t="s">
        <v>1121</v>
      </c>
      <c r="AR70" t="s">
        <v>70</v>
      </c>
      <c r="AS70">
        <v>302</v>
      </c>
      <c r="AT70" t="s">
        <v>71</v>
      </c>
      <c r="AU70">
        <v>46.9</v>
      </c>
      <c r="AV70">
        <v>39.659999999999997</v>
      </c>
      <c r="AW70" t="s">
        <v>72</v>
      </c>
      <c r="AX70">
        <v>301</v>
      </c>
      <c r="AY70" t="s">
        <v>71</v>
      </c>
      <c r="AZ70">
        <v>37.67</v>
      </c>
      <c r="BA70">
        <v>33.479999999999997</v>
      </c>
      <c r="BB70" t="s">
        <v>73</v>
      </c>
    </row>
    <row r="71" spans="1:54" x14ac:dyDescent="0.4">
      <c r="A71">
        <v>837651</v>
      </c>
      <c r="D71" t="s">
        <v>54</v>
      </c>
      <c r="G71">
        <v>1</v>
      </c>
      <c r="H71" t="s">
        <v>56</v>
      </c>
      <c r="I71" t="s">
        <v>57</v>
      </c>
      <c r="K71" t="s">
        <v>247</v>
      </c>
      <c r="L71" t="s">
        <v>258</v>
      </c>
      <c r="M71" t="s">
        <v>59</v>
      </c>
      <c r="O71" t="s">
        <v>107</v>
      </c>
      <c r="P71" t="s">
        <v>169</v>
      </c>
      <c r="Q71" t="s">
        <v>259</v>
      </c>
      <c r="R71" t="s">
        <v>138</v>
      </c>
      <c r="S71" t="s">
        <v>98</v>
      </c>
      <c r="T71">
        <v>264.27999999999997</v>
      </c>
      <c r="U71">
        <v>256.8</v>
      </c>
      <c r="V71">
        <f>(T71+U71)/2</f>
        <v>260.53999999999996</v>
      </c>
      <c r="W71">
        <f>T71-U71</f>
        <v>7.4799999999999613</v>
      </c>
      <c r="X71">
        <v>46.634998000000003</v>
      </c>
      <c r="Y71">
        <v>61.191113000000001</v>
      </c>
      <c r="Z71" t="s">
        <v>99</v>
      </c>
      <c r="AA71" t="s">
        <v>139</v>
      </c>
      <c r="AB71" t="s">
        <v>524</v>
      </c>
      <c r="AC71" t="s">
        <v>1116</v>
      </c>
      <c r="AD71" t="s">
        <v>1117</v>
      </c>
      <c r="AG71" t="s">
        <v>1118</v>
      </c>
      <c r="AH71" t="s">
        <v>65</v>
      </c>
      <c r="AI71" t="s">
        <v>207</v>
      </c>
      <c r="AJ71">
        <v>2008</v>
      </c>
      <c r="AK71" t="s">
        <v>1119</v>
      </c>
      <c r="AM71" t="s">
        <v>1120</v>
      </c>
      <c r="AN71" t="s">
        <v>94</v>
      </c>
      <c r="AO71" t="s">
        <v>68</v>
      </c>
      <c r="AP71" t="s">
        <v>69</v>
      </c>
      <c r="AQ71" t="s">
        <v>1121</v>
      </c>
      <c r="AR71" t="s">
        <v>70</v>
      </c>
      <c r="AS71">
        <v>302</v>
      </c>
      <c r="AT71" t="s">
        <v>71</v>
      </c>
      <c r="AU71">
        <v>46.9</v>
      </c>
      <c r="AV71">
        <v>39.659999999999997</v>
      </c>
      <c r="AW71" t="s">
        <v>72</v>
      </c>
      <c r="AX71">
        <v>301</v>
      </c>
      <c r="AY71" t="s">
        <v>71</v>
      </c>
      <c r="AZ71">
        <v>37.67</v>
      </c>
      <c r="BA71">
        <v>33.479999999999997</v>
      </c>
      <c r="BB71" t="s">
        <v>73</v>
      </c>
    </row>
    <row r="72" spans="1:54" x14ac:dyDescent="0.4">
      <c r="A72">
        <v>837652</v>
      </c>
      <c r="D72" t="s">
        <v>54</v>
      </c>
      <c r="G72">
        <v>1</v>
      </c>
      <c r="H72" t="s">
        <v>56</v>
      </c>
      <c r="I72" t="s">
        <v>57</v>
      </c>
      <c r="K72" t="s">
        <v>247</v>
      </c>
      <c r="L72" t="s">
        <v>258</v>
      </c>
      <c r="M72" t="s">
        <v>59</v>
      </c>
      <c r="O72" t="s">
        <v>107</v>
      </c>
      <c r="P72" t="s">
        <v>169</v>
      </c>
      <c r="Q72" t="s">
        <v>259</v>
      </c>
      <c r="R72" t="s">
        <v>138</v>
      </c>
      <c r="S72" t="s">
        <v>98</v>
      </c>
      <c r="T72">
        <v>264.27999999999997</v>
      </c>
      <c r="U72">
        <v>256.8</v>
      </c>
      <c r="V72">
        <f>(T72+U72)/2</f>
        <v>260.53999999999996</v>
      </c>
      <c r="W72">
        <f>T72-U72</f>
        <v>7.4799999999999613</v>
      </c>
      <c r="X72">
        <v>46.634998000000003</v>
      </c>
      <c r="Y72">
        <v>61.191113000000001</v>
      </c>
      <c r="Z72" t="s">
        <v>99</v>
      </c>
      <c r="AA72" t="s">
        <v>139</v>
      </c>
      <c r="AB72" t="s">
        <v>524</v>
      </c>
      <c r="AC72" t="s">
        <v>1116</v>
      </c>
      <c r="AD72" t="s">
        <v>1117</v>
      </c>
      <c r="AG72" t="s">
        <v>1118</v>
      </c>
      <c r="AH72" t="s">
        <v>65</v>
      </c>
      <c r="AI72" t="s">
        <v>207</v>
      </c>
      <c r="AJ72">
        <v>2008</v>
      </c>
      <c r="AK72" t="s">
        <v>1122</v>
      </c>
      <c r="AM72" t="s">
        <v>1123</v>
      </c>
      <c r="AN72" t="s">
        <v>94</v>
      </c>
      <c r="AO72" t="s">
        <v>68</v>
      </c>
      <c r="AP72" t="s">
        <v>95</v>
      </c>
      <c r="AQ72" t="s">
        <v>1124</v>
      </c>
      <c r="AR72" t="s">
        <v>70</v>
      </c>
      <c r="AS72">
        <v>302</v>
      </c>
      <c r="AT72" t="s">
        <v>71</v>
      </c>
      <c r="AU72">
        <v>46.9</v>
      </c>
      <c r="AV72">
        <v>39.659999999999997</v>
      </c>
      <c r="AW72" t="s">
        <v>72</v>
      </c>
      <c r="AX72">
        <v>301</v>
      </c>
      <c r="AY72" t="s">
        <v>71</v>
      </c>
      <c r="AZ72">
        <v>37.67</v>
      </c>
      <c r="BA72">
        <v>33.479999999999997</v>
      </c>
      <c r="BB72" t="s">
        <v>73</v>
      </c>
    </row>
    <row r="73" spans="1:54" x14ac:dyDescent="0.4">
      <c r="A73">
        <v>838080</v>
      </c>
      <c r="D73" t="s">
        <v>54</v>
      </c>
      <c r="G73">
        <v>1</v>
      </c>
      <c r="H73" t="s">
        <v>56</v>
      </c>
      <c r="I73" t="s">
        <v>57</v>
      </c>
      <c r="K73" t="s">
        <v>247</v>
      </c>
      <c r="L73" t="s">
        <v>258</v>
      </c>
      <c r="M73" t="s">
        <v>59</v>
      </c>
      <c r="O73" t="s">
        <v>107</v>
      </c>
      <c r="P73" t="s">
        <v>169</v>
      </c>
      <c r="Q73" t="s">
        <v>259</v>
      </c>
      <c r="R73" t="s">
        <v>138</v>
      </c>
      <c r="S73" t="s">
        <v>98</v>
      </c>
      <c r="T73">
        <v>264.27999999999997</v>
      </c>
      <c r="U73">
        <v>256.8</v>
      </c>
      <c r="V73">
        <f>(T73+U73)/2</f>
        <v>260.53999999999996</v>
      </c>
      <c r="W73">
        <f>T73-U73</f>
        <v>7.4799999999999613</v>
      </c>
      <c r="X73">
        <v>46.634998000000003</v>
      </c>
      <c r="Y73">
        <v>61.191113000000001</v>
      </c>
      <c r="Z73" t="s">
        <v>99</v>
      </c>
      <c r="AA73" t="s">
        <v>139</v>
      </c>
      <c r="AB73" t="s">
        <v>524</v>
      </c>
      <c r="AC73" t="s">
        <v>1116</v>
      </c>
      <c r="AD73" t="s">
        <v>1117</v>
      </c>
      <c r="AG73" t="s">
        <v>1118</v>
      </c>
      <c r="AH73" t="s">
        <v>65</v>
      </c>
      <c r="AI73" t="s">
        <v>207</v>
      </c>
      <c r="AJ73">
        <v>2008</v>
      </c>
      <c r="AK73" t="s">
        <v>1119</v>
      </c>
      <c r="AM73" t="s">
        <v>1120</v>
      </c>
      <c r="AN73" t="s">
        <v>94</v>
      </c>
      <c r="AO73" t="s">
        <v>68</v>
      </c>
      <c r="AP73" t="s">
        <v>69</v>
      </c>
      <c r="AQ73" t="s">
        <v>1121</v>
      </c>
      <c r="AR73" t="s">
        <v>70</v>
      </c>
      <c r="AS73">
        <v>302</v>
      </c>
      <c r="AT73" t="s">
        <v>71</v>
      </c>
      <c r="AU73">
        <v>46.9</v>
      </c>
      <c r="AV73">
        <v>39.659999999999997</v>
      </c>
      <c r="AW73" t="s">
        <v>72</v>
      </c>
      <c r="AX73">
        <v>301</v>
      </c>
      <c r="AY73" t="s">
        <v>71</v>
      </c>
      <c r="AZ73">
        <v>37.67</v>
      </c>
      <c r="BA73">
        <v>33.479999999999997</v>
      </c>
      <c r="BB73" t="s">
        <v>73</v>
      </c>
    </row>
    <row r="74" spans="1:54" x14ac:dyDescent="0.4">
      <c r="A74">
        <v>838081</v>
      </c>
      <c r="D74" t="s">
        <v>54</v>
      </c>
      <c r="G74">
        <v>1</v>
      </c>
      <c r="H74" t="s">
        <v>56</v>
      </c>
      <c r="I74" t="s">
        <v>57</v>
      </c>
      <c r="K74" t="s">
        <v>247</v>
      </c>
      <c r="L74" t="s">
        <v>258</v>
      </c>
      <c r="M74" t="s">
        <v>59</v>
      </c>
      <c r="O74" t="s">
        <v>107</v>
      </c>
      <c r="P74" t="s">
        <v>169</v>
      </c>
      <c r="Q74" t="s">
        <v>259</v>
      </c>
      <c r="R74" t="s">
        <v>138</v>
      </c>
      <c r="S74" t="s">
        <v>98</v>
      </c>
      <c r="T74">
        <v>264.27999999999997</v>
      </c>
      <c r="U74">
        <v>256.8</v>
      </c>
      <c r="V74">
        <f>(T74+U74)/2</f>
        <v>260.53999999999996</v>
      </c>
      <c r="W74">
        <f>T74-U74</f>
        <v>7.4799999999999613</v>
      </c>
      <c r="X74">
        <v>46.634998000000003</v>
      </c>
      <c r="Y74">
        <v>61.191113000000001</v>
      </c>
      <c r="Z74" t="s">
        <v>99</v>
      </c>
      <c r="AA74" t="s">
        <v>139</v>
      </c>
      <c r="AB74" t="s">
        <v>524</v>
      </c>
      <c r="AC74" t="s">
        <v>1116</v>
      </c>
      <c r="AD74" t="s">
        <v>1117</v>
      </c>
      <c r="AG74" t="s">
        <v>1118</v>
      </c>
      <c r="AH74" t="s">
        <v>65</v>
      </c>
      <c r="AI74" t="s">
        <v>207</v>
      </c>
      <c r="AJ74">
        <v>2008</v>
      </c>
      <c r="AK74" t="s">
        <v>1119</v>
      </c>
      <c r="AM74" t="s">
        <v>1120</v>
      </c>
      <c r="AN74" t="s">
        <v>94</v>
      </c>
      <c r="AO74" t="s">
        <v>68</v>
      </c>
      <c r="AP74" t="s">
        <v>69</v>
      </c>
      <c r="AQ74" t="s">
        <v>1121</v>
      </c>
      <c r="AR74" t="s">
        <v>70</v>
      </c>
      <c r="AS74">
        <v>302</v>
      </c>
      <c r="AT74" t="s">
        <v>71</v>
      </c>
      <c r="AU74">
        <v>46.9</v>
      </c>
      <c r="AV74">
        <v>39.659999999999997</v>
      </c>
      <c r="AW74" t="s">
        <v>72</v>
      </c>
      <c r="AX74">
        <v>301</v>
      </c>
      <c r="AY74" t="s">
        <v>71</v>
      </c>
      <c r="AZ74">
        <v>37.67</v>
      </c>
      <c r="BA74">
        <v>33.479999999999997</v>
      </c>
      <c r="BB74" t="s">
        <v>73</v>
      </c>
    </row>
    <row r="75" spans="1:54" x14ac:dyDescent="0.4">
      <c r="A75">
        <v>838081</v>
      </c>
      <c r="D75" t="s">
        <v>54</v>
      </c>
      <c r="G75">
        <v>1</v>
      </c>
      <c r="H75" t="s">
        <v>56</v>
      </c>
      <c r="I75" t="s">
        <v>57</v>
      </c>
      <c r="K75" t="s">
        <v>247</v>
      </c>
      <c r="L75" t="s">
        <v>258</v>
      </c>
      <c r="M75" t="s">
        <v>59</v>
      </c>
      <c r="O75" t="s">
        <v>107</v>
      </c>
      <c r="P75" t="s">
        <v>169</v>
      </c>
      <c r="Q75" t="s">
        <v>259</v>
      </c>
      <c r="R75" t="s">
        <v>138</v>
      </c>
      <c r="S75" t="s">
        <v>98</v>
      </c>
      <c r="T75">
        <v>264.27999999999997</v>
      </c>
      <c r="U75">
        <v>256.8</v>
      </c>
      <c r="V75">
        <f>(T75+U75)/2</f>
        <v>260.53999999999996</v>
      </c>
      <c r="W75">
        <f>T75-U75</f>
        <v>7.4799999999999613</v>
      </c>
      <c r="X75">
        <v>46.634998000000003</v>
      </c>
      <c r="Y75">
        <v>61.191113000000001</v>
      </c>
      <c r="Z75" t="s">
        <v>99</v>
      </c>
      <c r="AA75" t="s">
        <v>139</v>
      </c>
      <c r="AB75" t="s">
        <v>524</v>
      </c>
      <c r="AC75" t="s">
        <v>1116</v>
      </c>
      <c r="AD75" t="s">
        <v>1117</v>
      </c>
      <c r="AG75" t="s">
        <v>1118</v>
      </c>
      <c r="AH75" t="s">
        <v>65</v>
      </c>
      <c r="AI75" t="s">
        <v>207</v>
      </c>
      <c r="AJ75">
        <v>2008</v>
      </c>
      <c r="AK75" t="s">
        <v>1119</v>
      </c>
      <c r="AM75" t="s">
        <v>1120</v>
      </c>
      <c r="AN75" t="s">
        <v>94</v>
      </c>
      <c r="AO75" t="s">
        <v>68</v>
      </c>
      <c r="AP75" t="s">
        <v>69</v>
      </c>
      <c r="AQ75" t="s">
        <v>1121</v>
      </c>
      <c r="AR75" t="s">
        <v>70</v>
      </c>
      <c r="AS75">
        <v>302</v>
      </c>
      <c r="AT75" t="s">
        <v>71</v>
      </c>
      <c r="AU75">
        <v>46.9</v>
      </c>
      <c r="AV75">
        <v>39.659999999999997</v>
      </c>
      <c r="AW75" t="s">
        <v>72</v>
      </c>
      <c r="AX75">
        <v>301</v>
      </c>
      <c r="AY75" t="s">
        <v>71</v>
      </c>
      <c r="AZ75">
        <v>37.67</v>
      </c>
      <c r="BA75">
        <v>33.479999999999997</v>
      </c>
      <c r="BB75" t="s">
        <v>73</v>
      </c>
    </row>
    <row r="76" spans="1:54" x14ac:dyDescent="0.4">
      <c r="A76">
        <v>838081</v>
      </c>
      <c r="D76" t="s">
        <v>54</v>
      </c>
      <c r="G76">
        <v>1</v>
      </c>
      <c r="H76" t="s">
        <v>56</v>
      </c>
      <c r="I76" t="s">
        <v>57</v>
      </c>
      <c r="K76" t="s">
        <v>247</v>
      </c>
      <c r="L76" t="s">
        <v>258</v>
      </c>
      <c r="M76" t="s">
        <v>59</v>
      </c>
      <c r="O76" t="s">
        <v>107</v>
      </c>
      <c r="P76" t="s">
        <v>169</v>
      </c>
      <c r="Q76" t="s">
        <v>259</v>
      </c>
      <c r="R76" t="s">
        <v>138</v>
      </c>
      <c r="S76" t="s">
        <v>98</v>
      </c>
      <c r="T76">
        <v>264.27999999999997</v>
      </c>
      <c r="U76">
        <v>256.8</v>
      </c>
      <c r="V76">
        <f>(T76+U76)/2</f>
        <v>260.53999999999996</v>
      </c>
      <c r="W76">
        <f>T76-U76</f>
        <v>7.4799999999999613</v>
      </c>
      <c r="X76">
        <v>46.634998000000003</v>
      </c>
      <c r="Y76">
        <v>61.191113000000001</v>
      </c>
      <c r="Z76" t="s">
        <v>99</v>
      </c>
      <c r="AA76" t="s">
        <v>139</v>
      </c>
      <c r="AB76" t="s">
        <v>524</v>
      </c>
      <c r="AC76" t="s">
        <v>1116</v>
      </c>
      <c r="AD76" t="s">
        <v>1117</v>
      </c>
      <c r="AG76" t="s">
        <v>1118</v>
      </c>
      <c r="AH76" t="s">
        <v>65</v>
      </c>
      <c r="AI76" t="s">
        <v>207</v>
      </c>
      <c r="AJ76">
        <v>2008</v>
      </c>
      <c r="AK76" t="s">
        <v>1119</v>
      </c>
      <c r="AM76" t="s">
        <v>1120</v>
      </c>
      <c r="AN76" t="s">
        <v>94</v>
      </c>
      <c r="AO76" t="s">
        <v>68</v>
      </c>
      <c r="AP76" t="s">
        <v>69</v>
      </c>
      <c r="AQ76" t="s">
        <v>1121</v>
      </c>
      <c r="AR76" t="s">
        <v>70</v>
      </c>
      <c r="AS76">
        <v>302</v>
      </c>
      <c r="AT76" t="s">
        <v>71</v>
      </c>
      <c r="AU76">
        <v>46.9</v>
      </c>
      <c r="AV76">
        <v>39.659999999999997</v>
      </c>
      <c r="AW76" t="s">
        <v>72</v>
      </c>
      <c r="AX76">
        <v>301</v>
      </c>
      <c r="AY76" t="s">
        <v>71</v>
      </c>
      <c r="AZ76">
        <v>37.67</v>
      </c>
      <c r="BA76">
        <v>33.479999999999997</v>
      </c>
      <c r="BB76" t="s">
        <v>73</v>
      </c>
    </row>
    <row r="77" spans="1:54" x14ac:dyDescent="0.4">
      <c r="A77">
        <v>838081</v>
      </c>
      <c r="D77" t="s">
        <v>54</v>
      </c>
      <c r="G77">
        <v>1</v>
      </c>
      <c r="H77" t="s">
        <v>56</v>
      </c>
      <c r="I77" t="s">
        <v>57</v>
      </c>
      <c r="K77" t="s">
        <v>247</v>
      </c>
      <c r="L77" t="s">
        <v>258</v>
      </c>
      <c r="M77" t="s">
        <v>59</v>
      </c>
      <c r="O77" t="s">
        <v>107</v>
      </c>
      <c r="P77" t="s">
        <v>169</v>
      </c>
      <c r="Q77" t="s">
        <v>259</v>
      </c>
      <c r="R77" t="s">
        <v>138</v>
      </c>
      <c r="S77" t="s">
        <v>98</v>
      </c>
      <c r="T77">
        <v>264.27999999999997</v>
      </c>
      <c r="U77">
        <v>256.8</v>
      </c>
      <c r="V77">
        <f>(T77+U77)/2</f>
        <v>260.53999999999996</v>
      </c>
      <c r="W77">
        <f>T77-U77</f>
        <v>7.4799999999999613</v>
      </c>
      <c r="X77">
        <v>46.634998000000003</v>
      </c>
      <c r="Y77">
        <v>61.191113000000001</v>
      </c>
      <c r="Z77" t="s">
        <v>99</v>
      </c>
      <c r="AA77" t="s">
        <v>139</v>
      </c>
      <c r="AB77" t="s">
        <v>524</v>
      </c>
      <c r="AC77" t="s">
        <v>1116</v>
      </c>
      <c r="AD77" t="s">
        <v>1117</v>
      </c>
      <c r="AG77" t="s">
        <v>1118</v>
      </c>
      <c r="AH77" t="s">
        <v>65</v>
      </c>
      <c r="AI77" t="s">
        <v>207</v>
      </c>
      <c r="AJ77">
        <v>2008</v>
      </c>
      <c r="AK77" t="s">
        <v>1119</v>
      </c>
      <c r="AM77" t="s">
        <v>1120</v>
      </c>
      <c r="AN77" t="s">
        <v>94</v>
      </c>
      <c r="AO77" t="s">
        <v>68</v>
      </c>
      <c r="AP77" t="s">
        <v>69</v>
      </c>
      <c r="AQ77" t="s">
        <v>1121</v>
      </c>
      <c r="AR77" t="s">
        <v>70</v>
      </c>
      <c r="AS77">
        <v>302</v>
      </c>
      <c r="AT77" t="s">
        <v>71</v>
      </c>
      <c r="AU77">
        <v>46.9</v>
      </c>
      <c r="AV77">
        <v>39.659999999999997</v>
      </c>
      <c r="AW77" t="s">
        <v>72</v>
      </c>
      <c r="AX77">
        <v>301</v>
      </c>
      <c r="AY77" t="s">
        <v>71</v>
      </c>
      <c r="AZ77">
        <v>37.67</v>
      </c>
      <c r="BA77">
        <v>33.479999999999997</v>
      </c>
      <c r="BB77" t="s">
        <v>73</v>
      </c>
    </row>
    <row r="78" spans="1:54" x14ac:dyDescent="0.4">
      <c r="A78">
        <v>838081</v>
      </c>
      <c r="D78" t="s">
        <v>54</v>
      </c>
      <c r="G78">
        <v>1</v>
      </c>
      <c r="H78" t="s">
        <v>56</v>
      </c>
      <c r="I78" t="s">
        <v>57</v>
      </c>
      <c r="K78" t="s">
        <v>247</v>
      </c>
      <c r="L78" t="s">
        <v>258</v>
      </c>
      <c r="M78" t="s">
        <v>59</v>
      </c>
      <c r="O78" t="s">
        <v>107</v>
      </c>
      <c r="P78" t="s">
        <v>169</v>
      </c>
      <c r="Q78" t="s">
        <v>259</v>
      </c>
      <c r="R78" t="s">
        <v>138</v>
      </c>
      <c r="S78" t="s">
        <v>98</v>
      </c>
      <c r="T78">
        <v>264.27999999999997</v>
      </c>
      <c r="U78">
        <v>256.8</v>
      </c>
      <c r="V78">
        <f>(T78+U78)/2</f>
        <v>260.53999999999996</v>
      </c>
      <c r="W78">
        <f>T78-U78</f>
        <v>7.4799999999999613</v>
      </c>
      <c r="X78">
        <v>46.634998000000003</v>
      </c>
      <c r="Y78">
        <v>61.191113000000001</v>
      </c>
      <c r="Z78" t="s">
        <v>99</v>
      </c>
      <c r="AA78" t="s">
        <v>139</v>
      </c>
      <c r="AB78" t="s">
        <v>524</v>
      </c>
      <c r="AC78" t="s">
        <v>1116</v>
      </c>
      <c r="AD78" t="s">
        <v>1117</v>
      </c>
      <c r="AG78" t="s">
        <v>1118</v>
      </c>
      <c r="AH78" t="s">
        <v>65</v>
      </c>
      <c r="AI78" t="s">
        <v>207</v>
      </c>
      <c r="AJ78">
        <v>2008</v>
      </c>
      <c r="AK78" t="s">
        <v>1119</v>
      </c>
      <c r="AM78" t="s">
        <v>1120</v>
      </c>
      <c r="AN78" t="s">
        <v>94</v>
      </c>
      <c r="AO78" t="s">
        <v>68</v>
      </c>
      <c r="AP78" t="s">
        <v>69</v>
      </c>
      <c r="AQ78" t="s">
        <v>1121</v>
      </c>
      <c r="AR78" t="s">
        <v>70</v>
      </c>
      <c r="AS78">
        <v>302</v>
      </c>
      <c r="AT78" t="s">
        <v>71</v>
      </c>
      <c r="AU78">
        <v>46.9</v>
      </c>
      <c r="AV78">
        <v>39.659999999999997</v>
      </c>
      <c r="AW78" t="s">
        <v>72</v>
      </c>
      <c r="AX78">
        <v>301</v>
      </c>
      <c r="AY78" t="s">
        <v>71</v>
      </c>
      <c r="AZ78">
        <v>37.67</v>
      </c>
      <c r="BA78">
        <v>33.479999999999997</v>
      </c>
      <c r="BB78" t="s">
        <v>73</v>
      </c>
    </row>
    <row r="79" spans="1:54" x14ac:dyDescent="0.4">
      <c r="A79">
        <v>838081</v>
      </c>
      <c r="D79" t="s">
        <v>54</v>
      </c>
      <c r="G79">
        <v>1</v>
      </c>
      <c r="H79" t="s">
        <v>56</v>
      </c>
      <c r="I79" t="s">
        <v>57</v>
      </c>
      <c r="K79" t="s">
        <v>247</v>
      </c>
      <c r="L79" t="s">
        <v>258</v>
      </c>
      <c r="M79" t="s">
        <v>59</v>
      </c>
      <c r="O79" t="s">
        <v>107</v>
      </c>
      <c r="P79" t="s">
        <v>169</v>
      </c>
      <c r="Q79" t="s">
        <v>259</v>
      </c>
      <c r="R79" t="s">
        <v>138</v>
      </c>
      <c r="S79" t="s">
        <v>98</v>
      </c>
      <c r="T79">
        <v>264.27999999999997</v>
      </c>
      <c r="U79">
        <v>256.8</v>
      </c>
      <c r="V79">
        <f>(T79+U79)/2</f>
        <v>260.53999999999996</v>
      </c>
      <c r="W79">
        <f>T79-U79</f>
        <v>7.4799999999999613</v>
      </c>
      <c r="X79">
        <v>46.634998000000003</v>
      </c>
      <c r="Y79">
        <v>61.191113000000001</v>
      </c>
      <c r="Z79" t="s">
        <v>99</v>
      </c>
      <c r="AA79" t="s">
        <v>139</v>
      </c>
      <c r="AB79" t="s">
        <v>524</v>
      </c>
      <c r="AC79" t="s">
        <v>1116</v>
      </c>
      <c r="AD79" t="s">
        <v>1117</v>
      </c>
      <c r="AG79" t="s">
        <v>1118</v>
      </c>
      <c r="AH79" t="s">
        <v>65</v>
      </c>
      <c r="AI79" t="s">
        <v>207</v>
      </c>
      <c r="AJ79">
        <v>2008</v>
      </c>
      <c r="AK79" t="s">
        <v>1119</v>
      </c>
      <c r="AM79" t="s">
        <v>1120</v>
      </c>
      <c r="AN79" t="s">
        <v>94</v>
      </c>
      <c r="AO79" t="s">
        <v>68</v>
      </c>
      <c r="AP79" t="s">
        <v>69</v>
      </c>
      <c r="AQ79" t="s">
        <v>1121</v>
      </c>
      <c r="AR79" t="s">
        <v>70</v>
      </c>
      <c r="AS79">
        <v>302</v>
      </c>
      <c r="AT79" t="s">
        <v>71</v>
      </c>
      <c r="AU79">
        <v>46.9</v>
      </c>
      <c r="AV79">
        <v>39.659999999999997</v>
      </c>
      <c r="AW79" t="s">
        <v>72</v>
      </c>
      <c r="AX79">
        <v>301</v>
      </c>
      <c r="AY79" t="s">
        <v>71</v>
      </c>
      <c r="AZ79">
        <v>37.67</v>
      </c>
      <c r="BA79">
        <v>33.479999999999997</v>
      </c>
      <c r="BB79" t="s">
        <v>73</v>
      </c>
    </row>
    <row r="80" spans="1:54" x14ac:dyDescent="0.4">
      <c r="A80">
        <v>838081</v>
      </c>
      <c r="D80" t="s">
        <v>54</v>
      </c>
      <c r="G80">
        <v>1</v>
      </c>
      <c r="H80" t="s">
        <v>56</v>
      </c>
      <c r="I80" t="s">
        <v>57</v>
      </c>
      <c r="K80" t="s">
        <v>247</v>
      </c>
      <c r="L80" t="s">
        <v>258</v>
      </c>
      <c r="M80" t="s">
        <v>59</v>
      </c>
      <c r="O80" t="s">
        <v>107</v>
      </c>
      <c r="P80" t="s">
        <v>169</v>
      </c>
      <c r="Q80" t="s">
        <v>259</v>
      </c>
      <c r="R80" t="s">
        <v>138</v>
      </c>
      <c r="S80" t="s">
        <v>98</v>
      </c>
      <c r="T80">
        <v>264.27999999999997</v>
      </c>
      <c r="U80">
        <v>256.8</v>
      </c>
      <c r="V80">
        <f>(T80+U80)/2</f>
        <v>260.53999999999996</v>
      </c>
      <c r="W80">
        <f>T80-U80</f>
        <v>7.4799999999999613</v>
      </c>
      <c r="X80">
        <v>46.634998000000003</v>
      </c>
      <c r="Y80">
        <v>61.191113000000001</v>
      </c>
      <c r="Z80" t="s">
        <v>99</v>
      </c>
      <c r="AA80" t="s">
        <v>139</v>
      </c>
      <c r="AB80" t="s">
        <v>524</v>
      </c>
      <c r="AC80" t="s">
        <v>1116</v>
      </c>
      <c r="AD80" t="s">
        <v>1117</v>
      </c>
      <c r="AG80" t="s">
        <v>1118</v>
      </c>
      <c r="AH80" t="s">
        <v>65</v>
      </c>
      <c r="AI80" t="s">
        <v>207</v>
      </c>
      <c r="AJ80">
        <v>2008</v>
      </c>
      <c r="AK80" t="s">
        <v>1119</v>
      </c>
      <c r="AM80" t="s">
        <v>1120</v>
      </c>
      <c r="AN80" t="s">
        <v>94</v>
      </c>
      <c r="AO80" t="s">
        <v>68</v>
      </c>
      <c r="AP80" t="s">
        <v>69</v>
      </c>
      <c r="AQ80" t="s">
        <v>1121</v>
      </c>
      <c r="AR80" t="s">
        <v>70</v>
      </c>
      <c r="AS80">
        <v>302</v>
      </c>
      <c r="AT80" t="s">
        <v>71</v>
      </c>
      <c r="AU80">
        <v>46.9</v>
      </c>
      <c r="AV80">
        <v>39.659999999999997</v>
      </c>
      <c r="AW80" t="s">
        <v>72</v>
      </c>
      <c r="AX80">
        <v>301</v>
      </c>
      <c r="AY80" t="s">
        <v>71</v>
      </c>
      <c r="AZ80">
        <v>37.67</v>
      </c>
      <c r="BA80">
        <v>33.479999999999997</v>
      </c>
      <c r="BB80" t="s">
        <v>73</v>
      </c>
    </row>
    <row r="81" spans="1:54" x14ac:dyDescent="0.4">
      <c r="A81">
        <v>838081</v>
      </c>
      <c r="D81" t="s">
        <v>54</v>
      </c>
      <c r="G81">
        <v>1</v>
      </c>
      <c r="H81" t="s">
        <v>56</v>
      </c>
      <c r="I81" t="s">
        <v>57</v>
      </c>
      <c r="K81" t="s">
        <v>247</v>
      </c>
      <c r="L81" t="s">
        <v>258</v>
      </c>
      <c r="M81" t="s">
        <v>59</v>
      </c>
      <c r="O81" t="s">
        <v>107</v>
      </c>
      <c r="P81" t="s">
        <v>169</v>
      </c>
      <c r="Q81" t="s">
        <v>259</v>
      </c>
      <c r="R81" t="s">
        <v>138</v>
      </c>
      <c r="S81" t="s">
        <v>98</v>
      </c>
      <c r="T81">
        <v>264.27999999999997</v>
      </c>
      <c r="U81">
        <v>256.8</v>
      </c>
      <c r="V81">
        <f>(T81+U81)/2</f>
        <v>260.53999999999996</v>
      </c>
      <c r="W81">
        <f>T81-U81</f>
        <v>7.4799999999999613</v>
      </c>
      <c r="X81">
        <v>46.634998000000003</v>
      </c>
      <c r="Y81">
        <v>61.191113000000001</v>
      </c>
      <c r="Z81" t="s">
        <v>99</v>
      </c>
      <c r="AA81" t="s">
        <v>139</v>
      </c>
      <c r="AB81" t="s">
        <v>524</v>
      </c>
      <c r="AC81" t="s">
        <v>1116</v>
      </c>
      <c r="AD81" t="s">
        <v>1117</v>
      </c>
      <c r="AG81" t="s">
        <v>1118</v>
      </c>
      <c r="AH81" t="s">
        <v>65</v>
      </c>
      <c r="AI81" t="s">
        <v>207</v>
      </c>
      <c r="AJ81">
        <v>2008</v>
      </c>
      <c r="AK81" t="s">
        <v>1119</v>
      </c>
      <c r="AM81" t="s">
        <v>1120</v>
      </c>
      <c r="AN81" t="s">
        <v>94</v>
      </c>
      <c r="AO81" t="s">
        <v>68</v>
      </c>
      <c r="AP81" t="s">
        <v>69</v>
      </c>
      <c r="AQ81" t="s">
        <v>1121</v>
      </c>
      <c r="AR81" t="s">
        <v>70</v>
      </c>
      <c r="AS81">
        <v>302</v>
      </c>
      <c r="AT81" t="s">
        <v>71</v>
      </c>
      <c r="AU81">
        <v>46.9</v>
      </c>
      <c r="AV81">
        <v>39.659999999999997</v>
      </c>
      <c r="AW81" t="s">
        <v>72</v>
      </c>
      <c r="AX81">
        <v>301</v>
      </c>
      <c r="AY81" t="s">
        <v>71</v>
      </c>
      <c r="AZ81">
        <v>37.67</v>
      </c>
      <c r="BA81">
        <v>33.479999999999997</v>
      </c>
      <c r="BB81" t="s">
        <v>73</v>
      </c>
    </row>
    <row r="82" spans="1:54" x14ac:dyDescent="0.4">
      <c r="A82">
        <v>838081</v>
      </c>
      <c r="D82" t="s">
        <v>54</v>
      </c>
      <c r="G82">
        <v>1</v>
      </c>
      <c r="H82" t="s">
        <v>56</v>
      </c>
      <c r="I82" t="s">
        <v>57</v>
      </c>
      <c r="K82" t="s">
        <v>247</v>
      </c>
      <c r="L82" t="s">
        <v>258</v>
      </c>
      <c r="M82" t="s">
        <v>59</v>
      </c>
      <c r="O82" t="s">
        <v>107</v>
      </c>
      <c r="P82" t="s">
        <v>169</v>
      </c>
      <c r="Q82" t="s">
        <v>259</v>
      </c>
      <c r="R82" t="s">
        <v>138</v>
      </c>
      <c r="S82" t="s">
        <v>98</v>
      </c>
      <c r="T82">
        <v>264.27999999999997</v>
      </c>
      <c r="U82">
        <v>256.8</v>
      </c>
      <c r="V82">
        <f>(T82+U82)/2</f>
        <v>260.53999999999996</v>
      </c>
      <c r="W82">
        <f>T82-U82</f>
        <v>7.4799999999999613</v>
      </c>
      <c r="X82">
        <v>46.634998000000003</v>
      </c>
      <c r="Y82">
        <v>61.191113000000001</v>
      </c>
      <c r="Z82" t="s">
        <v>99</v>
      </c>
      <c r="AA82" t="s">
        <v>139</v>
      </c>
      <c r="AB82" t="s">
        <v>524</v>
      </c>
      <c r="AC82" t="s">
        <v>1116</v>
      </c>
      <c r="AD82" t="s">
        <v>1117</v>
      </c>
      <c r="AG82" t="s">
        <v>1118</v>
      </c>
      <c r="AH82" t="s">
        <v>65</v>
      </c>
      <c r="AI82" t="s">
        <v>207</v>
      </c>
      <c r="AJ82">
        <v>2008</v>
      </c>
      <c r="AK82" t="s">
        <v>1119</v>
      </c>
      <c r="AM82" t="s">
        <v>1120</v>
      </c>
      <c r="AN82" t="s">
        <v>94</v>
      </c>
      <c r="AO82" t="s">
        <v>68</v>
      </c>
      <c r="AP82" t="s">
        <v>69</v>
      </c>
      <c r="AQ82" t="s">
        <v>1121</v>
      </c>
      <c r="AR82" t="s">
        <v>70</v>
      </c>
      <c r="AS82">
        <v>302</v>
      </c>
      <c r="AT82" t="s">
        <v>71</v>
      </c>
      <c r="AU82">
        <v>46.9</v>
      </c>
      <c r="AV82">
        <v>39.659999999999997</v>
      </c>
      <c r="AW82" t="s">
        <v>72</v>
      </c>
      <c r="AX82">
        <v>301</v>
      </c>
      <c r="AY82" t="s">
        <v>71</v>
      </c>
      <c r="AZ82">
        <v>37.67</v>
      </c>
      <c r="BA82">
        <v>33.479999999999997</v>
      </c>
      <c r="BB82" t="s">
        <v>73</v>
      </c>
    </row>
    <row r="83" spans="1:54" x14ac:dyDescent="0.4">
      <c r="A83">
        <v>838082</v>
      </c>
      <c r="D83" t="s">
        <v>54</v>
      </c>
      <c r="G83">
        <v>1</v>
      </c>
      <c r="H83" t="s">
        <v>228</v>
      </c>
      <c r="I83" t="s">
        <v>57</v>
      </c>
      <c r="K83" t="s">
        <v>814</v>
      </c>
      <c r="L83" t="s">
        <v>815</v>
      </c>
      <c r="M83" t="s">
        <v>59</v>
      </c>
      <c r="O83" t="s">
        <v>107</v>
      </c>
      <c r="P83" t="s">
        <v>169</v>
      </c>
      <c r="Q83" t="s">
        <v>259</v>
      </c>
      <c r="R83" t="s">
        <v>138</v>
      </c>
      <c r="S83" t="s">
        <v>98</v>
      </c>
      <c r="T83">
        <v>264.27999999999997</v>
      </c>
      <c r="U83">
        <v>256.8</v>
      </c>
      <c r="V83">
        <f>(T83+U83)/2</f>
        <v>260.53999999999996</v>
      </c>
      <c r="W83">
        <f>T83-U83</f>
        <v>7.4799999999999613</v>
      </c>
      <c r="X83">
        <v>43.108333999999999</v>
      </c>
      <c r="Y83">
        <v>59.964443000000003</v>
      </c>
      <c r="Z83" t="s">
        <v>99</v>
      </c>
      <c r="AA83" t="s">
        <v>139</v>
      </c>
      <c r="AB83" t="s">
        <v>1125</v>
      </c>
      <c r="AC83" t="s">
        <v>1126</v>
      </c>
      <c r="AD83" t="s">
        <v>1117</v>
      </c>
      <c r="AG83" t="s">
        <v>1118</v>
      </c>
      <c r="AH83" t="s">
        <v>65</v>
      </c>
      <c r="AI83" t="s">
        <v>816</v>
      </c>
      <c r="AJ83">
        <v>2005</v>
      </c>
      <c r="AK83" t="s">
        <v>1127</v>
      </c>
      <c r="AM83" t="s">
        <v>1128</v>
      </c>
      <c r="AN83" t="s">
        <v>94</v>
      </c>
      <c r="AO83" t="s">
        <v>68</v>
      </c>
      <c r="AP83" t="s">
        <v>95</v>
      </c>
      <c r="AQ83" t="s">
        <v>1129</v>
      </c>
      <c r="AR83" t="s">
        <v>70</v>
      </c>
      <c r="AS83">
        <v>302</v>
      </c>
      <c r="AT83" t="s">
        <v>71</v>
      </c>
      <c r="AU83">
        <v>45.81</v>
      </c>
      <c r="AV83">
        <v>37.72</v>
      </c>
      <c r="AW83" t="s">
        <v>72</v>
      </c>
      <c r="AX83">
        <v>301</v>
      </c>
      <c r="AY83" t="s">
        <v>71</v>
      </c>
      <c r="AZ83">
        <v>37</v>
      </c>
      <c r="BA83">
        <v>31.44</v>
      </c>
      <c r="BB83" t="s">
        <v>73</v>
      </c>
    </row>
    <row r="84" spans="1:54" x14ac:dyDescent="0.4">
      <c r="A84">
        <v>1381716</v>
      </c>
      <c r="D84" t="s">
        <v>54</v>
      </c>
      <c r="I84" t="s">
        <v>57</v>
      </c>
      <c r="K84" t="s">
        <v>247</v>
      </c>
      <c r="L84" t="s">
        <v>258</v>
      </c>
      <c r="M84" t="s">
        <v>59</v>
      </c>
      <c r="O84" t="s">
        <v>107</v>
      </c>
      <c r="P84" t="s">
        <v>169</v>
      </c>
      <c r="Q84" t="s">
        <v>259</v>
      </c>
      <c r="R84" t="s">
        <v>138</v>
      </c>
      <c r="S84" t="s">
        <v>98</v>
      </c>
      <c r="T84">
        <v>264.27999999999997</v>
      </c>
      <c r="U84">
        <v>256.8</v>
      </c>
      <c r="V84">
        <f>(T84+U84)/2</f>
        <v>260.53999999999996</v>
      </c>
      <c r="W84">
        <f>T84-U84</f>
        <v>7.4799999999999613</v>
      </c>
      <c r="X84">
        <v>42.702221000000002</v>
      </c>
      <c r="Y84">
        <v>56.202778000000002</v>
      </c>
      <c r="Z84" t="s">
        <v>99</v>
      </c>
      <c r="AA84" t="s">
        <v>139</v>
      </c>
      <c r="AB84" t="s">
        <v>808</v>
      </c>
      <c r="AC84" t="s">
        <v>1990</v>
      </c>
      <c r="AG84" t="s">
        <v>1118</v>
      </c>
      <c r="AH84" t="s">
        <v>11</v>
      </c>
      <c r="AI84" t="s">
        <v>207</v>
      </c>
      <c r="AJ84">
        <v>2011</v>
      </c>
      <c r="AK84" t="s">
        <v>1991</v>
      </c>
      <c r="AM84" t="s">
        <v>1992</v>
      </c>
      <c r="AN84" t="s">
        <v>94</v>
      </c>
      <c r="AO84" t="s">
        <v>68</v>
      </c>
      <c r="AP84" t="s">
        <v>69</v>
      </c>
      <c r="AQ84" t="s">
        <v>1993</v>
      </c>
      <c r="AR84" t="s">
        <v>70</v>
      </c>
      <c r="AS84">
        <v>302</v>
      </c>
      <c r="AT84" t="s">
        <v>71</v>
      </c>
      <c r="AU84">
        <v>47.83</v>
      </c>
      <c r="AV84">
        <v>34.32</v>
      </c>
      <c r="AW84" t="s">
        <v>72</v>
      </c>
      <c r="AX84">
        <v>301</v>
      </c>
      <c r="AY84" t="s">
        <v>71</v>
      </c>
      <c r="AZ84">
        <v>39.43</v>
      </c>
      <c r="BA84">
        <v>28.31</v>
      </c>
      <c r="BB84" t="s">
        <v>73</v>
      </c>
    </row>
    <row r="85" spans="1:54" x14ac:dyDescent="0.4">
      <c r="A85">
        <v>1382091</v>
      </c>
      <c r="D85" t="s">
        <v>54</v>
      </c>
      <c r="I85" t="s">
        <v>57</v>
      </c>
      <c r="K85" t="s">
        <v>247</v>
      </c>
      <c r="L85" t="s">
        <v>258</v>
      </c>
      <c r="M85" t="s">
        <v>59</v>
      </c>
      <c r="O85" t="s">
        <v>107</v>
      </c>
      <c r="P85" t="s">
        <v>169</v>
      </c>
      <c r="Q85" t="s">
        <v>259</v>
      </c>
      <c r="R85" t="s">
        <v>138</v>
      </c>
      <c r="S85" t="s">
        <v>98</v>
      </c>
      <c r="T85">
        <v>264.27999999999997</v>
      </c>
      <c r="U85">
        <v>256.8</v>
      </c>
      <c r="V85">
        <f>(T85+U85)/2</f>
        <v>260.53999999999996</v>
      </c>
      <c r="W85">
        <f>T85-U85</f>
        <v>7.4799999999999613</v>
      </c>
      <c r="X85">
        <v>46.241390000000003</v>
      </c>
      <c r="Y85">
        <v>60.745277000000002</v>
      </c>
      <c r="Z85" t="s">
        <v>99</v>
      </c>
      <c r="AA85" t="s">
        <v>139</v>
      </c>
      <c r="AB85" t="s">
        <v>1125</v>
      </c>
      <c r="AC85" t="s">
        <v>1994</v>
      </c>
      <c r="AG85" t="s">
        <v>1118</v>
      </c>
      <c r="AH85" t="s">
        <v>65</v>
      </c>
      <c r="AI85" t="s">
        <v>207</v>
      </c>
      <c r="AJ85">
        <v>2011</v>
      </c>
      <c r="AK85" t="s">
        <v>1995</v>
      </c>
      <c r="AN85" t="s">
        <v>121</v>
      </c>
      <c r="AO85" t="s">
        <v>68</v>
      </c>
      <c r="AP85" t="s">
        <v>69</v>
      </c>
      <c r="AR85" t="s">
        <v>70</v>
      </c>
      <c r="AS85">
        <v>302</v>
      </c>
      <c r="AT85" t="s">
        <v>71</v>
      </c>
      <c r="AU85">
        <v>47</v>
      </c>
      <c r="AV85">
        <v>39.18</v>
      </c>
      <c r="AW85" t="s">
        <v>72</v>
      </c>
      <c r="AX85">
        <v>301</v>
      </c>
      <c r="AY85" t="s">
        <v>71</v>
      </c>
      <c r="AZ85">
        <v>37.840000000000003</v>
      </c>
      <c r="BA85">
        <v>33.020000000000003</v>
      </c>
      <c r="BB85" t="s">
        <v>73</v>
      </c>
    </row>
    <row r="86" spans="1:54" x14ac:dyDescent="0.4">
      <c r="A86">
        <v>1382836</v>
      </c>
      <c r="D86" t="s">
        <v>54</v>
      </c>
      <c r="G86">
        <v>1</v>
      </c>
      <c r="H86" t="s">
        <v>74</v>
      </c>
      <c r="I86" t="s">
        <v>57</v>
      </c>
      <c r="K86" t="s">
        <v>530</v>
      </c>
      <c r="L86" t="s">
        <v>802</v>
      </c>
      <c r="M86" t="s">
        <v>59</v>
      </c>
      <c r="P86" t="s">
        <v>169</v>
      </c>
      <c r="Q86" t="s">
        <v>259</v>
      </c>
      <c r="R86" t="s">
        <v>138</v>
      </c>
      <c r="S86" t="s">
        <v>98</v>
      </c>
      <c r="T86">
        <v>264.27999999999997</v>
      </c>
      <c r="U86">
        <v>256.8</v>
      </c>
      <c r="V86">
        <f>(T86+U86)/2</f>
        <v>260.53999999999996</v>
      </c>
      <c r="W86">
        <f>T86-U86</f>
        <v>7.4799999999999613</v>
      </c>
      <c r="X86">
        <v>53.158611000000001</v>
      </c>
      <c r="Y86">
        <v>52.779998999999997</v>
      </c>
      <c r="Z86" t="s">
        <v>99</v>
      </c>
      <c r="AA86" t="s">
        <v>139</v>
      </c>
      <c r="AB86" t="s">
        <v>316</v>
      </c>
      <c r="AD86" t="s">
        <v>822</v>
      </c>
      <c r="AG86" t="s">
        <v>1118</v>
      </c>
      <c r="AH86" t="s">
        <v>65</v>
      </c>
      <c r="AI86" t="s">
        <v>207</v>
      </c>
      <c r="AJ86">
        <v>2008</v>
      </c>
      <c r="AK86" t="s">
        <v>1997</v>
      </c>
      <c r="AN86" t="s">
        <v>121</v>
      </c>
      <c r="AO86" t="s">
        <v>68</v>
      </c>
      <c r="AP86" t="s">
        <v>69</v>
      </c>
      <c r="AQ86" t="s">
        <v>1998</v>
      </c>
      <c r="AR86" t="s">
        <v>70</v>
      </c>
      <c r="AS86">
        <v>302</v>
      </c>
      <c r="AT86" t="s">
        <v>71</v>
      </c>
      <c r="AU86">
        <v>56.26</v>
      </c>
      <c r="AV86">
        <v>34.409999999999997</v>
      </c>
      <c r="AW86" t="s">
        <v>72</v>
      </c>
      <c r="AX86">
        <v>301</v>
      </c>
      <c r="AY86" t="s">
        <v>71</v>
      </c>
      <c r="AZ86">
        <v>47.27</v>
      </c>
      <c r="BA86">
        <v>29.46</v>
      </c>
      <c r="BB86" t="s">
        <v>73</v>
      </c>
    </row>
    <row r="87" spans="1:54" x14ac:dyDescent="0.4">
      <c r="A87">
        <v>1382837</v>
      </c>
      <c r="D87" t="s">
        <v>54</v>
      </c>
      <c r="G87">
        <v>1</v>
      </c>
      <c r="H87" t="s">
        <v>56</v>
      </c>
      <c r="I87" t="s">
        <v>57</v>
      </c>
      <c r="K87" t="s">
        <v>80</v>
      </c>
      <c r="L87" t="s">
        <v>1999</v>
      </c>
      <c r="M87" t="s">
        <v>59</v>
      </c>
      <c r="P87" t="s">
        <v>169</v>
      </c>
      <c r="Q87" t="s">
        <v>259</v>
      </c>
      <c r="R87" t="s">
        <v>138</v>
      </c>
      <c r="S87" t="s">
        <v>98</v>
      </c>
      <c r="T87">
        <v>264.27999999999997</v>
      </c>
      <c r="U87">
        <v>256.8</v>
      </c>
      <c r="V87">
        <f>(T87+U87)/2</f>
        <v>260.53999999999996</v>
      </c>
      <c r="W87">
        <f>T87-U87</f>
        <v>7.4799999999999613</v>
      </c>
      <c r="X87">
        <v>46.477778999999998</v>
      </c>
      <c r="Y87">
        <v>60.926665999999997</v>
      </c>
      <c r="Z87" t="s">
        <v>99</v>
      </c>
      <c r="AA87" t="s">
        <v>139</v>
      </c>
      <c r="AD87" t="s">
        <v>2000</v>
      </c>
      <c r="AG87" t="s">
        <v>1118</v>
      </c>
      <c r="AH87" t="s">
        <v>65</v>
      </c>
      <c r="AI87" t="s">
        <v>2001</v>
      </c>
      <c r="AJ87">
        <v>2009</v>
      </c>
      <c r="AK87" t="s">
        <v>1117</v>
      </c>
      <c r="AN87" t="s">
        <v>121</v>
      </c>
      <c r="AO87" t="s">
        <v>68</v>
      </c>
      <c r="AP87" t="s">
        <v>69</v>
      </c>
      <c r="AR87" t="s">
        <v>70</v>
      </c>
      <c r="AS87">
        <v>302</v>
      </c>
      <c r="AT87" t="s">
        <v>71</v>
      </c>
      <c r="AU87">
        <v>47</v>
      </c>
      <c r="AV87">
        <v>39.39</v>
      </c>
      <c r="AW87" t="s">
        <v>72</v>
      </c>
      <c r="AX87">
        <v>301</v>
      </c>
      <c r="AY87" t="s">
        <v>71</v>
      </c>
      <c r="AZ87">
        <v>37.799999999999997</v>
      </c>
      <c r="BA87">
        <v>33.229999999999997</v>
      </c>
      <c r="BB87" t="s">
        <v>73</v>
      </c>
    </row>
    <row r="88" spans="1:54" x14ac:dyDescent="0.4">
      <c r="A88">
        <v>1417264</v>
      </c>
      <c r="D88" t="s">
        <v>54</v>
      </c>
      <c r="I88" t="s">
        <v>57</v>
      </c>
      <c r="K88" t="s">
        <v>247</v>
      </c>
      <c r="L88" t="s">
        <v>258</v>
      </c>
      <c r="M88" t="s">
        <v>59</v>
      </c>
      <c r="O88" t="s">
        <v>107</v>
      </c>
      <c r="P88" t="s">
        <v>169</v>
      </c>
      <c r="Q88" t="s">
        <v>259</v>
      </c>
      <c r="R88" t="s">
        <v>138</v>
      </c>
      <c r="S88" t="s">
        <v>98</v>
      </c>
      <c r="T88">
        <v>264.27999999999997</v>
      </c>
      <c r="U88">
        <v>256.8</v>
      </c>
      <c r="V88">
        <f>(T88+U88)/2</f>
        <v>260.53999999999996</v>
      </c>
      <c r="W88">
        <f>T88-U88</f>
        <v>7.4799999999999613</v>
      </c>
      <c r="X88">
        <v>55</v>
      </c>
      <c r="Y88">
        <v>51.166668000000001</v>
      </c>
      <c r="Z88" t="s">
        <v>99</v>
      </c>
      <c r="AA88" t="s">
        <v>139</v>
      </c>
      <c r="AB88" t="s">
        <v>316</v>
      </c>
      <c r="AC88" t="s">
        <v>1175</v>
      </c>
      <c r="AG88" t="s">
        <v>1118</v>
      </c>
      <c r="AH88" t="s">
        <v>11</v>
      </c>
      <c r="AI88" t="s">
        <v>716</v>
      </c>
      <c r="AJ88">
        <v>2005</v>
      </c>
      <c r="AK88" t="s">
        <v>2137</v>
      </c>
      <c r="AM88" t="s">
        <v>2138</v>
      </c>
      <c r="AN88" t="s">
        <v>94</v>
      </c>
      <c r="AO88" t="s">
        <v>106</v>
      </c>
      <c r="AP88" t="s">
        <v>314</v>
      </c>
      <c r="AQ88" t="s">
        <v>2139</v>
      </c>
      <c r="AR88" t="s">
        <v>70</v>
      </c>
      <c r="AS88">
        <v>302</v>
      </c>
      <c r="AT88" t="s">
        <v>71</v>
      </c>
      <c r="AU88">
        <v>58.46</v>
      </c>
      <c r="AV88">
        <v>33.65</v>
      </c>
      <c r="AW88" t="s">
        <v>72</v>
      </c>
      <c r="AX88">
        <v>301</v>
      </c>
      <c r="AY88" t="s">
        <v>71</v>
      </c>
      <c r="AZ88">
        <v>49.47</v>
      </c>
      <c r="BA88">
        <v>29</v>
      </c>
      <c r="BB88" t="s">
        <v>73</v>
      </c>
    </row>
    <row r="89" spans="1:54" x14ac:dyDescent="0.4">
      <c r="A89">
        <v>279623</v>
      </c>
      <c r="D89" t="s">
        <v>54</v>
      </c>
      <c r="G89">
        <v>1</v>
      </c>
      <c r="H89" t="s">
        <v>56</v>
      </c>
      <c r="I89" t="s">
        <v>57</v>
      </c>
      <c r="K89" t="s">
        <v>102</v>
      </c>
      <c r="L89" t="s">
        <v>168</v>
      </c>
      <c r="M89" t="s">
        <v>59</v>
      </c>
      <c r="O89" t="s">
        <v>107</v>
      </c>
      <c r="P89" t="s">
        <v>169</v>
      </c>
      <c r="R89" t="s">
        <v>138</v>
      </c>
      <c r="S89" t="s">
        <v>98</v>
      </c>
      <c r="T89">
        <v>264.27999999999997</v>
      </c>
      <c r="U89">
        <v>259.51</v>
      </c>
      <c r="V89">
        <f>(T89+U89)/2</f>
        <v>261.89499999999998</v>
      </c>
      <c r="W89">
        <f>T89-U89</f>
        <v>4.7699999999999818</v>
      </c>
      <c r="X89">
        <v>21.795279000000001</v>
      </c>
      <c r="Y89">
        <v>-32.328609</v>
      </c>
      <c r="Z89" t="s">
        <v>126</v>
      </c>
      <c r="AA89" t="s">
        <v>86</v>
      </c>
      <c r="AB89" t="s">
        <v>170</v>
      </c>
      <c r="AC89" t="s">
        <v>171</v>
      </c>
      <c r="AD89" t="s">
        <v>172</v>
      </c>
      <c r="AE89" t="s">
        <v>90</v>
      </c>
      <c r="AG89" t="s">
        <v>173</v>
      </c>
      <c r="AH89" t="s">
        <v>65</v>
      </c>
      <c r="AI89" t="s">
        <v>174</v>
      </c>
      <c r="AJ89">
        <v>1929</v>
      </c>
      <c r="AK89" t="s">
        <v>175</v>
      </c>
      <c r="AM89" t="s">
        <v>176</v>
      </c>
      <c r="AN89" t="s">
        <v>177</v>
      </c>
      <c r="AO89" t="s">
        <v>68</v>
      </c>
      <c r="AP89" t="s">
        <v>95</v>
      </c>
      <c r="AQ89" t="s">
        <v>178</v>
      </c>
      <c r="AR89" t="s">
        <v>70</v>
      </c>
      <c r="AS89">
        <v>701</v>
      </c>
      <c r="AT89" t="s">
        <v>71</v>
      </c>
      <c r="AU89">
        <v>-27.73</v>
      </c>
      <c r="AV89">
        <v>-52.68</v>
      </c>
      <c r="AW89" t="s">
        <v>72</v>
      </c>
      <c r="AX89">
        <v>701</v>
      </c>
      <c r="AY89" t="s">
        <v>71</v>
      </c>
      <c r="AZ89">
        <v>-34.36</v>
      </c>
      <c r="BA89">
        <v>-58.88</v>
      </c>
      <c r="BB89" t="s">
        <v>73</v>
      </c>
    </row>
    <row r="90" spans="1:54" x14ac:dyDescent="0.4">
      <c r="A90">
        <v>299715</v>
      </c>
      <c r="D90" t="s">
        <v>246</v>
      </c>
      <c r="G90">
        <v>1</v>
      </c>
      <c r="H90" t="s">
        <v>56</v>
      </c>
      <c r="I90" t="s">
        <v>57</v>
      </c>
      <c r="K90" t="s">
        <v>247</v>
      </c>
      <c r="L90" t="s">
        <v>248</v>
      </c>
      <c r="M90" t="s">
        <v>59</v>
      </c>
      <c r="O90" t="s">
        <v>107</v>
      </c>
      <c r="P90" t="s">
        <v>169</v>
      </c>
      <c r="R90" t="s">
        <v>138</v>
      </c>
      <c r="S90" t="s">
        <v>98</v>
      </c>
      <c r="T90">
        <v>264.27999999999997</v>
      </c>
      <c r="U90">
        <v>259.51</v>
      </c>
      <c r="V90">
        <f>(T90+U90)/2</f>
        <v>261.89499999999998</v>
      </c>
      <c r="W90">
        <f>T90-U90</f>
        <v>4.7699999999999818</v>
      </c>
      <c r="X90">
        <v>48.351664999999997</v>
      </c>
      <c r="Y90">
        <v>58.150002000000001</v>
      </c>
      <c r="Z90" t="s">
        <v>99</v>
      </c>
      <c r="AA90" t="s">
        <v>139</v>
      </c>
      <c r="AB90" t="s">
        <v>249</v>
      </c>
      <c r="AC90" t="s">
        <v>250</v>
      </c>
      <c r="AD90" t="s">
        <v>251</v>
      </c>
      <c r="AE90" t="s">
        <v>250</v>
      </c>
      <c r="AF90" t="s">
        <v>252</v>
      </c>
      <c r="AG90" t="s">
        <v>253</v>
      </c>
      <c r="AH90" t="s">
        <v>65</v>
      </c>
      <c r="AI90" t="s">
        <v>254</v>
      </c>
      <c r="AJ90">
        <v>1937</v>
      </c>
      <c r="AK90" t="s">
        <v>255</v>
      </c>
      <c r="AM90" t="s">
        <v>256</v>
      </c>
      <c r="AN90" t="s">
        <v>121</v>
      </c>
      <c r="AO90" t="s">
        <v>106</v>
      </c>
      <c r="AP90" t="s">
        <v>69</v>
      </c>
      <c r="AQ90" t="s">
        <v>257</v>
      </c>
      <c r="AR90" t="s">
        <v>70</v>
      </c>
      <c r="AS90">
        <v>302</v>
      </c>
      <c r="AT90" t="s">
        <v>71</v>
      </c>
      <c r="AU90">
        <v>49.9</v>
      </c>
      <c r="AV90">
        <v>37.54</v>
      </c>
      <c r="AW90" t="s">
        <v>72</v>
      </c>
      <c r="AX90">
        <v>301</v>
      </c>
      <c r="AY90" t="s">
        <v>71</v>
      </c>
      <c r="AZ90">
        <v>40.799999999999997</v>
      </c>
      <c r="BA90">
        <v>31.74</v>
      </c>
      <c r="BB90" t="s">
        <v>73</v>
      </c>
    </row>
    <row r="91" spans="1:54" x14ac:dyDescent="0.4">
      <c r="A91">
        <v>790206</v>
      </c>
      <c r="D91" t="s">
        <v>246</v>
      </c>
      <c r="G91">
        <v>1</v>
      </c>
      <c r="H91" t="s">
        <v>56</v>
      </c>
      <c r="I91" t="s">
        <v>57</v>
      </c>
      <c r="K91" t="s">
        <v>135</v>
      </c>
      <c r="L91" t="s">
        <v>713</v>
      </c>
      <c r="M91" t="s">
        <v>59</v>
      </c>
      <c r="P91" t="s">
        <v>169</v>
      </c>
      <c r="R91" t="s">
        <v>138</v>
      </c>
      <c r="S91" t="s">
        <v>98</v>
      </c>
      <c r="T91">
        <v>264.27999999999997</v>
      </c>
      <c r="U91">
        <v>259.51</v>
      </c>
      <c r="V91">
        <f>(T91+U91)/2</f>
        <v>261.89499999999998</v>
      </c>
      <c r="W91">
        <f>T91-U91</f>
        <v>4.7699999999999818</v>
      </c>
      <c r="X91">
        <v>48.351664999999997</v>
      </c>
      <c r="Y91">
        <v>58.150002000000001</v>
      </c>
      <c r="Z91" t="s">
        <v>99</v>
      </c>
      <c r="AA91" t="s">
        <v>139</v>
      </c>
      <c r="AB91" t="s">
        <v>249</v>
      </c>
      <c r="AC91" t="s">
        <v>250</v>
      </c>
      <c r="AD91" t="s">
        <v>251</v>
      </c>
      <c r="AE91" t="s">
        <v>250</v>
      </c>
      <c r="AF91" t="s">
        <v>252</v>
      </c>
      <c r="AG91" t="s">
        <v>253</v>
      </c>
      <c r="AH91" t="s">
        <v>65</v>
      </c>
      <c r="AI91" t="s">
        <v>207</v>
      </c>
      <c r="AJ91">
        <v>1997</v>
      </c>
      <c r="AK91" t="s">
        <v>255</v>
      </c>
      <c r="AM91" t="s">
        <v>256</v>
      </c>
      <c r="AN91" t="s">
        <v>121</v>
      </c>
      <c r="AO91" t="s">
        <v>106</v>
      </c>
      <c r="AP91" t="s">
        <v>69</v>
      </c>
      <c r="AQ91" t="s">
        <v>257</v>
      </c>
      <c r="AR91" t="s">
        <v>70</v>
      </c>
      <c r="AS91">
        <v>302</v>
      </c>
      <c r="AT91" t="s">
        <v>71</v>
      </c>
      <c r="AU91">
        <v>49.9</v>
      </c>
      <c r="AV91">
        <v>37.54</v>
      </c>
      <c r="AW91" t="s">
        <v>72</v>
      </c>
      <c r="AX91">
        <v>301</v>
      </c>
      <c r="AY91" t="s">
        <v>71</v>
      </c>
      <c r="AZ91">
        <v>40.799999999999997</v>
      </c>
      <c r="BA91">
        <v>31.74</v>
      </c>
      <c r="BB91" t="s">
        <v>73</v>
      </c>
    </row>
    <row r="92" spans="1:54" x14ac:dyDescent="0.4">
      <c r="A92">
        <v>790206</v>
      </c>
      <c r="D92" t="s">
        <v>246</v>
      </c>
      <c r="G92">
        <v>1</v>
      </c>
      <c r="H92" t="s">
        <v>56</v>
      </c>
      <c r="I92" t="s">
        <v>57</v>
      </c>
      <c r="K92" t="s">
        <v>135</v>
      </c>
      <c r="L92" t="s">
        <v>713</v>
      </c>
      <c r="M92" t="s">
        <v>59</v>
      </c>
      <c r="P92" t="s">
        <v>169</v>
      </c>
      <c r="R92" t="s">
        <v>138</v>
      </c>
      <c r="S92" t="s">
        <v>98</v>
      </c>
      <c r="T92">
        <v>264.27999999999997</v>
      </c>
      <c r="U92">
        <v>259.51</v>
      </c>
      <c r="V92">
        <f>(T92+U92)/2</f>
        <v>261.89499999999998</v>
      </c>
      <c r="W92">
        <f>T92-U92</f>
        <v>4.7699999999999818</v>
      </c>
      <c r="X92">
        <v>48.351664999999997</v>
      </c>
      <c r="Y92">
        <v>58.150002000000001</v>
      </c>
      <c r="Z92" t="s">
        <v>99</v>
      </c>
      <c r="AA92" t="s">
        <v>139</v>
      </c>
      <c r="AB92" t="s">
        <v>249</v>
      </c>
      <c r="AC92" t="s">
        <v>250</v>
      </c>
      <c r="AD92" t="s">
        <v>251</v>
      </c>
      <c r="AE92" t="s">
        <v>250</v>
      </c>
      <c r="AF92" t="s">
        <v>252</v>
      </c>
      <c r="AG92" t="s">
        <v>253</v>
      </c>
      <c r="AH92" t="s">
        <v>65</v>
      </c>
      <c r="AI92" t="s">
        <v>207</v>
      </c>
      <c r="AJ92">
        <v>1997</v>
      </c>
      <c r="AK92" t="s">
        <v>255</v>
      </c>
      <c r="AM92" t="s">
        <v>256</v>
      </c>
      <c r="AN92" t="s">
        <v>121</v>
      </c>
      <c r="AO92" t="s">
        <v>106</v>
      </c>
      <c r="AP92" t="s">
        <v>69</v>
      </c>
      <c r="AQ92" t="s">
        <v>257</v>
      </c>
      <c r="AR92" t="s">
        <v>70</v>
      </c>
      <c r="AS92">
        <v>302</v>
      </c>
      <c r="AT92" t="s">
        <v>71</v>
      </c>
      <c r="AU92">
        <v>49.9</v>
      </c>
      <c r="AV92">
        <v>37.54</v>
      </c>
      <c r="AW92" t="s">
        <v>72</v>
      </c>
      <c r="AX92">
        <v>301</v>
      </c>
      <c r="AY92" t="s">
        <v>71</v>
      </c>
      <c r="AZ92">
        <v>40.799999999999997</v>
      </c>
      <c r="BA92">
        <v>31.74</v>
      </c>
      <c r="BB92" t="s">
        <v>73</v>
      </c>
    </row>
    <row r="93" spans="1:54" x14ac:dyDescent="0.4">
      <c r="A93">
        <v>790206</v>
      </c>
      <c r="D93" t="s">
        <v>246</v>
      </c>
      <c r="G93">
        <v>1</v>
      </c>
      <c r="H93" t="s">
        <v>56</v>
      </c>
      <c r="I93" t="s">
        <v>57</v>
      </c>
      <c r="K93" t="s">
        <v>135</v>
      </c>
      <c r="L93" t="s">
        <v>713</v>
      </c>
      <c r="M93" t="s">
        <v>59</v>
      </c>
      <c r="P93" t="s">
        <v>169</v>
      </c>
      <c r="R93" t="s">
        <v>138</v>
      </c>
      <c r="S93" t="s">
        <v>98</v>
      </c>
      <c r="T93">
        <v>264.27999999999997</v>
      </c>
      <c r="U93">
        <v>259.51</v>
      </c>
      <c r="V93">
        <f>(T93+U93)/2</f>
        <v>261.89499999999998</v>
      </c>
      <c r="W93">
        <f>T93-U93</f>
        <v>4.7699999999999818</v>
      </c>
      <c r="X93">
        <v>48.351664999999997</v>
      </c>
      <c r="Y93">
        <v>58.150002000000001</v>
      </c>
      <c r="Z93" t="s">
        <v>99</v>
      </c>
      <c r="AA93" t="s">
        <v>139</v>
      </c>
      <c r="AB93" t="s">
        <v>249</v>
      </c>
      <c r="AC93" t="s">
        <v>250</v>
      </c>
      <c r="AD93" t="s">
        <v>251</v>
      </c>
      <c r="AE93" t="s">
        <v>250</v>
      </c>
      <c r="AF93" t="s">
        <v>252</v>
      </c>
      <c r="AG93" t="s">
        <v>253</v>
      </c>
      <c r="AH93" t="s">
        <v>65</v>
      </c>
      <c r="AI93" t="s">
        <v>207</v>
      </c>
      <c r="AJ93">
        <v>1997</v>
      </c>
      <c r="AK93" t="s">
        <v>255</v>
      </c>
      <c r="AM93" t="s">
        <v>256</v>
      </c>
      <c r="AN93" t="s">
        <v>121</v>
      </c>
      <c r="AO93" t="s">
        <v>106</v>
      </c>
      <c r="AP93" t="s">
        <v>69</v>
      </c>
      <c r="AQ93" t="s">
        <v>257</v>
      </c>
      <c r="AR93" t="s">
        <v>70</v>
      </c>
      <c r="AS93">
        <v>302</v>
      </c>
      <c r="AT93" t="s">
        <v>71</v>
      </c>
      <c r="AU93">
        <v>49.9</v>
      </c>
      <c r="AV93">
        <v>37.54</v>
      </c>
      <c r="AW93" t="s">
        <v>72</v>
      </c>
      <c r="AX93">
        <v>301</v>
      </c>
      <c r="AY93" t="s">
        <v>71</v>
      </c>
      <c r="AZ93">
        <v>40.799999999999997</v>
      </c>
      <c r="BA93">
        <v>31.74</v>
      </c>
      <c r="BB93" t="s">
        <v>73</v>
      </c>
    </row>
    <row r="94" spans="1:54" x14ac:dyDescent="0.4">
      <c r="A94">
        <v>790206</v>
      </c>
      <c r="D94" t="s">
        <v>246</v>
      </c>
      <c r="G94">
        <v>1</v>
      </c>
      <c r="H94" t="s">
        <v>56</v>
      </c>
      <c r="I94" t="s">
        <v>57</v>
      </c>
      <c r="K94" t="s">
        <v>135</v>
      </c>
      <c r="L94" t="s">
        <v>713</v>
      </c>
      <c r="M94" t="s">
        <v>59</v>
      </c>
      <c r="P94" t="s">
        <v>169</v>
      </c>
      <c r="R94" t="s">
        <v>138</v>
      </c>
      <c r="S94" t="s">
        <v>98</v>
      </c>
      <c r="T94">
        <v>264.27999999999997</v>
      </c>
      <c r="U94">
        <v>259.51</v>
      </c>
      <c r="V94">
        <f>(T94+U94)/2</f>
        <v>261.89499999999998</v>
      </c>
      <c r="W94">
        <f>T94-U94</f>
        <v>4.7699999999999818</v>
      </c>
      <c r="X94">
        <v>48.351664999999997</v>
      </c>
      <c r="Y94">
        <v>58.150002000000001</v>
      </c>
      <c r="Z94" t="s">
        <v>99</v>
      </c>
      <c r="AA94" t="s">
        <v>139</v>
      </c>
      <c r="AB94" t="s">
        <v>249</v>
      </c>
      <c r="AC94" t="s">
        <v>250</v>
      </c>
      <c r="AD94" t="s">
        <v>251</v>
      </c>
      <c r="AE94" t="s">
        <v>250</v>
      </c>
      <c r="AF94" t="s">
        <v>252</v>
      </c>
      <c r="AG94" t="s">
        <v>253</v>
      </c>
      <c r="AH94" t="s">
        <v>65</v>
      </c>
      <c r="AI94" t="s">
        <v>207</v>
      </c>
      <c r="AJ94">
        <v>1997</v>
      </c>
      <c r="AK94" t="s">
        <v>255</v>
      </c>
      <c r="AM94" t="s">
        <v>256</v>
      </c>
      <c r="AN94" t="s">
        <v>121</v>
      </c>
      <c r="AO94" t="s">
        <v>106</v>
      </c>
      <c r="AP94" t="s">
        <v>69</v>
      </c>
      <c r="AQ94" t="s">
        <v>257</v>
      </c>
      <c r="AR94" t="s">
        <v>70</v>
      </c>
      <c r="AS94">
        <v>302</v>
      </c>
      <c r="AT94" t="s">
        <v>71</v>
      </c>
      <c r="AU94">
        <v>49.9</v>
      </c>
      <c r="AV94">
        <v>37.54</v>
      </c>
      <c r="AW94" t="s">
        <v>72</v>
      </c>
      <c r="AX94">
        <v>301</v>
      </c>
      <c r="AY94" t="s">
        <v>71</v>
      </c>
      <c r="AZ94">
        <v>40.799999999999997</v>
      </c>
      <c r="BA94">
        <v>31.74</v>
      </c>
      <c r="BB94" t="s">
        <v>73</v>
      </c>
    </row>
    <row r="95" spans="1:54" x14ac:dyDescent="0.4">
      <c r="A95">
        <v>790206</v>
      </c>
      <c r="D95" t="s">
        <v>246</v>
      </c>
      <c r="G95">
        <v>1</v>
      </c>
      <c r="H95" t="s">
        <v>56</v>
      </c>
      <c r="I95" t="s">
        <v>57</v>
      </c>
      <c r="K95" t="s">
        <v>135</v>
      </c>
      <c r="L95" t="s">
        <v>713</v>
      </c>
      <c r="M95" t="s">
        <v>59</v>
      </c>
      <c r="P95" t="s">
        <v>169</v>
      </c>
      <c r="R95" t="s">
        <v>138</v>
      </c>
      <c r="S95" t="s">
        <v>98</v>
      </c>
      <c r="T95">
        <v>264.27999999999997</v>
      </c>
      <c r="U95">
        <v>259.51</v>
      </c>
      <c r="V95">
        <f>(T95+U95)/2</f>
        <v>261.89499999999998</v>
      </c>
      <c r="W95">
        <f>T95-U95</f>
        <v>4.7699999999999818</v>
      </c>
      <c r="X95">
        <v>48.351664999999997</v>
      </c>
      <c r="Y95">
        <v>58.150002000000001</v>
      </c>
      <c r="Z95" t="s">
        <v>99</v>
      </c>
      <c r="AA95" t="s">
        <v>139</v>
      </c>
      <c r="AB95" t="s">
        <v>249</v>
      </c>
      <c r="AC95" t="s">
        <v>250</v>
      </c>
      <c r="AD95" t="s">
        <v>251</v>
      </c>
      <c r="AE95" t="s">
        <v>250</v>
      </c>
      <c r="AF95" t="s">
        <v>252</v>
      </c>
      <c r="AG95" t="s">
        <v>253</v>
      </c>
      <c r="AH95" t="s">
        <v>65</v>
      </c>
      <c r="AI95" t="s">
        <v>207</v>
      </c>
      <c r="AJ95">
        <v>1997</v>
      </c>
      <c r="AK95" t="s">
        <v>255</v>
      </c>
      <c r="AM95" t="s">
        <v>256</v>
      </c>
      <c r="AN95" t="s">
        <v>121</v>
      </c>
      <c r="AO95" t="s">
        <v>106</v>
      </c>
      <c r="AP95" t="s">
        <v>69</v>
      </c>
      <c r="AQ95" t="s">
        <v>257</v>
      </c>
      <c r="AR95" t="s">
        <v>70</v>
      </c>
      <c r="AS95">
        <v>302</v>
      </c>
      <c r="AT95" t="s">
        <v>71</v>
      </c>
      <c r="AU95">
        <v>49.9</v>
      </c>
      <c r="AV95">
        <v>37.54</v>
      </c>
      <c r="AW95" t="s">
        <v>72</v>
      </c>
      <c r="AX95">
        <v>301</v>
      </c>
      <c r="AY95" t="s">
        <v>71</v>
      </c>
      <c r="AZ95">
        <v>40.799999999999997</v>
      </c>
      <c r="BA95">
        <v>31.74</v>
      </c>
      <c r="BB95" t="s">
        <v>73</v>
      </c>
    </row>
    <row r="96" spans="1:54" x14ac:dyDescent="0.4">
      <c r="A96">
        <v>790206</v>
      </c>
      <c r="D96" t="s">
        <v>246</v>
      </c>
      <c r="G96">
        <v>1</v>
      </c>
      <c r="H96" t="s">
        <v>56</v>
      </c>
      <c r="I96" t="s">
        <v>57</v>
      </c>
      <c r="K96" t="s">
        <v>135</v>
      </c>
      <c r="L96" t="s">
        <v>713</v>
      </c>
      <c r="M96" t="s">
        <v>59</v>
      </c>
      <c r="P96" t="s">
        <v>169</v>
      </c>
      <c r="R96" t="s">
        <v>138</v>
      </c>
      <c r="S96" t="s">
        <v>98</v>
      </c>
      <c r="T96">
        <v>264.27999999999997</v>
      </c>
      <c r="U96">
        <v>259.51</v>
      </c>
      <c r="V96">
        <f>(T96+U96)/2</f>
        <v>261.89499999999998</v>
      </c>
      <c r="W96">
        <f>T96-U96</f>
        <v>4.7699999999999818</v>
      </c>
      <c r="X96">
        <v>48.351664999999997</v>
      </c>
      <c r="Y96">
        <v>58.150002000000001</v>
      </c>
      <c r="Z96" t="s">
        <v>99</v>
      </c>
      <c r="AA96" t="s">
        <v>139</v>
      </c>
      <c r="AB96" t="s">
        <v>249</v>
      </c>
      <c r="AC96" t="s">
        <v>250</v>
      </c>
      <c r="AD96" t="s">
        <v>251</v>
      </c>
      <c r="AE96" t="s">
        <v>250</v>
      </c>
      <c r="AF96" t="s">
        <v>252</v>
      </c>
      <c r="AG96" t="s">
        <v>253</v>
      </c>
      <c r="AH96" t="s">
        <v>65</v>
      </c>
      <c r="AI96" t="s">
        <v>207</v>
      </c>
      <c r="AJ96">
        <v>1997</v>
      </c>
      <c r="AK96" t="s">
        <v>255</v>
      </c>
      <c r="AM96" t="s">
        <v>256</v>
      </c>
      <c r="AN96" t="s">
        <v>121</v>
      </c>
      <c r="AO96" t="s">
        <v>106</v>
      </c>
      <c r="AP96" t="s">
        <v>69</v>
      </c>
      <c r="AQ96" t="s">
        <v>257</v>
      </c>
      <c r="AR96" t="s">
        <v>70</v>
      </c>
      <c r="AS96">
        <v>302</v>
      </c>
      <c r="AT96" t="s">
        <v>71</v>
      </c>
      <c r="AU96">
        <v>49.9</v>
      </c>
      <c r="AV96">
        <v>37.54</v>
      </c>
      <c r="AW96" t="s">
        <v>72</v>
      </c>
      <c r="AX96">
        <v>301</v>
      </c>
      <c r="AY96" t="s">
        <v>71</v>
      </c>
      <c r="AZ96">
        <v>40.799999999999997</v>
      </c>
      <c r="BA96">
        <v>31.74</v>
      </c>
      <c r="BB96" t="s">
        <v>73</v>
      </c>
    </row>
    <row r="97" spans="1:54" x14ac:dyDescent="0.4">
      <c r="A97">
        <v>790206</v>
      </c>
      <c r="D97" t="s">
        <v>246</v>
      </c>
      <c r="G97">
        <v>1</v>
      </c>
      <c r="H97" t="s">
        <v>56</v>
      </c>
      <c r="I97" t="s">
        <v>57</v>
      </c>
      <c r="K97" t="s">
        <v>135</v>
      </c>
      <c r="L97" t="s">
        <v>713</v>
      </c>
      <c r="M97" t="s">
        <v>59</v>
      </c>
      <c r="P97" t="s">
        <v>169</v>
      </c>
      <c r="R97" t="s">
        <v>138</v>
      </c>
      <c r="S97" t="s">
        <v>98</v>
      </c>
      <c r="T97">
        <v>264.27999999999997</v>
      </c>
      <c r="U97">
        <v>259.51</v>
      </c>
      <c r="V97">
        <f>(T97+U97)/2</f>
        <v>261.89499999999998</v>
      </c>
      <c r="W97">
        <f>T97-U97</f>
        <v>4.7699999999999818</v>
      </c>
      <c r="X97">
        <v>48.351664999999997</v>
      </c>
      <c r="Y97">
        <v>58.150002000000001</v>
      </c>
      <c r="Z97" t="s">
        <v>99</v>
      </c>
      <c r="AA97" t="s">
        <v>139</v>
      </c>
      <c r="AB97" t="s">
        <v>249</v>
      </c>
      <c r="AC97" t="s">
        <v>250</v>
      </c>
      <c r="AD97" t="s">
        <v>251</v>
      </c>
      <c r="AE97" t="s">
        <v>250</v>
      </c>
      <c r="AF97" t="s">
        <v>252</v>
      </c>
      <c r="AG97" t="s">
        <v>253</v>
      </c>
      <c r="AH97" t="s">
        <v>65</v>
      </c>
      <c r="AI97" t="s">
        <v>207</v>
      </c>
      <c r="AJ97">
        <v>1997</v>
      </c>
      <c r="AK97" t="s">
        <v>255</v>
      </c>
      <c r="AM97" t="s">
        <v>256</v>
      </c>
      <c r="AN97" t="s">
        <v>121</v>
      </c>
      <c r="AO97" t="s">
        <v>106</v>
      </c>
      <c r="AP97" t="s">
        <v>69</v>
      </c>
      <c r="AQ97" t="s">
        <v>257</v>
      </c>
      <c r="AR97" t="s">
        <v>70</v>
      </c>
      <c r="AS97">
        <v>302</v>
      </c>
      <c r="AT97" t="s">
        <v>71</v>
      </c>
      <c r="AU97">
        <v>49.9</v>
      </c>
      <c r="AV97">
        <v>37.54</v>
      </c>
      <c r="AW97" t="s">
        <v>72</v>
      </c>
      <c r="AX97">
        <v>301</v>
      </c>
      <c r="AY97" t="s">
        <v>71</v>
      </c>
      <c r="AZ97">
        <v>40.799999999999997</v>
      </c>
      <c r="BA97">
        <v>31.74</v>
      </c>
      <c r="BB97" t="s">
        <v>73</v>
      </c>
    </row>
    <row r="98" spans="1:54" x14ac:dyDescent="0.4">
      <c r="A98">
        <v>808649</v>
      </c>
      <c r="D98" t="s">
        <v>54</v>
      </c>
      <c r="E98" t="s">
        <v>55</v>
      </c>
      <c r="G98">
        <v>1</v>
      </c>
      <c r="H98" t="s">
        <v>56</v>
      </c>
      <c r="I98" t="s">
        <v>57</v>
      </c>
      <c r="K98" t="s">
        <v>102</v>
      </c>
      <c r="L98" t="s">
        <v>902</v>
      </c>
      <c r="M98" t="s">
        <v>59</v>
      </c>
      <c r="P98" t="s">
        <v>169</v>
      </c>
      <c r="R98" t="s">
        <v>138</v>
      </c>
      <c r="S98" t="s">
        <v>98</v>
      </c>
      <c r="T98">
        <v>264.27999999999997</v>
      </c>
      <c r="U98">
        <v>259.51</v>
      </c>
      <c r="V98">
        <f>(T98+U98)/2</f>
        <v>261.89499999999998</v>
      </c>
      <c r="W98">
        <f>T98-U98</f>
        <v>4.7699999999999818</v>
      </c>
      <c r="X98">
        <v>22.378332</v>
      </c>
      <c r="Y98">
        <v>-31.135000000000002</v>
      </c>
      <c r="Z98" t="s">
        <v>126</v>
      </c>
      <c r="AA98" t="s">
        <v>86</v>
      </c>
      <c r="AB98" t="s">
        <v>274</v>
      </c>
      <c r="AC98" t="s">
        <v>903</v>
      </c>
      <c r="AD98" t="s">
        <v>172</v>
      </c>
      <c r="AE98" t="s">
        <v>90</v>
      </c>
      <c r="AG98" t="s">
        <v>904</v>
      </c>
      <c r="AH98" t="s">
        <v>65</v>
      </c>
      <c r="AI98" t="s">
        <v>905</v>
      </c>
      <c r="AJ98">
        <v>1999</v>
      </c>
      <c r="AK98" t="s">
        <v>906</v>
      </c>
      <c r="AN98" t="s">
        <v>67</v>
      </c>
      <c r="AO98" t="s">
        <v>68</v>
      </c>
      <c r="AP98" t="s">
        <v>95</v>
      </c>
      <c r="AQ98" t="s">
        <v>907</v>
      </c>
      <c r="AR98" t="s">
        <v>70</v>
      </c>
      <c r="AS98">
        <v>701</v>
      </c>
      <c r="AT98" t="s">
        <v>71</v>
      </c>
      <c r="AU98">
        <v>-25.6</v>
      </c>
      <c r="AV98">
        <v>-52.67</v>
      </c>
      <c r="AW98" t="s">
        <v>72</v>
      </c>
      <c r="AX98">
        <v>701</v>
      </c>
      <c r="AY98" t="s">
        <v>71</v>
      </c>
      <c r="AZ98">
        <v>-31.86</v>
      </c>
      <c r="BA98">
        <v>-58.96</v>
      </c>
      <c r="BB98" t="s">
        <v>73</v>
      </c>
    </row>
    <row r="99" spans="1:54" x14ac:dyDescent="0.4">
      <c r="A99">
        <v>808649</v>
      </c>
      <c r="D99" t="s">
        <v>54</v>
      </c>
      <c r="E99" t="s">
        <v>55</v>
      </c>
      <c r="G99">
        <v>1</v>
      </c>
      <c r="H99" t="s">
        <v>56</v>
      </c>
      <c r="I99" t="s">
        <v>57</v>
      </c>
      <c r="K99" t="s">
        <v>102</v>
      </c>
      <c r="L99" t="s">
        <v>902</v>
      </c>
      <c r="M99" t="s">
        <v>59</v>
      </c>
      <c r="P99" t="s">
        <v>169</v>
      </c>
      <c r="R99" t="s">
        <v>138</v>
      </c>
      <c r="S99" t="s">
        <v>98</v>
      </c>
      <c r="T99">
        <v>264.27999999999997</v>
      </c>
      <c r="U99">
        <v>259.51</v>
      </c>
      <c r="V99">
        <f>(T99+U99)/2</f>
        <v>261.89499999999998</v>
      </c>
      <c r="W99">
        <f>T99-U99</f>
        <v>4.7699999999999818</v>
      </c>
      <c r="X99">
        <v>22.378332</v>
      </c>
      <c r="Y99">
        <v>-31.135000000000002</v>
      </c>
      <c r="Z99" t="s">
        <v>126</v>
      </c>
      <c r="AA99" t="s">
        <v>86</v>
      </c>
      <c r="AB99" t="s">
        <v>274</v>
      </c>
      <c r="AC99" t="s">
        <v>903</v>
      </c>
      <c r="AD99" t="s">
        <v>172</v>
      </c>
      <c r="AE99" t="s">
        <v>90</v>
      </c>
      <c r="AG99" t="s">
        <v>904</v>
      </c>
      <c r="AH99" t="s">
        <v>65</v>
      </c>
      <c r="AI99" t="s">
        <v>905</v>
      </c>
      <c r="AJ99">
        <v>1999</v>
      </c>
      <c r="AK99" t="s">
        <v>906</v>
      </c>
      <c r="AN99" t="s">
        <v>67</v>
      </c>
      <c r="AO99" t="s">
        <v>68</v>
      </c>
      <c r="AP99" t="s">
        <v>95</v>
      </c>
      <c r="AQ99" t="s">
        <v>907</v>
      </c>
      <c r="AR99" t="s">
        <v>70</v>
      </c>
      <c r="AS99">
        <v>701</v>
      </c>
      <c r="AT99" t="s">
        <v>71</v>
      </c>
      <c r="AU99">
        <v>-25.6</v>
      </c>
      <c r="AV99">
        <v>-52.67</v>
      </c>
      <c r="AW99" t="s">
        <v>72</v>
      </c>
      <c r="AX99">
        <v>701</v>
      </c>
      <c r="AY99" t="s">
        <v>71</v>
      </c>
      <c r="AZ99">
        <v>-31.86</v>
      </c>
      <c r="BA99">
        <v>-58.96</v>
      </c>
      <c r="BB99" t="s">
        <v>73</v>
      </c>
    </row>
    <row r="100" spans="1:54" x14ac:dyDescent="0.4">
      <c r="A100">
        <v>814159</v>
      </c>
      <c r="D100" t="s">
        <v>54</v>
      </c>
      <c r="E100" t="s">
        <v>105</v>
      </c>
      <c r="G100">
        <v>1</v>
      </c>
      <c r="H100" t="s">
        <v>56</v>
      </c>
      <c r="I100" t="s">
        <v>57</v>
      </c>
      <c r="K100" t="s">
        <v>102</v>
      </c>
      <c r="L100" t="s">
        <v>968</v>
      </c>
      <c r="M100" t="s">
        <v>59</v>
      </c>
      <c r="P100" t="s">
        <v>169</v>
      </c>
      <c r="R100" t="s">
        <v>138</v>
      </c>
      <c r="S100" t="s">
        <v>98</v>
      </c>
      <c r="T100">
        <v>264.27999999999997</v>
      </c>
      <c r="U100">
        <v>259.51</v>
      </c>
      <c r="V100">
        <f>(T100+U100)/2</f>
        <v>261.89499999999998</v>
      </c>
      <c r="W100">
        <f>T100-U100</f>
        <v>4.7699999999999818</v>
      </c>
      <c r="X100">
        <v>21.225000000000001</v>
      </c>
      <c r="Y100">
        <v>-32.108333999999999</v>
      </c>
      <c r="Z100" t="s">
        <v>126</v>
      </c>
      <c r="AA100" t="s">
        <v>86</v>
      </c>
      <c r="AB100" t="s">
        <v>274</v>
      </c>
      <c r="AC100" t="s">
        <v>969</v>
      </c>
      <c r="AD100" t="s">
        <v>172</v>
      </c>
      <c r="AE100" t="s">
        <v>90</v>
      </c>
      <c r="AG100" t="s">
        <v>970</v>
      </c>
      <c r="AH100" t="s">
        <v>65</v>
      </c>
      <c r="AI100" t="s">
        <v>498</v>
      </c>
      <c r="AJ100">
        <v>2009</v>
      </c>
      <c r="AK100" t="s">
        <v>971</v>
      </c>
      <c r="AM100" t="s">
        <v>972</v>
      </c>
      <c r="AN100" t="s">
        <v>94</v>
      </c>
      <c r="AO100" t="s">
        <v>68</v>
      </c>
      <c r="AP100" t="s">
        <v>69</v>
      </c>
      <c r="AQ100" t="s">
        <v>973</v>
      </c>
      <c r="AR100" t="s">
        <v>70</v>
      </c>
      <c r="AS100">
        <v>701</v>
      </c>
      <c r="AT100" t="s">
        <v>71</v>
      </c>
      <c r="AU100">
        <v>-27.7</v>
      </c>
      <c r="AV100">
        <v>-52.15</v>
      </c>
      <c r="AW100" t="s">
        <v>72</v>
      </c>
      <c r="AX100">
        <v>701</v>
      </c>
      <c r="AY100" t="s">
        <v>71</v>
      </c>
      <c r="AZ100">
        <v>-34.25</v>
      </c>
      <c r="BA100">
        <v>-58.35</v>
      </c>
      <c r="BB100" t="s">
        <v>73</v>
      </c>
    </row>
    <row r="101" spans="1:54" x14ac:dyDescent="0.4">
      <c r="A101">
        <v>814161</v>
      </c>
      <c r="D101" t="s">
        <v>246</v>
      </c>
      <c r="G101">
        <v>1</v>
      </c>
      <c r="H101" t="s">
        <v>56</v>
      </c>
      <c r="I101" t="s">
        <v>57</v>
      </c>
      <c r="K101" t="s">
        <v>247</v>
      </c>
      <c r="L101" t="s">
        <v>248</v>
      </c>
      <c r="M101" t="s">
        <v>59</v>
      </c>
      <c r="O101" t="s">
        <v>107</v>
      </c>
      <c r="P101" t="s">
        <v>169</v>
      </c>
      <c r="R101" t="s">
        <v>138</v>
      </c>
      <c r="S101" t="s">
        <v>98</v>
      </c>
      <c r="T101">
        <v>264.27999999999997</v>
      </c>
      <c r="U101">
        <v>259.51</v>
      </c>
      <c r="V101">
        <f>(T101+U101)/2</f>
        <v>261.89499999999998</v>
      </c>
      <c r="W101">
        <f>T101-U101</f>
        <v>4.7699999999999818</v>
      </c>
      <c r="X101">
        <v>48.351664999999997</v>
      </c>
      <c r="Y101">
        <v>58.150002000000001</v>
      </c>
      <c r="Z101" t="s">
        <v>99</v>
      </c>
      <c r="AA101" t="s">
        <v>139</v>
      </c>
      <c r="AB101" t="s">
        <v>249</v>
      </c>
      <c r="AC101" t="s">
        <v>250</v>
      </c>
      <c r="AD101" t="s">
        <v>251</v>
      </c>
      <c r="AE101" t="s">
        <v>250</v>
      </c>
      <c r="AF101" t="s">
        <v>252</v>
      </c>
      <c r="AG101" t="s">
        <v>253</v>
      </c>
      <c r="AH101" t="s">
        <v>65</v>
      </c>
      <c r="AI101" t="s">
        <v>254</v>
      </c>
      <c r="AJ101">
        <v>1937</v>
      </c>
      <c r="AK101" t="s">
        <v>255</v>
      </c>
      <c r="AM101" t="s">
        <v>256</v>
      </c>
      <c r="AN101" t="s">
        <v>121</v>
      </c>
      <c r="AO101" t="s">
        <v>106</v>
      </c>
      <c r="AP101" t="s">
        <v>69</v>
      </c>
      <c r="AQ101" t="s">
        <v>257</v>
      </c>
      <c r="AR101" t="s">
        <v>70</v>
      </c>
      <c r="AS101">
        <v>302</v>
      </c>
      <c r="AT101" t="s">
        <v>71</v>
      </c>
      <c r="AU101">
        <v>49.9</v>
      </c>
      <c r="AV101">
        <v>37.54</v>
      </c>
      <c r="AW101" t="s">
        <v>72</v>
      </c>
      <c r="AX101">
        <v>301</v>
      </c>
      <c r="AY101" t="s">
        <v>71</v>
      </c>
      <c r="AZ101">
        <v>40.799999999999997</v>
      </c>
      <c r="BA101">
        <v>31.74</v>
      </c>
      <c r="BB101" t="s">
        <v>73</v>
      </c>
    </row>
    <row r="102" spans="1:54" x14ac:dyDescent="0.4">
      <c r="A102">
        <v>814161</v>
      </c>
      <c r="D102" t="s">
        <v>246</v>
      </c>
      <c r="G102">
        <v>1</v>
      </c>
      <c r="H102" t="s">
        <v>56</v>
      </c>
      <c r="I102" t="s">
        <v>57</v>
      </c>
      <c r="K102" t="s">
        <v>247</v>
      </c>
      <c r="L102" t="s">
        <v>248</v>
      </c>
      <c r="M102" t="s">
        <v>59</v>
      </c>
      <c r="O102" t="s">
        <v>107</v>
      </c>
      <c r="P102" t="s">
        <v>169</v>
      </c>
      <c r="R102" t="s">
        <v>138</v>
      </c>
      <c r="S102" t="s">
        <v>98</v>
      </c>
      <c r="T102">
        <v>264.27999999999997</v>
      </c>
      <c r="U102">
        <v>259.51</v>
      </c>
      <c r="V102">
        <f>(T102+U102)/2</f>
        <v>261.89499999999998</v>
      </c>
      <c r="W102">
        <f>T102-U102</f>
        <v>4.7699999999999818</v>
      </c>
      <c r="X102">
        <v>48.351664999999997</v>
      </c>
      <c r="Y102">
        <v>58.150002000000001</v>
      </c>
      <c r="Z102" t="s">
        <v>99</v>
      </c>
      <c r="AA102" t="s">
        <v>139</v>
      </c>
      <c r="AB102" t="s">
        <v>249</v>
      </c>
      <c r="AC102" t="s">
        <v>250</v>
      </c>
      <c r="AD102" t="s">
        <v>251</v>
      </c>
      <c r="AE102" t="s">
        <v>250</v>
      </c>
      <c r="AF102" t="s">
        <v>252</v>
      </c>
      <c r="AG102" t="s">
        <v>253</v>
      </c>
      <c r="AH102" t="s">
        <v>65</v>
      </c>
      <c r="AI102" t="s">
        <v>254</v>
      </c>
      <c r="AJ102">
        <v>1937</v>
      </c>
      <c r="AK102" t="s">
        <v>255</v>
      </c>
      <c r="AM102" t="s">
        <v>256</v>
      </c>
      <c r="AN102" t="s">
        <v>121</v>
      </c>
      <c r="AO102" t="s">
        <v>106</v>
      </c>
      <c r="AP102" t="s">
        <v>69</v>
      </c>
      <c r="AQ102" t="s">
        <v>257</v>
      </c>
      <c r="AR102" t="s">
        <v>70</v>
      </c>
      <c r="AS102">
        <v>302</v>
      </c>
      <c r="AT102" t="s">
        <v>71</v>
      </c>
      <c r="AU102">
        <v>49.9</v>
      </c>
      <c r="AV102">
        <v>37.54</v>
      </c>
      <c r="AW102" t="s">
        <v>72</v>
      </c>
      <c r="AX102">
        <v>301</v>
      </c>
      <c r="AY102" t="s">
        <v>71</v>
      </c>
      <c r="AZ102">
        <v>40.799999999999997</v>
      </c>
      <c r="BA102">
        <v>31.74</v>
      </c>
      <c r="BB102" t="s">
        <v>73</v>
      </c>
    </row>
    <row r="103" spans="1:54" x14ac:dyDescent="0.4">
      <c r="A103">
        <v>814161</v>
      </c>
      <c r="D103" t="s">
        <v>246</v>
      </c>
      <c r="G103">
        <v>1</v>
      </c>
      <c r="H103" t="s">
        <v>56</v>
      </c>
      <c r="I103" t="s">
        <v>57</v>
      </c>
      <c r="K103" t="s">
        <v>247</v>
      </c>
      <c r="L103" t="s">
        <v>248</v>
      </c>
      <c r="M103" t="s">
        <v>59</v>
      </c>
      <c r="O103" t="s">
        <v>107</v>
      </c>
      <c r="P103" t="s">
        <v>169</v>
      </c>
      <c r="R103" t="s">
        <v>138</v>
      </c>
      <c r="S103" t="s">
        <v>98</v>
      </c>
      <c r="T103">
        <v>264.27999999999997</v>
      </c>
      <c r="U103">
        <v>259.51</v>
      </c>
      <c r="V103">
        <f>(T103+U103)/2</f>
        <v>261.89499999999998</v>
      </c>
      <c r="W103">
        <f>T103-U103</f>
        <v>4.7699999999999818</v>
      </c>
      <c r="X103">
        <v>48.351664999999997</v>
      </c>
      <c r="Y103">
        <v>58.150002000000001</v>
      </c>
      <c r="Z103" t="s">
        <v>99</v>
      </c>
      <c r="AA103" t="s">
        <v>139</v>
      </c>
      <c r="AB103" t="s">
        <v>249</v>
      </c>
      <c r="AC103" t="s">
        <v>250</v>
      </c>
      <c r="AD103" t="s">
        <v>251</v>
      </c>
      <c r="AE103" t="s">
        <v>250</v>
      </c>
      <c r="AF103" t="s">
        <v>252</v>
      </c>
      <c r="AG103" t="s">
        <v>253</v>
      </c>
      <c r="AH103" t="s">
        <v>65</v>
      </c>
      <c r="AI103" t="s">
        <v>254</v>
      </c>
      <c r="AJ103">
        <v>1937</v>
      </c>
      <c r="AK103" t="s">
        <v>255</v>
      </c>
      <c r="AM103" t="s">
        <v>256</v>
      </c>
      <c r="AN103" t="s">
        <v>121</v>
      </c>
      <c r="AO103" t="s">
        <v>106</v>
      </c>
      <c r="AP103" t="s">
        <v>69</v>
      </c>
      <c r="AQ103" t="s">
        <v>257</v>
      </c>
      <c r="AR103" t="s">
        <v>70</v>
      </c>
      <c r="AS103">
        <v>302</v>
      </c>
      <c r="AT103" t="s">
        <v>71</v>
      </c>
      <c r="AU103">
        <v>49.9</v>
      </c>
      <c r="AV103">
        <v>37.54</v>
      </c>
      <c r="AW103" t="s">
        <v>72</v>
      </c>
      <c r="AX103">
        <v>301</v>
      </c>
      <c r="AY103" t="s">
        <v>71</v>
      </c>
      <c r="AZ103">
        <v>40.799999999999997</v>
      </c>
      <c r="BA103">
        <v>31.74</v>
      </c>
      <c r="BB103" t="s">
        <v>73</v>
      </c>
    </row>
    <row r="104" spans="1:54" x14ac:dyDescent="0.4">
      <c r="A104">
        <v>814161</v>
      </c>
      <c r="D104" t="s">
        <v>246</v>
      </c>
      <c r="G104">
        <v>1</v>
      </c>
      <c r="H104" t="s">
        <v>56</v>
      </c>
      <c r="I104" t="s">
        <v>57</v>
      </c>
      <c r="K104" t="s">
        <v>247</v>
      </c>
      <c r="L104" t="s">
        <v>248</v>
      </c>
      <c r="M104" t="s">
        <v>59</v>
      </c>
      <c r="O104" t="s">
        <v>107</v>
      </c>
      <c r="P104" t="s">
        <v>169</v>
      </c>
      <c r="R104" t="s">
        <v>138</v>
      </c>
      <c r="S104" t="s">
        <v>98</v>
      </c>
      <c r="T104">
        <v>264.27999999999997</v>
      </c>
      <c r="U104">
        <v>259.51</v>
      </c>
      <c r="V104">
        <f>(T104+U104)/2</f>
        <v>261.89499999999998</v>
      </c>
      <c r="W104">
        <f>T104-U104</f>
        <v>4.7699999999999818</v>
      </c>
      <c r="X104">
        <v>48.351664999999997</v>
      </c>
      <c r="Y104">
        <v>58.150002000000001</v>
      </c>
      <c r="Z104" t="s">
        <v>99</v>
      </c>
      <c r="AA104" t="s">
        <v>139</v>
      </c>
      <c r="AB104" t="s">
        <v>249</v>
      </c>
      <c r="AC104" t="s">
        <v>250</v>
      </c>
      <c r="AD104" t="s">
        <v>251</v>
      </c>
      <c r="AE104" t="s">
        <v>250</v>
      </c>
      <c r="AF104" t="s">
        <v>252</v>
      </c>
      <c r="AG104" t="s">
        <v>253</v>
      </c>
      <c r="AH104" t="s">
        <v>65</v>
      </c>
      <c r="AI104" t="s">
        <v>254</v>
      </c>
      <c r="AJ104">
        <v>1937</v>
      </c>
      <c r="AK104" t="s">
        <v>255</v>
      </c>
      <c r="AM104" t="s">
        <v>256</v>
      </c>
      <c r="AN104" t="s">
        <v>121</v>
      </c>
      <c r="AO104" t="s">
        <v>106</v>
      </c>
      <c r="AP104" t="s">
        <v>69</v>
      </c>
      <c r="AQ104" t="s">
        <v>257</v>
      </c>
      <c r="AR104" t="s">
        <v>70</v>
      </c>
      <c r="AS104">
        <v>302</v>
      </c>
      <c r="AT104" t="s">
        <v>71</v>
      </c>
      <c r="AU104">
        <v>49.9</v>
      </c>
      <c r="AV104">
        <v>37.54</v>
      </c>
      <c r="AW104" t="s">
        <v>72</v>
      </c>
      <c r="AX104">
        <v>301</v>
      </c>
      <c r="AY104" t="s">
        <v>71</v>
      </c>
      <c r="AZ104">
        <v>40.799999999999997</v>
      </c>
      <c r="BA104">
        <v>31.74</v>
      </c>
      <c r="BB104" t="s">
        <v>73</v>
      </c>
    </row>
    <row r="105" spans="1:54" x14ac:dyDescent="0.4">
      <c r="A105">
        <v>814161</v>
      </c>
      <c r="D105" t="s">
        <v>246</v>
      </c>
      <c r="G105">
        <v>1</v>
      </c>
      <c r="H105" t="s">
        <v>56</v>
      </c>
      <c r="I105" t="s">
        <v>57</v>
      </c>
      <c r="K105" t="s">
        <v>247</v>
      </c>
      <c r="L105" t="s">
        <v>248</v>
      </c>
      <c r="M105" t="s">
        <v>59</v>
      </c>
      <c r="O105" t="s">
        <v>107</v>
      </c>
      <c r="P105" t="s">
        <v>169</v>
      </c>
      <c r="R105" t="s">
        <v>138</v>
      </c>
      <c r="S105" t="s">
        <v>98</v>
      </c>
      <c r="T105">
        <v>264.27999999999997</v>
      </c>
      <c r="U105">
        <v>259.51</v>
      </c>
      <c r="V105">
        <f>(T105+U105)/2</f>
        <v>261.89499999999998</v>
      </c>
      <c r="W105">
        <f>T105-U105</f>
        <v>4.7699999999999818</v>
      </c>
      <c r="X105">
        <v>48.351664999999997</v>
      </c>
      <c r="Y105">
        <v>58.150002000000001</v>
      </c>
      <c r="Z105" t="s">
        <v>99</v>
      </c>
      <c r="AA105" t="s">
        <v>139</v>
      </c>
      <c r="AB105" t="s">
        <v>249</v>
      </c>
      <c r="AC105" t="s">
        <v>250</v>
      </c>
      <c r="AD105" t="s">
        <v>251</v>
      </c>
      <c r="AE105" t="s">
        <v>250</v>
      </c>
      <c r="AF105" t="s">
        <v>252</v>
      </c>
      <c r="AG105" t="s">
        <v>253</v>
      </c>
      <c r="AH105" t="s">
        <v>65</v>
      </c>
      <c r="AI105" t="s">
        <v>254</v>
      </c>
      <c r="AJ105">
        <v>1937</v>
      </c>
      <c r="AK105" t="s">
        <v>255</v>
      </c>
      <c r="AM105" t="s">
        <v>256</v>
      </c>
      <c r="AN105" t="s">
        <v>121</v>
      </c>
      <c r="AO105" t="s">
        <v>106</v>
      </c>
      <c r="AP105" t="s">
        <v>69</v>
      </c>
      <c r="AQ105" t="s">
        <v>257</v>
      </c>
      <c r="AR105" t="s">
        <v>70</v>
      </c>
      <c r="AS105">
        <v>302</v>
      </c>
      <c r="AT105" t="s">
        <v>71</v>
      </c>
      <c r="AU105">
        <v>49.9</v>
      </c>
      <c r="AV105">
        <v>37.54</v>
      </c>
      <c r="AW105" t="s">
        <v>72</v>
      </c>
      <c r="AX105">
        <v>301</v>
      </c>
      <c r="AY105" t="s">
        <v>71</v>
      </c>
      <c r="AZ105">
        <v>40.799999999999997</v>
      </c>
      <c r="BA105">
        <v>31.74</v>
      </c>
      <c r="BB105" t="s">
        <v>73</v>
      </c>
    </row>
    <row r="106" spans="1:54" x14ac:dyDescent="0.4">
      <c r="A106">
        <v>814161</v>
      </c>
      <c r="D106" t="s">
        <v>246</v>
      </c>
      <c r="G106">
        <v>1</v>
      </c>
      <c r="H106" t="s">
        <v>56</v>
      </c>
      <c r="I106" t="s">
        <v>57</v>
      </c>
      <c r="K106" t="s">
        <v>247</v>
      </c>
      <c r="L106" t="s">
        <v>248</v>
      </c>
      <c r="M106" t="s">
        <v>59</v>
      </c>
      <c r="O106" t="s">
        <v>107</v>
      </c>
      <c r="P106" t="s">
        <v>169</v>
      </c>
      <c r="R106" t="s">
        <v>138</v>
      </c>
      <c r="S106" t="s">
        <v>98</v>
      </c>
      <c r="T106">
        <v>264.27999999999997</v>
      </c>
      <c r="U106">
        <v>259.51</v>
      </c>
      <c r="V106">
        <f>(T106+U106)/2</f>
        <v>261.89499999999998</v>
      </c>
      <c r="W106">
        <f>T106-U106</f>
        <v>4.7699999999999818</v>
      </c>
      <c r="X106">
        <v>48.351664999999997</v>
      </c>
      <c r="Y106">
        <v>58.150002000000001</v>
      </c>
      <c r="Z106" t="s">
        <v>99</v>
      </c>
      <c r="AA106" t="s">
        <v>139</v>
      </c>
      <c r="AB106" t="s">
        <v>249</v>
      </c>
      <c r="AC106" t="s">
        <v>250</v>
      </c>
      <c r="AD106" t="s">
        <v>251</v>
      </c>
      <c r="AE106" t="s">
        <v>250</v>
      </c>
      <c r="AF106" t="s">
        <v>252</v>
      </c>
      <c r="AG106" t="s">
        <v>253</v>
      </c>
      <c r="AH106" t="s">
        <v>65</v>
      </c>
      <c r="AI106" t="s">
        <v>254</v>
      </c>
      <c r="AJ106">
        <v>1937</v>
      </c>
      <c r="AK106" t="s">
        <v>255</v>
      </c>
      <c r="AM106" t="s">
        <v>256</v>
      </c>
      <c r="AN106" t="s">
        <v>121</v>
      </c>
      <c r="AO106" t="s">
        <v>106</v>
      </c>
      <c r="AP106" t="s">
        <v>69</v>
      </c>
      <c r="AQ106" t="s">
        <v>257</v>
      </c>
      <c r="AR106" t="s">
        <v>70</v>
      </c>
      <c r="AS106">
        <v>302</v>
      </c>
      <c r="AT106" t="s">
        <v>71</v>
      </c>
      <c r="AU106">
        <v>49.9</v>
      </c>
      <c r="AV106">
        <v>37.54</v>
      </c>
      <c r="AW106" t="s">
        <v>72</v>
      </c>
      <c r="AX106">
        <v>301</v>
      </c>
      <c r="AY106" t="s">
        <v>71</v>
      </c>
      <c r="AZ106">
        <v>40.799999999999997</v>
      </c>
      <c r="BA106">
        <v>31.74</v>
      </c>
      <c r="BB106" t="s">
        <v>73</v>
      </c>
    </row>
    <row r="107" spans="1:54" x14ac:dyDescent="0.4">
      <c r="A107">
        <v>814161</v>
      </c>
      <c r="D107" t="s">
        <v>246</v>
      </c>
      <c r="G107">
        <v>1</v>
      </c>
      <c r="H107" t="s">
        <v>56</v>
      </c>
      <c r="I107" t="s">
        <v>57</v>
      </c>
      <c r="K107" t="s">
        <v>247</v>
      </c>
      <c r="L107" t="s">
        <v>248</v>
      </c>
      <c r="M107" t="s">
        <v>59</v>
      </c>
      <c r="O107" t="s">
        <v>107</v>
      </c>
      <c r="P107" t="s">
        <v>169</v>
      </c>
      <c r="R107" t="s">
        <v>138</v>
      </c>
      <c r="S107" t="s">
        <v>98</v>
      </c>
      <c r="T107">
        <v>264.27999999999997</v>
      </c>
      <c r="U107">
        <v>259.51</v>
      </c>
      <c r="V107">
        <f>(T107+U107)/2</f>
        <v>261.89499999999998</v>
      </c>
      <c r="W107">
        <f>T107-U107</f>
        <v>4.7699999999999818</v>
      </c>
      <c r="X107">
        <v>48.351664999999997</v>
      </c>
      <c r="Y107">
        <v>58.150002000000001</v>
      </c>
      <c r="Z107" t="s">
        <v>99</v>
      </c>
      <c r="AA107" t="s">
        <v>139</v>
      </c>
      <c r="AB107" t="s">
        <v>249</v>
      </c>
      <c r="AC107" t="s">
        <v>250</v>
      </c>
      <c r="AD107" t="s">
        <v>251</v>
      </c>
      <c r="AE107" t="s">
        <v>250</v>
      </c>
      <c r="AF107" t="s">
        <v>252</v>
      </c>
      <c r="AG107" t="s">
        <v>253</v>
      </c>
      <c r="AH107" t="s">
        <v>65</v>
      </c>
      <c r="AI107" t="s">
        <v>254</v>
      </c>
      <c r="AJ107">
        <v>1937</v>
      </c>
      <c r="AK107" t="s">
        <v>255</v>
      </c>
      <c r="AM107" t="s">
        <v>256</v>
      </c>
      <c r="AN107" t="s">
        <v>121</v>
      </c>
      <c r="AO107" t="s">
        <v>106</v>
      </c>
      <c r="AP107" t="s">
        <v>69</v>
      </c>
      <c r="AQ107" t="s">
        <v>257</v>
      </c>
      <c r="AR107" t="s">
        <v>70</v>
      </c>
      <c r="AS107">
        <v>302</v>
      </c>
      <c r="AT107" t="s">
        <v>71</v>
      </c>
      <c r="AU107">
        <v>49.9</v>
      </c>
      <c r="AV107">
        <v>37.54</v>
      </c>
      <c r="AW107" t="s">
        <v>72</v>
      </c>
      <c r="AX107">
        <v>301</v>
      </c>
      <c r="AY107" t="s">
        <v>71</v>
      </c>
      <c r="AZ107">
        <v>40.799999999999997</v>
      </c>
      <c r="BA107">
        <v>31.74</v>
      </c>
      <c r="BB107" t="s">
        <v>73</v>
      </c>
    </row>
    <row r="108" spans="1:54" x14ac:dyDescent="0.4">
      <c r="A108">
        <v>814161</v>
      </c>
      <c r="D108" t="s">
        <v>246</v>
      </c>
      <c r="G108">
        <v>1</v>
      </c>
      <c r="H108" t="s">
        <v>56</v>
      </c>
      <c r="I108" t="s">
        <v>57</v>
      </c>
      <c r="K108" t="s">
        <v>247</v>
      </c>
      <c r="L108" t="s">
        <v>248</v>
      </c>
      <c r="M108" t="s">
        <v>59</v>
      </c>
      <c r="O108" t="s">
        <v>107</v>
      </c>
      <c r="P108" t="s">
        <v>169</v>
      </c>
      <c r="R108" t="s">
        <v>138</v>
      </c>
      <c r="S108" t="s">
        <v>98</v>
      </c>
      <c r="T108">
        <v>264.27999999999997</v>
      </c>
      <c r="U108">
        <v>259.51</v>
      </c>
      <c r="V108">
        <f>(T108+U108)/2</f>
        <v>261.89499999999998</v>
      </c>
      <c r="W108">
        <f>T108-U108</f>
        <v>4.7699999999999818</v>
      </c>
      <c r="X108">
        <v>48.351664999999997</v>
      </c>
      <c r="Y108">
        <v>58.150002000000001</v>
      </c>
      <c r="Z108" t="s">
        <v>99</v>
      </c>
      <c r="AA108" t="s">
        <v>139</v>
      </c>
      <c r="AB108" t="s">
        <v>249</v>
      </c>
      <c r="AC108" t="s">
        <v>250</v>
      </c>
      <c r="AD108" t="s">
        <v>251</v>
      </c>
      <c r="AE108" t="s">
        <v>250</v>
      </c>
      <c r="AF108" t="s">
        <v>252</v>
      </c>
      <c r="AG108" t="s">
        <v>253</v>
      </c>
      <c r="AH108" t="s">
        <v>65</v>
      </c>
      <c r="AI108" t="s">
        <v>254</v>
      </c>
      <c r="AJ108">
        <v>1937</v>
      </c>
      <c r="AK108" t="s">
        <v>255</v>
      </c>
      <c r="AM108" t="s">
        <v>256</v>
      </c>
      <c r="AN108" t="s">
        <v>121</v>
      </c>
      <c r="AO108" t="s">
        <v>106</v>
      </c>
      <c r="AP108" t="s">
        <v>69</v>
      </c>
      <c r="AQ108" t="s">
        <v>257</v>
      </c>
      <c r="AR108" t="s">
        <v>70</v>
      </c>
      <c r="AS108">
        <v>302</v>
      </c>
      <c r="AT108" t="s">
        <v>71</v>
      </c>
      <c r="AU108">
        <v>49.9</v>
      </c>
      <c r="AV108">
        <v>37.54</v>
      </c>
      <c r="AW108" t="s">
        <v>72</v>
      </c>
      <c r="AX108">
        <v>301</v>
      </c>
      <c r="AY108" t="s">
        <v>71</v>
      </c>
      <c r="AZ108">
        <v>40.799999999999997</v>
      </c>
      <c r="BA108">
        <v>31.74</v>
      </c>
      <c r="BB108" t="s">
        <v>73</v>
      </c>
    </row>
    <row r="109" spans="1:54" x14ac:dyDescent="0.4">
      <c r="A109">
        <v>814161</v>
      </c>
      <c r="D109" t="s">
        <v>246</v>
      </c>
      <c r="G109">
        <v>1</v>
      </c>
      <c r="H109" t="s">
        <v>56</v>
      </c>
      <c r="I109" t="s">
        <v>57</v>
      </c>
      <c r="K109" t="s">
        <v>247</v>
      </c>
      <c r="L109" t="s">
        <v>248</v>
      </c>
      <c r="M109" t="s">
        <v>59</v>
      </c>
      <c r="O109" t="s">
        <v>107</v>
      </c>
      <c r="P109" t="s">
        <v>169</v>
      </c>
      <c r="R109" t="s">
        <v>138</v>
      </c>
      <c r="S109" t="s">
        <v>98</v>
      </c>
      <c r="T109">
        <v>264.27999999999997</v>
      </c>
      <c r="U109">
        <v>259.51</v>
      </c>
      <c r="V109">
        <f>(T109+U109)/2</f>
        <v>261.89499999999998</v>
      </c>
      <c r="W109">
        <f>T109-U109</f>
        <v>4.7699999999999818</v>
      </c>
      <c r="X109">
        <v>48.351664999999997</v>
      </c>
      <c r="Y109">
        <v>58.150002000000001</v>
      </c>
      <c r="Z109" t="s">
        <v>99</v>
      </c>
      <c r="AA109" t="s">
        <v>139</v>
      </c>
      <c r="AB109" t="s">
        <v>249</v>
      </c>
      <c r="AC109" t="s">
        <v>250</v>
      </c>
      <c r="AD109" t="s">
        <v>251</v>
      </c>
      <c r="AE109" t="s">
        <v>250</v>
      </c>
      <c r="AF109" t="s">
        <v>252</v>
      </c>
      <c r="AG109" t="s">
        <v>253</v>
      </c>
      <c r="AH109" t="s">
        <v>65</v>
      </c>
      <c r="AI109" t="s">
        <v>254</v>
      </c>
      <c r="AJ109">
        <v>1937</v>
      </c>
      <c r="AK109" t="s">
        <v>255</v>
      </c>
      <c r="AM109" t="s">
        <v>256</v>
      </c>
      <c r="AN109" t="s">
        <v>121</v>
      </c>
      <c r="AO109" t="s">
        <v>106</v>
      </c>
      <c r="AP109" t="s">
        <v>69</v>
      </c>
      <c r="AQ109" t="s">
        <v>257</v>
      </c>
      <c r="AR109" t="s">
        <v>70</v>
      </c>
      <c r="AS109">
        <v>302</v>
      </c>
      <c r="AT109" t="s">
        <v>71</v>
      </c>
      <c r="AU109">
        <v>49.9</v>
      </c>
      <c r="AV109">
        <v>37.54</v>
      </c>
      <c r="AW109" t="s">
        <v>72</v>
      </c>
      <c r="AX109">
        <v>301</v>
      </c>
      <c r="AY109" t="s">
        <v>71</v>
      </c>
      <c r="AZ109">
        <v>40.799999999999997</v>
      </c>
      <c r="BA109">
        <v>31.74</v>
      </c>
      <c r="BB109" t="s">
        <v>73</v>
      </c>
    </row>
    <row r="110" spans="1:54" x14ac:dyDescent="0.4">
      <c r="A110">
        <v>815480</v>
      </c>
      <c r="D110" t="s">
        <v>763</v>
      </c>
      <c r="E110" t="s">
        <v>105</v>
      </c>
      <c r="G110">
        <v>1</v>
      </c>
      <c r="H110" t="s">
        <v>56</v>
      </c>
      <c r="I110" t="s">
        <v>57</v>
      </c>
      <c r="K110" t="s">
        <v>551</v>
      </c>
      <c r="L110" t="s">
        <v>975</v>
      </c>
      <c r="M110" t="s">
        <v>59</v>
      </c>
      <c r="P110" t="s">
        <v>169</v>
      </c>
      <c r="R110" t="s">
        <v>138</v>
      </c>
      <c r="S110" t="s">
        <v>98</v>
      </c>
      <c r="T110">
        <v>264.27999999999997</v>
      </c>
      <c r="U110">
        <v>259.51</v>
      </c>
      <c r="V110">
        <f>(T110+U110)/2</f>
        <v>261.89499999999998</v>
      </c>
      <c r="W110">
        <f>T110-U110</f>
        <v>4.7699999999999818</v>
      </c>
      <c r="X110">
        <v>26.394444</v>
      </c>
      <c r="Y110">
        <v>-33.063332000000003</v>
      </c>
      <c r="Z110" t="s">
        <v>396</v>
      </c>
      <c r="AA110" t="s">
        <v>86</v>
      </c>
      <c r="AB110" t="s">
        <v>87</v>
      </c>
      <c r="AC110" t="s">
        <v>976</v>
      </c>
      <c r="AD110" t="s">
        <v>977</v>
      </c>
      <c r="AE110" t="s">
        <v>90</v>
      </c>
      <c r="AG110" t="s">
        <v>978</v>
      </c>
      <c r="AH110" t="s">
        <v>65</v>
      </c>
      <c r="AI110" t="s">
        <v>979</v>
      </c>
      <c r="AJ110">
        <v>2008</v>
      </c>
      <c r="AK110" t="s">
        <v>980</v>
      </c>
      <c r="AN110" t="s">
        <v>121</v>
      </c>
      <c r="AO110" t="s">
        <v>68</v>
      </c>
      <c r="AP110" t="s">
        <v>314</v>
      </c>
      <c r="AQ110" t="s">
        <v>981</v>
      </c>
      <c r="AR110" t="s">
        <v>70</v>
      </c>
      <c r="AS110">
        <v>701</v>
      </c>
      <c r="AT110" t="s">
        <v>71</v>
      </c>
      <c r="AU110">
        <v>-26.46</v>
      </c>
      <c r="AV110">
        <v>-56.55</v>
      </c>
      <c r="AW110" t="s">
        <v>72</v>
      </c>
      <c r="AX110">
        <v>701</v>
      </c>
      <c r="AY110" t="s">
        <v>71</v>
      </c>
      <c r="AZ110">
        <v>-33.46</v>
      </c>
      <c r="BA110">
        <v>-62.79</v>
      </c>
      <c r="BB110" t="s">
        <v>73</v>
      </c>
    </row>
    <row r="111" spans="1:54" x14ac:dyDescent="0.4">
      <c r="A111">
        <v>815481</v>
      </c>
      <c r="D111" t="s">
        <v>763</v>
      </c>
      <c r="E111" t="s">
        <v>105</v>
      </c>
      <c r="G111">
        <v>1</v>
      </c>
      <c r="H111" t="s">
        <v>74</v>
      </c>
      <c r="I111" t="s">
        <v>57</v>
      </c>
      <c r="K111" t="s">
        <v>551</v>
      </c>
      <c r="L111" t="s">
        <v>975</v>
      </c>
      <c r="M111" t="s">
        <v>59</v>
      </c>
      <c r="P111" t="s">
        <v>169</v>
      </c>
      <c r="R111" t="s">
        <v>138</v>
      </c>
      <c r="S111" t="s">
        <v>98</v>
      </c>
      <c r="T111">
        <v>264.27999999999997</v>
      </c>
      <c r="U111">
        <v>259.51</v>
      </c>
      <c r="V111">
        <f>(T111+U111)/2</f>
        <v>261.89499999999998</v>
      </c>
      <c r="W111">
        <f>T111-U111</f>
        <v>4.7699999999999818</v>
      </c>
      <c r="X111">
        <v>22</v>
      </c>
      <c r="Y111">
        <v>-32.366669000000002</v>
      </c>
      <c r="Z111" t="s">
        <v>126</v>
      </c>
      <c r="AA111" t="s">
        <v>86</v>
      </c>
      <c r="AB111" t="s">
        <v>170</v>
      </c>
      <c r="AC111" t="s">
        <v>171</v>
      </c>
      <c r="AD111" t="s">
        <v>172</v>
      </c>
      <c r="AE111" t="s">
        <v>90</v>
      </c>
      <c r="AG111" t="s">
        <v>978</v>
      </c>
      <c r="AH111" t="s">
        <v>65</v>
      </c>
      <c r="AI111" t="s">
        <v>979</v>
      </c>
      <c r="AJ111">
        <v>2008</v>
      </c>
      <c r="AK111" t="s">
        <v>982</v>
      </c>
      <c r="AM111" t="s">
        <v>983</v>
      </c>
      <c r="AN111" t="s">
        <v>94</v>
      </c>
      <c r="AO111" t="s">
        <v>106</v>
      </c>
      <c r="AP111" t="s">
        <v>69</v>
      </c>
      <c r="AQ111" t="s">
        <v>984</v>
      </c>
      <c r="AR111" t="s">
        <v>70</v>
      </c>
      <c r="AS111">
        <v>701</v>
      </c>
      <c r="AT111" t="s">
        <v>71</v>
      </c>
      <c r="AU111">
        <v>-27.68</v>
      </c>
      <c r="AV111">
        <v>-52.85</v>
      </c>
      <c r="AW111" t="s">
        <v>72</v>
      </c>
      <c r="AX111">
        <v>701</v>
      </c>
      <c r="AY111" t="s">
        <v>71</v>
      </c>
      <c r="AZ111">
        <v>-34.33</v>
      </c>
      <c r="BA111">
        <v>-59.05</v>
      </c>
      <c r="BB111" t="s">
        <v>73</v>
      </c>
    </row>
    <row r="112" spans="1:54" x14ac:dyDescent="0.4">
      <c r="A112">
        <v>820640</v>
      </c>
      <c r="D112" t="s">
        <v>763</v>
      </c>
      <c r="E112" t="s">
        <v>55</v>
      </c>
      <c r="G112">
        <v>1</v>
      </c>
      <c r="H112" t="s">
        <v>56</v>
      </c>
      <c r="I112" t="s">
        <v>57</v>
      </c>
      <c r="K112" t="s">
        <v>102</v>
      </c>
      <c r="L112" t="s">
        <v>902</v>
      </c>
      <c r="M112" t="s">
        <v>59</v>
      </c>
      <c r="P112" t="s">
        <v>169</v>
      </c>
      <c r="R112" t="s">
        <v>138</v>
      </c>
      <c r="S112" t="s">
        <v>98</v>
      </c>
      <c r="T112">
        <v>264.27999999999997</v>
      </c>
      <c r="U112">
        <v>259.51</v>
      </c>
      <c r="V112">
        <f>(T112+U112)/2</f>
        <v>261.89499999999998</v>
      </c>
      <c r="W112">
        <f>T112-U112</f>
        <v>4.7699999999999818</v>
      </c>
      <c r="X112">
        <v>21.736111000000001</v>
      </c>
      <c r="Y112">
        <v>-32.920833999999999</v>
      </c>
      <c r="Z112" t="s">
        <v>372</v>
      </c>
      <c r="AA112" t="s">
        <v>86</v>
      </c>
      <c r="AB112" t="s">
        <v>170</v>
      </c>
      <c r="AC112" t="s">
        <v>1001</v>
      </c>
      <c r="AD112" t="s">
        <v>172</v>
      </c>
      <c r="AE112" t="s">
        <v>90</v>
      </c>
      <c r="AG112" t="s">
        <v>173</v>
      </c>
      <c r="AH112" t="s">
        <v>65</v>
      </c>
      <c r="AI112" t="s">
        <v>1002</v>
      </c>
      <c r="AJ112">
        <v>1892</v>
      </c>
      <c r="AK112" t="s">
        <v>1003</v>
      </c>
      <c r="AM112" t="s">
        <v>1004</v>
      </c>
      <c r="AN112" t="s">
        <v>177</v>
      </c>
      <c r="AO112" t="s">
        <v>68</v>
      </c>
      <c r="AP112" t="s">
        <v>95</v>
      </c>
      <c r="AQ112" t="s">
        <v>1005</v>
      </c>
      <c r="AR112" t="s">
        <v>70</v>
      </c>
      <c r="AS112">
        <v>701</v>
      </c>
      <c r="AT112" t="s">
        <v>71</v>
      </c>
      <c r="AU112">
        <v>-28.67</v>
      </c>
      <c r="AV112">
        <v>-52.85</v>
      </c>
      <c r="AW112" t="s">
        <v>72</v>
      </c>
      <c r="AX112">
        <v>701</v>
      </c>
      <c r="AY112" t="s">
        <v>71</v>
      </c>
      <c r="AZ112">
        <v>-35.479999999999997</v>
      </c>
      <c r="BA112">
        <v>-59.01</v>
      </c>
      <c r="BB112" t="s">
        <v>73</v>
      </c>
    </row>
    <row r="113" spans="1:54" x14ac:dyDescent="0.4">
      <c r="A113">
        <v>820640</v>
      </c>
      <c r="D113" t="s">
        <v>763</v>
      </c>
      <c r="E113" t="s">
        <v>55</v>
      </c>
      <c r="G113">
        <v>1</v>
      </c>
      <c r="H113" t="s">
        <v>56</v>
      </c>
      <c r="I113" t="s">
        <v>57</v>
      </c>
      <c r="K113" t="s">
        <v>102</v>
      </c>
      <c r="L113" t="s">
        <v>902</v>
      </c>
      <c r="M113" t="s">
        <v>59</v>
      </c>
      <c r="P113" t="s">
        <v>169</v>
      </c>
      <c r="R113" t="s">
        <v>138</v>
      </c>
      <c r="S113" t="s">
        <v>98</v>
      </c>
      <c r="T113">
        <v>264.27999999999997</v>
      </c>
      <c r="U113">
        <v>259.51</v>
      </c>
      <c r="V113">
        <f>(T113+U113)/2</f>
        <v>261.89499999999998</v>
      </c>
      <c r="W113">
        <f>T113-U113</f>
        <v>4.7699999999999818</v>
      </c>
      <c r="X113">
        <v>21.736111000000001</v>
      </c>
      <c r="Y113">
        <v>-32.920833999999999</v>
      </c>
      <c r="Z113" t="s">
        <v>372</v>
      </c>
      <c r="AA113" t="s">
        <v>86</v>
      </c>
      <c r="AB113" t="s">
        <v>170</v>
      </c>
      <c r="AC113" t="s">
        <v>1001</v>
      </c>
      <c r="AD113" t="s">
        <v>172</v>
      </c>
      <c r="AE113" t="s">
        <v>90</v>
      </c>
      <c r="AG113" t="s">
        <v>173</v>
      </c>
      <c r="AH113" t="s">
        <v>65</v>
      </c>
      <c r="AI113" t="s">
        <v>1002</v>
      </c>
      <c r="AJ113">
        <v>1892</v>
      </c>
      <c r="AK113" t="s">
        <v>1003</v>
      </c>
      <c r="AM113" t="s">
        <v>1004</v>
      </c>
      <c r="AN113" t="s">
        <v>177</v>
      </c>
      <c r="AO113" t="s">
        <v>68</v>
      </c>
      <c r="AP113" t="s">
        <v>95</v>
      </c>
      <c r="AQ113" t="s">
        <v>1005</v>
      </c>
      <c r="AR113" t="s">
        <v>70</v>
      </c>
      <c r="AS113">
        <v>701</v>
      </c>
      <c r="AT113" t="s">
        <v>71</v>
      </c>
      <c r="AU113">
        <v>-28.67</v>
      </c>
      <c r="AV113">
        <v>-52.85</v>
      </c>
      <c r="AW113" t="s">
        <v>72</v>
      </c>
      <c r="AX113">
        <v>701</v>
      </c>
      <c r="AY113" t="s">
        <v>71</v>
      </c>
      <c r="AZ113">
        <v>-35.479999999999997</v>
      </c>
      <c r="BA113">
        <v>-59.01</v>
      </c>
      <c r="BB113" t="s">
        <v>73</v>
      </c>
    </row>
    <row r="114" spans="1:54" x14ac:dyDescent="0.4">
      <c r="A114">
        <v>833055</v>
      </c>
      <c r="D114" t="s">
        <v>763</v>
      </c>
      <c r="E114" t="s">
        <v>55</v>
      </c>
      <c r="G114">
        <v>1</v>
      </c>
      <c r="H114" t="s">
        <v>56</v>
      </c>
      <c r="I114" t="s">
        <v>57</v>
      </c>
      <c r="K114" t="s">
        <v>102</v>
      </c>
      <c r="L114" t="s">
        <v>902</v>
      </c>
      <c r="M114" t="s">
        <v>59</v>
      </c>
      <c r="P114" t="s">
        <v>169</v>
      </c>
      <c r="R114" t="s">
        <v>138</v>
      </c>
      <c r="S114" t="s">
        <v>98</v>
      </c>
      <c r="T114">
        <v>264.27999999999997</v>
      </c>
      <c r="U114">
        <v>259.51</v>
      </c>
      <c r="V114">
        <f>(T114+U114)/2</f>
        <v>261.89499999999998</v>
      </c>
      <c r="W114">
        <f>T114-U114</f>
        <v>4.7699999999999818</v>
      </c>
      <c r="X114">
        <v>26.727777</v>
      </c>
      <c r="Y114">
        <v>-33.070830999999998</v>
      </c>
      <c r="Z114" t="s">
        <v>454</v>
      </c>
      <c r="AA114" t="s">
        <v>86</v>
      </c>
      <c r="AB114" t="s">
        <v>87</v>
      </c>
      <c r="AC114" t="s">
        <v>976</v>
      </c>
      <c r="AE114" t="s">
        <v>90</v>
      </c>
      <c r="AG114" t="s">
        <v>173</v>
      </c>
      <c r="AH114" t="s">
        <v>65</v>
      </c>
      <c r="AI114" t="s">
        <v>1045</v>
      </c>
      <c r="AJ114">
        <v>1997</v>
      </c>
      <c r="AK114" t="s">
        <v>1046</v>
      </c>
      <c r="AM114" t="s">
        <v>1047</v>
      </c>
      <c r="AN114" t="s">
        <v>67</v>
      </c>
      <c r="AO114" t="s">
        <v>68</v>
      </c>
      <c r="AP114" t="s">
        <v>314</v>
      </c>
      <c r="AQ114" t="s">
        <v>1048</v>
      </c>
      <c r="AR114" t="s">
        <v>70</v>
      </c>
      <c r="AS114">
        <v>701</v>
      </c>
      <c r="AT114" t="s">
        <v>71</v>
      </c>
      <c r="AU114">
        <v>-26.3</v>
      </c>
      <c r="AV114">
        <v>-56.81</v>
      </c>
      <c r="AW114" t="s">
        <v>72</v>
      </c>
      <c r="AX114">
        <v>701</v>
      </c>
      <c r="AY114" t="s">
        <v>71</v>
      </c>
      <c r="AZ114">
        <v>-33.299999999999997</v>
      </c>
      <c r="BA114">
        <v>-63.06</v>
      </c>
      <c r="BB114" t="s">
        <v>73</v>
      </c>
    </row>
    <row r="115" spans="1:54" x14ac:dyDescent="0.4">
      <c r="A115">
        <v>833854</v>
      </c>
      <c r="D115" t="s">
        <v>54</v>
      </c>
      <c r="E115" t="s">
        <v>55</v>
      </c>
      <c r="G115">
        <v>1</v>
      </c>
      <c r="H115" t="s">
        <v>56</v>
      </c>
      <c r="I115" t="s">
        <v>57</v>
      </c>
      <c r="K115" t="s">
        <v>102</v>
      </c>
      <c r="L115" t="s">
        <v>902</v>
      </c>
      <c r="M115" t="s">
        <v>59</v>
      </c>
      <c r="P115" t="s">
        <v>169</v>
      </c>
      <c r="R115" t="s">
        <v>138</v>
      </c>
      <c r="S115" t="s">
        <v>98</v>
      </c>
      <c r="T115">
        <v>264.27999999999997</v>
      </c>
      <c r="U115">
        <v>259.51</v>
      </c>
      <c r="V115">
        <f>(T115+U115)/2</f>
        <v>261.89499999999998</v>
      </c>
      <c r="W115">
        <f>T115-U115</f>
        <v>4.7699999999999818</v>
      </c>
      <c r="X115">
        <v>21.868054999999998</v>
      </c>
      <c r="Y115">
        <v>-32.887501</v>
      </c>
      <c r="Z115" t="s">
        <v>372</v>
      </c>
      <c r="AA115" t="s">
        <v>86</v>
      </c>
      <c r="AB115" t="s">
        <v>170</v>
      </c>
      <c r="AC115" t="s">
        <v>1001</v>
      </c>
      <c r="AD115" t="s">
        <v>172</v>
      </c>
      <c r="AE115" t="s">
        <v>90</v>
      </c>
      <c r="AG115" t="s">
        <v>978</v>
      </c>
      <c r="AH115" t="s">
        <v>65</v>
      </c>
      <c r="AI115" t="s">
        <v>1078</v>
      </c>
      <c r="AJ115">
        <v>1969</v>
      </c>
      <c r="AK115" t="s">
        <v>1079</v>
      </c>
      <c r="AN115" t="s">
        <v>94</v>
      </c>
      <c r="AO115" t="s">
        <v>68</v>
      </c>
      <c r="AP115" t="s">
        <v>182</v>
      </c>
      <c r="AQ115" t="s">
        <v>1080</v>
      </c>
      <c r="AR115" t="s">
        <v>70</v>
      </c>
      <c r="AS115">
        <v>701</v>
      </c>
      <c r="AT115" t="s">
        <v>71</v>
      </c>
      <c r="AU115">
        <v>-28.55</v>
      </c>
      <c r="AV115">
        <v>-52.95</v>
      </c>
      <c r="AW115" t="s">
        <v>72</v>
      </c>
      <c r="AX115">
        <v>701</v>
      </c>
      <c r="AY115" t="s">
        <v>71</v>
      </c>
      <c r="AZ115">
        <v>-35.36</v>
      </c>
      <c r="BA115">
        <v>-59.11</v>
      </c>
      <c r="BB115" t="s">
        <v>73</v>
      </c>
    </row>
    <row r="116" spans="1:54" x14ac:dyDescent="0.4">
      <c r="A116">
        <v>833855</v>
      </c>
      <c r="D116" t="s">
        <v>54</v>
      </c>
      <c r="E116" t="s">
        <v>55</v>
      </c>
      <c r="G116">
        <v>1</v>
      </c>
      <c r="H116" t="s">
        <v>56</v>
      </c>
      <c r="I116" t="s">
        <v>57</v>
      </c>
      <c r="K116" t="s">
        <v>102</v>
      </c>
      <c r="L116" t="s">
        <v>902</v>
      </c>
      <c r="M116" t="s">
        <v>59</v>
      </c>
      <c r="P116" t="s">
        <v>169</v>
      </c>
      <c r="R116" t="s">
        <v>138</v>
      </c>
      <c r="S116" t="s">
        <v>98</v>
      </c>
      <c r="T116">
        <v>264.27999999999997</v>
      </c>
      <c r="U116">
        <v>259.51</v>
      </c>
      <c r="V116">
        <f>(T116+U116)/2</f>
        <v>261.89499999999998</v>
      </c>
      <c r="W116">
        <f>T116-U116</f>
        <v>4.7699999999999818</v>
      </c>
      <c r="X116">
        <v>22.295833999999999</v>
      </c>
      <c r="Y116">
        <v>-32.504165999999998</v>
      </c>
      <c r="Z116" t="s">
        <v>372</v>
      </c>
      <c r="AA116" t="s">
        <v>86</v>
      </c>
      <c r="AB116" t="s">
        <v>170</v>
      </c>
      <c r="AC116" t="s">
        <v>171</v>
      </c>
      <c r="AD116" t="s">
        <v>172</v>
      </c>
      <c r="AE116" t="s">
        <v>90</v>
      </c>
      <c r="AG116" t="s">
        <v>173</v>
      </c>
      <c r="AH116" t="s">
        <v>65</v>
      </c>
      <c r="AI116" t="s">
        <v>1078</v>
      </c>
      <c r="AJ116">
        <v>1969</v>
      </c>
      <c r="AK116" t="s">
        <v>1081</v>
      </c>
      <c r="AM116" t="s">
        <v>1082</v>
      </c>
      <c r="AN116" t="s">
        <v>177</v>
      </c>
      <c r="AO116" t="s">
        <v>68</v>
      </c>
      <c r="AP116" t="s">
        <v>314</v>
      </c>
      <c r="AQ116" t="s">
        <v>1083</v>
      </c>
      <c r="AR116" t="s">
        <v>70</v>
      </c>
      <c r="AS116">
        <v>701</v>
      </c>
      <c r="AT116" t="s">
        <v>71</v>
      </c>
      <c r="AU116">
        <v>-27.74</v>
      </c>
      <c r="AV116">
        <v>-53.14</v>
      </c>
      <c r="AW116" t="s">
        <v>72</v>
      </c>
      <c r="AX116">
        <v>701</v>
      </c>
      <c r="AY116" t="s">
        <v>71</v>
      </c>
      <c r="AZ116">
        <v>-34.43</v>
      </c>
      <c r="BA116">
        <v>-59.33</v>
      </c>
      <c r="BB116" t="s">
        <v>73</v>
      </c>
    </row>
    <row r="117" spans="1:54" x14ac:dyDescent="0.4">
      <c r="A117">
        <v>833864</v>
      </c>
      <c r="D117" t="s">
        <v>763</v>
      </c>
      <c r="E117" t="s">
        <v>55</v>
      </c>
      <c r="G117">
        <v>3</v>
      </c>
      <c r="H117" t="s">
        <v>74</v>
      </c>
      <c r="I117" t="s">
        <v>57</v>
      </c>
      <c r="K117" t="s">
        <v>102</v>
      </c>
      <c r="L117" t="s">
        <v>902</v>
      </c>
      <c r="M117" t="s">
        <v>59</v>
      </c>
      <c r="P117" t="s">
        <v>169</v>
      </c>
      <c r="R117" t="s">
        <v>138</v>
      </c>
      <c r="S117" t="s">
        <v>98</v>
      </c>
      <c r="T117">
        <v>264.27999999999997</v>
      </c>
      <c r="U117">
        <v>259.51</v>
      </c>
      <c r="V117">
        <f>(T117+U117)/2</f>
        <v>261.89499999999998</v>
      </c>
      <c r="W117">
        <f>T117-U117</f>
        <v>4.7699999999999818</v>
      </c>
      <c r="X117">
        <v>21.773610999999999</v>
      </c>
      <c r="Y117">
        <v>-32.466667000000001</v>
      </c>
      <c r="Z117" t="s">
        <v>372</v>
      </c>
      <c r="AA117" t="s">
        <v>86</v>
      </c>
      <c r="AB117" t="s">
        <v>170</v>
      </c>
      <c r="AC117" t="s">
        <v>171</v>
      </c>
      <c r="AD117" t="s">
        <v>172</v>
      </c>
      <c r="AE117" t="s">
        <v>90</v>
      </c>
      <c r="AG117" t="s">
        <v>978</v>
      </c>
      <c r="AH117" t="s">
        <v>65</v>
      </c>
      <c r="AI117" t="s">
        <v>1078</v>
      </c>
      <c r="AJ117">
        <v>1969</v>
      </c>
      <c r="AK117" t="s">
        <v>1084</v>
      </c>
      <c r="AM117" t="s">
        <v>1085</v>
      </c>
      <c r="AN117" t="s">
        <v>94</v>
      </c>
      <c r="AO117" t="s">
        <v>106</v>
      </c>
      <c r="AP117" t="s">
        <v>69</v>
      </c>
      <c r="AQ117" t="s">
        <v>1086</v>
      </c>
      <c r="AR117" t="s">
        <v>70</v>
      </c>
      <c r="AS117">
        <v>701</v>
      </c>
      <c r="AT117" t="s">
        <v>71</v>
      </c>
      <c r="AU117">
        <v>-27.95</v>
      </c>
      <c r="AV117">
        <v>-52.72</v>
      </c>
      <c r="AW117" t="s">
        <v>72</v>
      </c>
      <c r="AX117">
        <v>701</v>
      </c>
      <c r="AY117" t="s">
        <v>71</v>
      </c>
      <c r="AZ117">
        <v>-34.630000000000003</v>
      </c>
      <c r="BA117">
        <v>-58.9</v>
      </c>
      <c r="BB117" t="s">
        <v>73</v>
      </c>
    </row>
    <row r="118" spans="1:54" x14ac:dyDescent="0.4">
      <c r="A118">
        <v>837578</v>
      </c>
      <c r="D118" t="s">
        <v>54</v>
      </c>
      <c r="G118">
        <v>1</v>
      </c>
      <c r="H118" t="s">
        <v>56</v>
      </c>
      <c r="I118" t="s">
        <v>57</v>
      </c>
      <c r="K118" t="s">
        <v>247</v>
      </c>
      <c r="L118" t="s">
        <v>258</v>
      </c>
      <c r="M118" t="s">
        <v>59</v>
      </c>
      <c r="O118" t="s">
        <v>107</v>
      </c>
      <c r="P118" t="s">
        <v>169</v>
      </c>
      <c r="R118" t="s">
        <v>138</v>
      </c>
      <c r="S118" t="s">
        <v>98</v>
      </c>
      <c r="T118">
        <v>264.27999999999997</v>
      </c>
      <c r="U118">
        <v>259.51</v>
      </c>
      <c r="V118">
        <f>(T118+U118)/2</f>
        <v>261.89499999999998</v>
      </c>
      <c r="W118">
        <f>T118-U118</f>
        <v>4.7699999999999818</v>
      </c>
      <c r="X118">
        <v>48.828609</v>
      </c>
      <c r="Y118">
        <v>55.017223000000001</v>
      </c>
      <c r="Z118" t="s">
        <v>99</v>
      </c>
      <c r="AA118" t="s">
        <v>139</v>
      </c>
      <c r="AB118" t="s">
        <v>261</v>
      </c>
      <c r="AC118" t="s">
        <v>262</v>
      </c>
      <c r="AG118" t="s">
        <v>1106</v>
      </c>
      <c r="AH118" t="s">
        <v>65</v>
      </c>
      <c r="AI118" t="s">
        <v>254</v>
      </c>
      <c r="AJ118">
        <v>1937</v>
      </c>
      <c r="AK118" t="s">
        <v>1107</v>
      </c>
      <c r="AM118" t="s">
        <v>1108</v>
      </c>
      <c r="AN118" t="s">
        <v>94</v>
      </c>
      <c r="AO118" t="s">
        <v>68</v>
      </c>
      <c r="AP118" t="s">
        <v>95</v>
      </c>
      <c r="AQ118" t="s">
        <v>1109</v>
      </c>
      <c r="AR118" t="s">
        <v>70</v>
      </c>
      <c r="AS118">
        <v>302</v>
      </c>
      <c r="AT118" t="s">
        <v>71</v>
      </c>
      <c r="AU118">
        <v>51.93</v>
      </c>
      <c r="AV118">
        <v>34.33</v>
      </c>
      <c r="AW118" t="s">
        <v>72</v>
      </c>
      <c r="AX118">
        <v>301</v>
      </c>
      <c r="AY118" t="s">
        <v>71</v>
      </c>
      <c r="AZ118">
        <v>43.53</v>
      </c>
      <c r="BA118">
        <v>29.28</v>
      </c>
      <c r="BB118" t="s">
        <v>73</v>
      </c>
    </row>
    <row r="119" spans="1:54" x14ac:dyDescent="0.4">
      <c r="A119">
        <v>837578</v>
      </c>
      <c r="D119" t="s">
        <v>54</v>
      </c>
      <c r="G119">
        <v>1</v>
      </c>
      <c r="H119" t="s">
        <v>56</v>
      </c>
      <c r="I119" t="s">
        <v>57</v>
      </c>
      <c r="K119" t="s">
        <v>247</v>
      </c>
      <c r="L119" t="s">
        <v>258</v>
      </c>
      <c r="M119" t="s">
        <v>59</v>
      </c>
      <c r="O119" t="s">
        <v>107</v>
      </c>
      <c r="P119" t="s">
        <v>169</v>
      </c>
      <c r="R119" t="s">
        <v>138</v>
      </c>
      <c r="S119" t="s">
        <v>98</v>
      </c>
      <c r="T119">
        <v>264.27999999999997</v>
      </c>
      <c r="U119">
        <v>259.51</v>
      </c>
      <c r="V119">
        <f>(T119+U119)/2</f>
        <v>261.89499999999998</v>
      </c>
      <c r="W119">
        <f>T119-U119</f>
        <v>4.7699999999999818</v>
      </c>
      <c r="X119">
        <v>48.828609</v>
      </c>
      <c r="Y119">
        <v>55.017223000000001</v>
      </c>
      <c r="Z119" t="s">
        <v>99</v>
      </c>
      <c r="AA119" t="s">
        <v>139</v>
      </c>
      <c r="AB119" t="s">
        <v>261</v>
      </c>
      <c r="AC119" t="s">
        <v>262</v>
      </c>
      <c r="AG119" t="s">
        <v>1106</v>
      </c>
      <c r="AH119" t="s">
        <v>65</v>
      </c>
      <c r="AI119" t="s">
        <v>254</v>
      </c>
      <c r="AJ119">
        <v>1937</v>
      </c>
      <c r="AK119" t="s">
        <v>1107</v>
      </c>
      <c r="AM119" t="s">
        <v>1108</v>
      </c>
      <c r="AN119" t="s">
        <v>94</v>
      </c>
      <c r="AO119" t="s">
        <v>68</v>
      </c>
      <c r="AP119" t="s">
        <v>95</v>
      </c>
      <c r="AQ119" t="s">
        <v>1109</v>
      </c>
      <c r="AR119" t="s">
        <v>70</v>
      </c>
      <c r="AS119">
        <v>302</v>
      </c>
      <c r="AT119" t="s">
        <v>71</v>
      </c>
      <c r="AU119">
        <v>51.93</v>
      </c>
      <c r="AV119">
        <v>34.33</v>
      </c>
      <c r="AW119" t="s">
        <v>72</v>
      </c>
      <c r="AX119">
        <v>301</v>
      </c>
      <c r="AY119" t="s">
        <v>71</v>
      </c>
      <c r="AZ119">
        <v>43.53</v>
      </c>
      <c r="BA119">
        <v>29.28</v>
      </c>
      <c r="BB119" t="s">
        <v>73</v>
      </c>
    </row>
    <row r="120" spans="1:54" x14ac:dyDescent="0.4">
      <c r="A120">
        <v>837578</v>
      </c>
      <c r="D120" t="s">
        <v>54</v>
      </c>
      <c r="G120">
        <v>1</v>
      </c>
      <c r="H120" t="s">
        <v>56</v>
      </c>
      <c r="I120" t="s">
        <v>57</v>
      </c>
      <c r="K120" t="s">
        <v>247</v>
      </c>
      <c r="L120" t="s">
        <v>258</v>
      </c>
      <c r="M120" t="s">
        <v>59</v>
      </c>
      <c r="O120" t="s">
        <v>107</v>
      </c>
      <c r="P120" t="s">
        <v>169</v>
      </c>
      <c r="R120" t="s">
        <v>138</v>
      </c>
      <c r="S120" t="s">
        <v>98</v>
      </c>
      <c r="T120">
        <v>264.27999999999997</v>
      </c>
      <c r="U120">
        <v>259.51</v>
      </c>
      <c r="V120">
        <f>(T120+U120)/2</f>
        <v>261.89499999999998</v>
      </c>
      <c r="W120">
        <f>T120-U120</f>
        <v>4.7699999999999818</v>
      </c>
      <c r="X120">
        <v>48.828609</v>
      </c>
      <c r="Y120">
        <v>55.017223000000001</v>
      </c>
      <c r="Z120" t="s">
        <v>99</v>
      </c>
      <c r="AA120" t="s">
        <v>139</v>
      </c>
      <c r="AB120" t="s">
        <v>261</v>
      </c>
      <c r="AC120" t="s">
        <v>262</v>
      </c>
      <c r="AG120" t="s">
        <v>1106</v>
      </c>
      <c r="AH120" t="s">
        <v>65</v>
      </c>
      <c r="AI120" t="s">
        <v>254</v>
      </c>
      <c r="AJ120">
        <v>1937</v>
      </c>
      <c r="AK120" t="s">
        <v>1107</v>
      </c>
      <c r="AM120" t="s">
        <v>1108</v>
      </c>
      <c r="AN120" t="s">
        <v>94</v>
      </c>
      <c r="AO120" t="s">
        <v>68</v>
      </c>
      <c r="AP120" t="s">
        <v>95</v>
      </c>
      <c r="AQ120" t="s">
        <v>1109</v>
      </c>
      <c r="AR120" t="s">
        <v>70</v>
      </c>
      <c r="AS120">
        <v>302</v>
      </c>
      <c r="AT120" t="s">
        <v>71</v>
      </c>
      <c r="AU120">
        <v>51.93</v>
      </c>
      <c r="AV120">
        <v>34.33</v>
      </c>
      <c r="AW120" t="s">
        <v>72</v>
      </c>
      <c r="AX120">
        <v>301</v>
      </c>
      <c r="AY120" t="s">
        <v>71</v>
      </c>
      <c r="AZ120">
        <v>43.53</v>
      </c>
      <c r="BA120">
        <v>29.28</v>
      </c>
      <c r="BB120" t="s">
        <v>73</v>
      </c>
    </row>
    <row r="121" spans="1:54" x14ac:dyDescent="0.4">
      <c r="A121">
        <v>838586</v>
      </c>
      <c r="D121" t="s">
        <v>763</v>
      </c>
      <c r="E121" t="s">
        <v>55</v>
      </c>
      <c r="G121">
        <v>1</v>
      </c>
      <c r="H121" t="s">
        <v>56</v>
      </c>
      <c r="I121" t="s">
        <v>57</v>
      </c>
      <c r="K121" t="s">
        <v>102</v>
      </c>
      <c r="L121" t="s">
        <v>168</v>
      </c>
      <c r="M121" t="s">
        <v>59</v>
      </c>
      <c r="O121" t="s">
        <v>107</v>
      </c>
      <c r="P121" t="s">
        <v>169</v>
      </c>
      <c r="R121" t="s">
        <v>138</v>
      </c>
      <c r="S121" t="s">
        <v>98</v>
      </c>
      <c r="T121">
        <v>264.27999999999997</v>
      </c>
      <c r="U121">
        <v>259.51</v>
      </c>
      <c r="V121">
        <f>(T121+U121)/2</f>
        <v>261.89499999999998</v>
      </c>
      <c r="W121">
        <f>T121-U121</f>
        <v>4.7699999999999818</v>
      </c>
      <c r="X121">
        <v>21.773610999999999</v>
      </c>
      <c r="Y121">
        <v>-32.466667000000001</v>
      </c>
      <c r="Z121" t="s">
        <v>372</v>
      </c>
      <c r="AA121" t="s">
        <v>86</v>
      </c>
      <c r="AB121" t="s">
        <v>170</v>
      </c>
      <c r="AC121" t="s">
        <v>171</v>
      </c>
      <c r="AD121" t="s">
        <v>172</v>
      </c>
      <c r="AE121" t="s">
        <v>90</v>
      </c>
      <c r="AG121" t="s">
        <v>978</v>
      </c>
      <c r="AH121" t="s">
        <v>65</v>
      </c>
      <c r="AI121" t="s">
        <v>1002</v>
      </c>
      <c r="AJ121">
        <v>1892</v>
      </c>
      <c r="AK121" t="s">
        <v>1084</v>
      </c>
      <c r="AM121" t="s">
        <v>1085</v>
      </c>
      <c r="AN121" t="s">
        <v>94</v>
      </c>
      <c r="AO121" t="s">
        <v>106</v>
      </c>
      <c r="AP121" t="s">
        <v>69</v>
      </c>
      <c r="AQ121" t="s">
        <v>1086</v>
      </c>
      <c r="AR121" t="s">
        <v>70</v>
      </c>
      <c r="AS121">
        <v>701</v>
      </c>
      <c r="AT121" t="s">
        <v>71</v>
      </c>
      <c r="AU121">
        <v>-27.95</v>
      </c>
      <c r="AV121">
        <v>-52.72</v>
      </c>
      <c r="AW121" t="s">
        <v>72</v>
      </c>
      <c r="AX121">
        <v>701</v>
      </c>
      <c r="AY121" t="s">
        <v>71</v>
      </c>
      <c r="AZ121">
        <v>-34.630000000000003</v>
      </c>
      <c r="BA121">
        <v>-58.9</v>
      </c>
      <c r="BB121" t="s">
        <v>73</v>
      </c>
    </row>
    <row r="122" spans="1:54" x14ac:dyDescent="0.4">
      <c r="A122">
        <v>838605</v>
      </c>
      <c r="D122" t="s">
        <v>54</v>
      </c>
      <c r="G122">
        <v>1</v>
      </c>
      <c r="H122" t="s">
        <v>56</v>
      </c>
      <c r="I122" t="s">
        <v>57</v>
      </c>
      <c r="K122" t="s">
        <v>102</v>
      </c>
      <c r="L122" t="s">
        <v>168</v>
      </c>
      <c r="M122" t="s">
        <v>59</v>
      </c>
      <c r="O122" t="s">
        <v>107</v>
      </c>
      <c r="P122" t="s">
        <v>169</v>
      </c>
      <c r="R122" t="s">
        <v>138</v>
      </c>
      <c r="S122" t="s">
        <v>98</v>
      </c>
      <c r="T122">
        <v>264.27999999999997</v>
      </c>
      <c r="U122">
        <v>259.51</v>
      </c>
      <c r="V122">
        <f>(T122+U122)/2</f>
        <v>261.89499999999998</v>
      </c>
      <c r="W122">
        <f>T122-U122</f>
        <v>4.7699999999999818</v>
      </c>
      <c r="X122">
        <v>21.864445</v>
      </c>
      <c r="Y122">
        <v>-32.462502000000001</v>
      </c>
      <c r="Z122" t="s">
        <v>126</v>
      </c>
      <c r="AA122" t="s">
        <v>86</v>
      </c>
      <c r="AB122" t="s">
        <v>170</v>
      </c>
      <c r="AC122" t="s">
        <v>171</v>
      </c>
      <c r="AD122" t="s">
        <v>172</v>
      </c>
      <c r="AE122" t="s">
        <v>90</v>
      </c>
      <c r="AG122" t="s">
        <v>978</v>
      </c>
      <c r="AH122" t="s">
        <v>65</v>
      </c>
      <c r="AI122" t="s">
        <v>1105</v>
      </c>
      <c r="AJ122">
        <v>1997</v>
      </c>
      <c r="AK122" t="s">
        <v>1149</v>
      </c>
      <c r="AM122" t="s">
        <v>1150</v>
      </c>
      <c r="AN122" t="s">
        <v>177</v>
      </c>
      <c r="AO122" t="s">
        <v>68</v>
      </c>
      <c r="AP122" t="s">
        <v>95</v>
      </c>
      <c r="AQ122" t="s">
        <v>1151</v>
      </c>
      <c r="AR122" t="s">
        <v>70</v>
      </c>
      <c r="AS122">
        <v>701</v>
      </c>
      <c r="AT122" t="s">
        <v>71</v>
      </c>
      <c r="AU122">
        <v>-27.9</v>
      </c>
      <c r="AV122">
        <v>-52.78</v>
      </c>
      <c r="AW122" t="s">
        <v>72</v>
      </c>
      <c r="AX122">
        <v>701</v>
      </c>
      <c r="AY122" t="s">
        <v>71</v>
      </c>
      <c r="AZ122">
        <v>-34.57</v>
      </c>
      <c r="BA122">
        <v>-58.97</v>
      </c>
      <c r="BB122" t="s">
        <v>73</v>
      </c>
    </row>
    <row r="123" spans="1:54" x14ac:dyDescent="0.4">
      <c r="A123">
        <v>838606</v>
      </c>
      <c r="D123" t="s">
        <v>54</v>
      </c>
      <c r="G123">
        <v>1</v>
      </c>
      <c r="H123" t="s">
        <v>56</v>
      </c>
      <c r="I123" t="s">
        <v>57</v>
      </c>
      <c r="K123" t="s">
        <v>102</v>
      </c>
      <c r="L123" t="s">
        <v>168</v>
      </c>
      <c r="M123" t="s">
        <v>59</v>
      </c>
      <c r="O123" t="s">
        <v>107</v>
      </c>
      <c r="P123" t="s">
        <v>169</v>
      </c>
      <c r="R123" t="s">
        <v>138</v>
      </c>
      <c r="S123" t="s">
        <v>98</v>
      </c>
      <c r="T123">
        <v>264.27999999999997</v>
      </c>
      <c r="U123">
        <v>259.51</v>
      </c>
      <c r="V123">
        <f>(T123+U123)/2</f>
        <v>261.89499999999998</v>
      </c>
      <c r="W123">
        <f>T123-U123</f>
        <v>4.7699999999999818</v>
      </c>
      <c r="X123">
        <v>21.967500999999999</v>
      </c>
      <c r="Y123">
        <v>-32.816113000000001</v>
      </c>
      <c r="Z123" t="s">
        <v>126</v>
      </c>
      <c r="AA123" t="s">
        <v>86</v>
      </c>
      <c r="AB123" t="s">
        <v>170</v>
      </c>
      <c r="AC123" t="s">
        <v>1001</v>
      </c>
      <c r="AD123" t="s">
        <v>172</v>
      </c>
      <c r="AE123" t="s">
        <v>90</v>
      </c>
      <c r="AG123" t="s">
        <v>978</v>
      </c>
      <c r="AH123" t="s">
        <v>65</v>
      </c>
      <c r="AI123" t="s">
        <v>174</v>
      </c>
      <c r="AJ123">
        <v>1929</v>
      </c>
      <c r="AK123" t="s">
        <v>1152</v>
      </c>
      <c r="AM123" t="s">
        <v>1153</v>
      </c>
      <c r="AN123" t="s">
        <v>94</v>
      </c>
      <c r="AO123" t="s">
        <v>68</v>
      </c>
      <c r="AP123" t="s">
        <v>95</v>
      </c>
      <c r="AQ123" t="s">
        <v>1154</v>
      </c>
      <c r="AR123" t="s">
        <v>70</v>
      </c>
      <c r="AS123">
        <v>701</v>
      </c>
      <c r="AT123" t="s">
        <v>71</v>
      </c>
      <c r="AU123">
        <v>-28.39</v>
      </c>
      <c r="AV123">
        <v>-53</v>
      </c>
      <c r="AW123" t="s">
        <v>72</v>
      </c>
      <c r="AX123">
        <v>701</v>
      </c>
      <c r="AY123" t="s">
        <v>71</v>
      </c>
      <c r="AZ123">
        <v>-35.18</v>
      </c>
      <c r="BA123">
        <v>-59.16</v>
      </c>
      <c r="BB123" t="s">
        <v>73</v>
      </c>
    </row>
    <row r="124" spans="1:54" x14ac:dyDescent="0.4">
      <c r="A124">
        <v>838608</v>
      </c>
      <c r="D124" t="s">
        <v>54</v>
      </c>
      <c r="G124">
        <v>1</v>
      </c>
      <c r="H124" t="s">
        <v>56</v>
      </c>
      <c r="I124" t="s">
        <v>57</v>
      </c>
      <c r="K124" t="s">
        <v>102</v>
      </c>
      <c r="L124" t="s">
        <v>168</v>
      </c>
      <c r="M124" t="s">
        <v>59</v>
      </c>
      <c r="O124" t="s">
        <v>107</v>
      </c>
      <c r="P124" t="s">
        <v>169</v>
      </c>
      <c r="R124" t="s">
        <v>138</v>
      </c>
      <c r="S124" t="s">
        <v>98</v>
      </c>
      <c r="T124">
        <v>264.27999999999997</v>
      </c>
      <c r="U124">
        <v>259.51</v>
      </c>
      <c r="V124">
        <f>(T124+U124)/2</f>
        <v>261.89499999999998</v>
      </c>
      <c r="W124">
        <f>T124-U124</f>
        <v>4.7699999999999818</v>
      </c>
      <c r="X124">
        <v>22.033332999999999</v>
      </c>
      <c r="Y124">
        <v>-32.905555999999997</v>
      </c>
      <c r="Z124" t="s">
        <v>126</v>
      </c>
      <c r="AA124" t="s">
        <v>86</v>
      </c>
      <c r="AB124" t="s">
        <v>170</v>
      </c>
      <c r="AC124" t="s">
        <v>1001</v>
      </c>
      <c r="AD124" t="s">
        <v>172</v>
      </c>
      <c r="AE124" t="s">
        <v>90</v>
      </c>
      <c r="AG124" t="s">
        <v>978</v>
      </c>
      <c r="AH124" t="s">
        <v>65</v>
      </c>
      <c r="AI124" t="s">
        <v>174</v>
      </c>
      <c r="AJ124">
        <v>1929</v>
      </c>
      <c r="AK124" t="s">
        <v>1155</v>
      </c>
      <c r="AM124" t="s">
        <v>1156</v>
      </c>
      <c r="AN124" t="s">
        <v>177</v>
      </c>
      <c r="AO124" t="s">
        <v>68</v>
      </c>
      <c r="AP124" t="s">
        <v>69</v>
      </c>
      <c r="AQ124" t="s">
        <v>1157</v>
      </c>
      <c r="AR124" t="s">
        <v>70</v>
      </c>
      <c r="AS124">
        <v>701</v>
      </c>
      <c r="AT124" t="s">
        <v>71</v>
      </c>
      <c r="AU124">
        <v>-28.49</v>
      </c>
      <c r="AV124">
        <v>-53.08</v>
      </c>
      <c r="AW124" t="s">
        <v>72</v>
      </c>
      <c r="AX124">
        <v>701</v>
      </c>
      <c r="AY124" t="s">
        <v>71</v>
      </c>
      <c r="AZ124">
        <v>-35.31</v>
      </c>
      <c r="BA124">
        <v>-59.24</v>
      </c>
      <c r="BB124" t="s">
        <v>73</v>
      </c>
    </row>
    <row r="125" spans="1:54" x14ac:dyDescent="0.4">
      <c r="A125">
        <v>838614</v>
      </c>
      <c r="D125" t="s">
        <v>54</v>
      </c>
      <c r="E125" t="s">
        <v>55</v>
      </c>
      <c r="G125">
        <v>1</v>
      </c>
      <c r="H125" t="s">
        <v>56</v>
      </c>
      <c r="I125" t="s">
        <v>57</v>
      </c>
      <c r="K125" t="s">
        <v>102</v>
      </c>
      <c r="L125" t="s">
        <v>168</v>
      </c>
      <c r="M125" t="s">
        <v>59</v>
      </c>
      <c r="O125" t="s">
        <v>107</v>
      </c>
      <c r="P125" t="s">
        <v>169</v>
      </c>
      <c r="R125" t="s">
        <v>138</v>
      </c>
      <c r="S125" t="s">
        <v>98</v>
      </c>
      <c r="T125">
        <v>264.27999999999997</v>
      </c>
      <c r="U125">
        <v>259.51</v>
      </c>
      <c r="V125">
        <f>(T125+U125)/2</f>
        <v>261.89499999999998</v>
      </c>
      <c r="W125">
        <f>T125-U125</f>
        <v>4.7699999999999818</v>
      </c>
      <c r="X125">
        <v>21.819721000000001</v>
      </c>
      <c r="Y125">
        <v>-32.904719999999998</v>
      </c>
      <c r="Z125" t="s">
        <v>126</v>
      </c>
      <c r="AA125" t="s">
        <v>86</v>
      </c>
      <c r="AB125" t="s">
        <v>170</v>
      </c>
      <c r="AC125" t="s">
        <v>1001</v>
      </c>
      <c r="AD125" t="s">
        <v>172</v>
      </c>
      <c r="AE125" t="s">
        <v>90</v>
      </c>
      <c r="AG125" t="s">
        <v>173</v>
      </c>
      <c r="AH125" t="s">
        <v>65</v>
      </c>
      <c r="AI125" t="s">
        <v>174</v>
      </c>
      <c r="AJ125">
        <v>1929</v>
      </c>
      <c r="AK125" t="s">
        <v>1158</v>
      </c>
      <c r="AL125">
        <v>92645</v>
      </c>
      <c r="AN125" t="s">
        <v>94</v>
      </c>
      <c r="AO125" t="s">
        <v>68</v>
      </c>
      <c r="AP125" t="s">
        <v>95</v>
      </c>
      <c r="AQ125" t="s">
        <v>1159</v>
      </c>
      <c r="AR125" t="s">
        <v>70</v>
      </c>
      <c r="AS125">
        <v>701</v>
      </c>
      <c r="AT125" t="s">
        <v>71</v>
      </c>
      <c r="AU125">
        <v>-28.6</v>
      </c>
      <c r="AV125">
        <v>-52.91</v>
      </c>
      <c r="AW125" t="s">
        <v>72</v>
      </c>
      <c r="AX125">
        <v>701</v>
      </c>
      <c r="AY125" t="s">
        <v>71</v>
      </c>
      <c r="AZ125">
        <v>-35.409999999999997</v>
      </c>
      <c r="BA125">
        <v>-59.07</v>
      </c>
      <c r="BB125" t="s">
        <v>73</v>
      </c>
    </row>
    <row r="126" spans="1:54" x14ac:dyDescent="0.4">
      <c r="A126">
        <v>838651</v>
      </c>
      <c r="D126" t="s">
        <v>54</v>
      </c>
      <c r="G126">
        <v>1</v>
      </c>
      <c r="H126" t="s">
        <v>56</v>
      </c>
      <c r="I126" t="s">
        <v>57</v>
      </c>
      <c r="K126" t="s">
        <v>102</v>
      </c>
      <c r="L126" t="s">
        <v>168</v>
      </c>
      <c r="M126" t="s">
        <v>59</v>
      </c>
      <c r="O126" t="s">
        <v>107</v>
      </c>
      <c r="P126" t="s">
        <v>169</v>
      </c>
      <c r="R126" t="s">
        <v>138</v>
      </c>
      <c r="S126" t="s">
        <v>98</v>
      </c>
      <c r="T126">
        <v>264.27999999999997</v>
      </c>
      <c r="U126">
        <v>259.51</v>
      </c>
      <c r="V126">
        <f>(T126+U126)/2</f>
        <v>261.89499999999998</v>
      </c>
      <c r="W126">
        <f>T126-U126</f>
        <v>4.7699999999999818</v>
      </c>
      <c r="X126">
        <v>22.170500000000001</v>
      </c>
      <c r="Y126">
        <v>-32.486198000000002</v>
      </c>
      <c r="Z126" t="s">
        <v>126</v>
      </c>
      <c r="AA126" t="s">
        <v>86</v>
      </c>
      <c r="AB126" t="s">
        <v>170</v>
      </c>
      <c r="AC126" t="s">
        <v>171</v>
      </c>
      <c r="AD126" t="s">
        <v>172</v>
      </c>
      <c r="AE126" t="s">
        <v>90</v>
      </c>
      <c r="AG126" t="s">
        <v>904</v>
      </c>
      <c r="AH126" t="s">
        <v>65</v>
      </c>
      <c r="AI126" t="s">
        <v>174</v>
      </c>
      <c r="AJ126">
        <v>1929</v>
      </c>
      <c r="AK126" t="s">
        <v>1160</v>
      </c>
      <c r="AM126" t="s">
        <v>1161</v>
      </c>
      <c r="AN126" t="s">
        <v>94</v>
      </c>
      <c r="AO126">
        <v>8</v>
      </c>
      <c r="AP126" t="s">
        <v>69</v>
      </c>
      <c r="AQ126" t="s">
        <v>1162</v>
      </c>
      <c r="AR126" t="s">
        <v>70</v>
      </c>
      <c r="AS126">
        <v>701</v>
      </c>
      <c r="AT126" t="s">
        <v>71</v>
      </c>
      <c r="AU126">
        <v>-27.77</v>
      </c>
      <c r="AV126">
        <v>-53.03</v>
      </c>
      <c r="AW126" t="s">
        <v>72</v>
      </c>
      <c r="AX126">
        <v>701</v>
      </c>
      <c r="AY126" t="s">
        <v>71</v>
      </c>
      <c r="AZ126">
        <v>-34.46</v>
      </c>
      <c r="BA126">
        <v>-59.23</v>
      </c>
      <c r="BB126" t="s">
        <v>73</v>
      </c>
    </row>
    <row r="127" spans="1:54" x14ac:dyDescent="0.4">
      <c r="A127">
        <v>838652</v>
      </c>
      <c r="D127" t="s">
        <v>54</v>
      </c>
      <c r="G127">
        <v>1</v>
      </c>
      <c r="H127" t="s">
        <v>56</v>
      </c>
      <c r="I127" t="s">
        <v>57</v>
      </c>
      <c r="K127" t="s">
        <v>102</v>
      </c>
      <c r="L127" t="s">
        <v>168</v>
      </c>
      <c r="M127" t="s">
        <v>59</v>
      </c>
      <c r="O127" t="s">
        <v>107</v>
      </c>
      <c r="P127" t="s">
        <v>169</v>
      </c>
      <c r="R127" t="s">
        <v>138</v>
      </c>
      <c r="S127" t="s">
        <v>98</v>
      </c>
      <c r="T127">
        <v>264.27999999999997</v>
      </c>
      <c r="U127">
        <v>259.51</v>
      </c>
      <c r="V127">
        <f>(T127+U127)/2</f>
        <v>261.89499999999998</v>
      </c>
      <c r="W127">
        <f>T127-U127</f>
        <v>4.7699999999999818</v>
      </c>
      <c r="X127">
        <v>21.75</v>
      </c>
      <c r="Y127">
        <v>-32.695830999999998</v>
      </c>
      <c r="Z127" t="s">
        <v>126</v>
      </c>
      <c r="AA127" t="s">
        <v>86</v>
      </c>
      <c r="AB127" t="s">
        <v>170</v>
      </c>
      <c r="AC127" t="s">
        <v>1001</v>
      </c>
      <c r="AD127" t="s">
        <v>172</v>
      </c>
      <c r="AE127" t="s">
        <v>90</v>
      </c>
      <c r="AG127" t="s">
        <v>978</v>
      </c>
      <c r="AH127" t="s">
        <v>65</v>
      </c>
      <c r="AI127" t="s">
        <v>174</v>
      </c>
      <c r="AJ127">
        <v>1929</v>
      </c>
      <c r="AK127" t="s">
        <v>1163</v>
      </c>
      <c r="AM127" t="s">
        <v>1164</v>
      </c>
      <c r="AN127" t="s">
        <v>94</v>
      </c>
      <c r="AO127" t="s">
        <v>68</v>
      </c>
      <c r="AP127" t="s">
        <v>95</v>
      </c>
      <c r="AQ127" t="s">
        <v>1165</v>
      </c>
      <c r="AR127" t="s">
        <v>70</v>
      </c>
      <c r="AS127">
        <v>701</v>
      </c>
      <c r="AT127" t="s">
        <v>71</v>
      </c>
      <c r="AU127">
        <v>-28.32</v>
      </c>
      <c r="AV127">
        <v>-52.78</v>
      </c>
      <c r="AW127" t="s">
        <v>72</v>
      </c>
      <c r="AX127">
        <v>701</v>
      </c>
      <c r="AY127" t="s">
        <v>71</v>
      </c>
      <c r="AZ127">
        <v>-35.06</v>
      </c>
      <c r="BA127">
        <v>-58.95</v>
      </c>
      <c r="BB127" t="s">
        <v>73</v>
      </c>
    </row>
    <row r="128" spans="1:54" x14ac:dyDescent="0.4">
      <c r="A128">
        <v>838666</v>
      </c>
      <c r="D128" t="s">
        <v>54</v>
      </c>
      <c r="G128">
        <v>1</v>
      </c>
      <c r="H128" t="s">
        <v>56</v>
      </c>
      <c r="I128" t="s">
        <v>57</v>
      </c>
      <c r="K128" t="s">
        <v>102</v>
      </c>
      <c r="L128" t="s">
        <v>168</v>
      </c>
      <c r="M128" t="s">
        <v>59</v>
      </c>
      <c r="O128" t="s">
        <v>107</v>
      </c>
      <c r="P128" t="s">
        <v>169</v>
      </c>
      <c r="R128" t="s">
        <v>138</v>
      </c>
      <c r="S128" t="s">
        <v>98</v>
      </c>
      <c r="T128">
        <v>264.27999999999997</v>
      </c>
      <c r="U128">
        <v>259.51</v>
      </c>
      <c r="V128">
        <f>(T128+U128)/2</f>
        <v>261.89499999999998</v>
      </c>
      <c r="W128">
        <f>T128-U128</f>
        <v>4.7699999999999818</v>
      </c>
      <c r="X128">
        <v>22.191299000000001</v>
      </c>
      <c r="Y128">
        <v>-32.442901999999997</v>
      </c>
      <c r="Z128" t="s">
        <v>126</v>
      </c>
      <c r="AA128" t="s">
        <v>86</v>
      </c>
      <c r="AB128" t="s">
        <v>170</v>
      </c>
      <c r="AC128" t="s">
        <v>171</v>
      </c>
      <c r="AD128" t="s">
        <v>172</v>
      </c>
      <c r="AE128" t="s">
        <v>90</v>
      </c>
      <c r="AG128" t="s">
        <v>978</v>
      </c>
      <c r="AH128" t="s">
        <v>65</v>
      </c>
      <c r="AI128" t="s">
        <v>174</v>
      </c>
      <c r="AJ128">
        <v>1929</v>
      </c>
      <c r="AK128" t="s">
        <v>1166</v>
      </c>
      <c r="AM128" t="s">
        <v>1167</v>
      </c>
      <c r="AN128" t="s">
        <v>94</v>
      </c>
      <c r="AO128">
        <v>8</v>
      </c>
      <c r="AP128" t="s">
        <v>69</v>
      </c>
      <c r="AQ128" t="s">
        <v>1168</v>
      </c>
      <c r="AR128" t="s">
        <v>70</v>
      </c>
      <c r="AS128">
        <v>701</v>
      </c>
      <c r="AT128" t="s">
        <v>71</v>
      </c>
      <c r="AU128">
        <v>-27.7</v>
      </c>
      <c r="AV128">
        <v>-53.03</v>
      </c>
      <c r="AW128" t="s">
        <v>72</v>
      </c>
      <c r="AX128">
        <v>701</v>
      </c>
      <c r="AY128" t="s">
        <v>71</v>
      </c>
      <c r="AZ128">
        <v>-34.369999999999997</v>
      </c>
      <c r="BA128">
        <v>-59.23</v>
      </c>
      <c r="BB128" t="s">
        <v>73</v>
      </c>
    </row>
    <row r="129" spans="1:54" x14ac:dyDescent="0.4">
      <c r="A129">
        <v>838668</v>
      </c>
      <c r="D129" t="s">
        <v>763</v>
      </c>
      <c r="E129" t="s">
        <v>105</v>
      </c>
      <c r="G129">
        <v>1</v>
      </c>
      <c r="H129" t="s">
        <v>74</v>
      </c>
      <c r="I129" t="s">
        <v>57</v>
      </c>
      <c r="K129" t="s">
        <v>102</v>
      </c>
      <c r="L129" t="s">
        <v>168</v>
      </c>
      <c r="M129" t="s">
        <v>59</v>
      </c>
      <c r="O129" t="s">
        <v>107</v>
      </c>
      <c r="P129" t="s">
        <v>169</v>
      </c>
      <c r="R129" t="s">
        <v>138</v>
      </c>
      <c r="S129" t="s">
        <v>98</v>
      </c>
      <c r="T129">
        <v>264.27999999999997</v>
      </c>
      <c r="U129">
        <v>259.51</v>
      </c>
      <c r="V129">
        <f>(T129+U129)/2</f>
        <v>261.89499999999998</v>
      </c>
      <c r="W129">
        <f>T129-U129</f>
        <v>4.7699999999999818</v>
      </c>
      <c r="X129">
        <v>22</v>
      </c>
      <c r="Y129">
        <v>-32.366669000000002</v>
      </c>
      <c r="Z129" t="s">
        <v>126</v>
      </c>
      <c r="AA129" t="s">
        <v>86</v>
      </c>
      <c r="AB129" t="s">
        <v>170</v>
      </c>
      <c r="AC129" t="s">
        <v>171</v>
      </c>
      <c r="AD129" t="s">
        <v>172</v>
      </c>
      <c r="AE129" t="s">
        <v>90</v>
      </c>
      <c r="AG129" t="s">
        <v>978</v>
      </c>
      <c r="AH129" t="s">
        <v>65</v>
      </c>
      <c r="AI129" t="s">
        <v>174</v>
      </c>
      <c r="AJ129">
        <v>1929</v>
      </c>
      <c r="AK129" t="s">
        <v>982</v>
      </c>
      <c r="AM129" t="s">
        <v>983</v>
      </c>
      <c r="AN129" t="s">
        <v>94</v>
      </c>
      <c r="AO129" t="s">
        <v>106</v>
      </c>
      <c r="AP129" t="s">
        <v>69</v>
      </c>
      <c r="AQ129" t="s">
        <v>984</v>
      </c>
      <c r="AR129" t="s">
        <v>70</v>
      </c>
      <c r="AS129">
        <v>701</v>
      </c>
      <c r="AT129" t="s">
        <v>71</v>
      </c>
      <c r="AU129">
        <v>-27.68</v>
      </c>
      <c r="AV129">
        <v>-52.85</v>
      </c>
      <c r="AW129" t="s">
        <v>72</v>
      </c>
      <c r="AX129">
        <v>701</v>
      </c>
      <c r="AY129" t="s">
        <v>71</v>
      </c>
      <c r="AZ129">
        <v>-34.33</v>
      </c>
      <c r="BA129">
        <v>-59.05</v>
      </c>
      <c r="BB129" t="s">
        <v>73</v>
      </c>
    </row>
    <row r="130" spans="1:54" x14ac:dyDescent="0.4">
      <c r="A130">
        <v>838670</v>
      </c>
      <c r="D130" t="s">
        <v>54</v>
      </c>
      <c r="G130">
        <v>1</v>
      </c>
      <c r="H130" t="s">
        <v>56</v>
      </c>
      <c r="I130" t="s">
        <v>57</v>
      </c>
      <c r="K130" t="s">
        <v>102</v>
      </c>
      <c r="L130" t="s">
        <v>168</v>
      </c>
      <c r="M130" t="s">
        <v>59</v>
      </c>
      <c r="O130" t="s">
        <v>107</v>
      </c>
      <c r="P130" t="s">
        <v>169</v>
      </c>
      <c r="R130" t="s">
        <v>138</v>
      </c>
      <c r="S130" t="s">
        <v>98</v>
      </c>
      <c r="T130">
        <v>264.27999999999997</v>
      </c>
      <c r="U130">
        <v>259.51</v>
      </c>
      <c r="V130">
        <f>(T130+U130)/2</f>
        <v>261.89499999999998</v>
      </c>
      <c r="W130">
        <f>T130-U130</f>
        <v>4.7699999999999818</v>
      </c>
      <c r="X130">
        <v>22.033332999999999</v>
      </c>
      <c r="Y130">
        <v>-32.905555999999997</v>
      </c>
      <c r="Z130" t="s">
        <v>126</v>
      </c>
      <c r="AA130" t="s">
        <v>86</v>
      </c>
      <c r="AB130" t="s">
        <v>170</v>
      </c>
      <c r="AC130" t="s">
        <v>1001</v>
      </c>
      <c r="AD130" t="s">
        <v>172</v>
      </c>
      <c r="AE130" t="s">
        <v>90</v>
      </c>
      <c r="AG130" t="s">
        <v>978</v>
      </c>
      <c r="AH130" t="s">
        <v>65</v>
      </c>
      <c r="AI130" t="s">
        <v>174</v>
      </c>
      <c r="AJ130">
        <v>1929</v>
      </c>
      <c r="AK130" t="s">
        <v>1155</v>
      </c>
      <c r="AM130" t="s">
        <v>1156</v>
      </c>
      <c r="AN130" t="s">
        <v>177</v>
      </c>
      <c r="AO130" t="s">
        <v>68</v>
      </c>
      <c r="AP130" t="s">
        <v>69</v>
      </c>
      <c r="AQ130" t="s">
        <v>1157</v>
      </c>
      <c r="AR130" t="s">
        <v>70</v>
      </c>
      <c r="AS130">
        <v>701</v>
      </c>
      <c r="AT130" t="s">
        <v>71</v>
      </c>
      <c r="AU130">
        <v>-28.49</v>
      </c>
      <c r="AV130">
        <v>-53.08</v>
      </c>
      <c r="AW130" t="s">
        <v>72</v>
      </c>
      <c r="AX130">
        <v>701</v>
      </c>
      <c r="AY130" t="s">
        <v>71</v>
      </c>
      <c r="AZ130">
        <v>-35.31</v>
      </c>
      <c r="BA130">
        <v>-59.24</v>
      </c>
      <c r="BB130" t="s">
        <v>73</v>
      </c>
    </row>
    <row r="131" spans="1:54" x14ac:dyDescent="0.4">
      <c r="A131">
        <v>838670</v>
      </c>
      <c r="D131" t="s">
        <v>54</v>
      </c>
      <c r="G131">
        <v>1</v>
      </c>
      <c r="H131" t="s">
        <v>56</v>
      </c>
      <c r="I131" t="s">
        <v>57</v>
      </c>
      <c r="K131" t="s">
        <v>102</v>
      </c>
      <c r="L131" t="s">
        <v>168</v>
      </c>
      <c r="M131" t="s">
        <v>59</v>
      </c>
      <c r="O131" t="s">
        <v>107</v>
      </c>
      <c r="P131" t="s">
        <v>169</v>
      </c>
      <c r="R131" t="s">
        <v>138</v>
      </c>
      <c r="S131" t="s">
        <v>98</v>
      </c>
      <c r="T131">
        <v>264.27999999999997</v>
      </c>
      <c r="U131">
        <v>259.51</v>
      </c>
      <c r="V131">
        <f>(T131+U131)/2</f>
        <v>261.89499999999998</v>
      </c>
      <c r="W131">
        <f>T131-U131</f>
        <v>4.7699999999999818</v>
      </c>
      <c r="X131">
        <v>22.033332999999999</v>
      </c>
      <c r="Y131">
        <v>-32.905555999999997</v>
      </c>
      <c r="Z131" t="s">
        <v>126</v>
      </c>
      <c r="AA131" t="s">
        <v>86</v>
      </c>
      <c r="AB131" t="s">
        <v>170</v>
      </c>
      <c r="AC131" t="s">
        <v>1001</v>
      </c>
      <c r="AD131" t="s">
        <v>172</v>
      </c>
      <c r="AE131" t="s">
        <v>90</v>
      </c>
      <c r="AG131" t="s">
        <v>978</v>
      </c>
      <c r="AH131" t="s">
        <v>65</v>
      </c>
      <c r="AI131" t="s">
        <v>174</v>
      </c>
      <c r="AJ131">
        <v>1929</v>
      </c>
      <c r="AK131" t="s">
        <v>1155</v>
      </c>
      <c r="AM131" t="s">
        <v>1156</v>
      </c>
      <c r="AN131" t="s">
        <v>177</v>
      </c>
      <c r="AO131" t="s">
        <v>68</v>
      </c>
      <c r="AP131" t="s">
        <v>69</v>
      </c>
      <c r="AQ131" t="s">
        <v>1157</v>
      </c>
      <c r="AR131" t="s">
        <v>70</v>
      </c>
      <c r="AS131">
        <v>701</v>
      </c>
      <c r="AT131" t="s">
        <v>71</v>
      </c>
      <c r="AU131">
        <v>-28.49</v>
      </c>
      <c r="AV131">
        <v>-53.08</v>
      </c>
      <c r="AW131" t="s">
        <v>72</v>
      </c>
      <c r="AX131">
        <v>701</v>
      </c>
      <c r="AY131" t="s">
        <v>71</v>
      </c>
      <c r="AZ131">
        <v>-35.31</v>
      </c>
      <c r="BA131">
        <v>-59.24</v>
      </c>
      <c r="BB131" t="s">
        <v>73</v>
      </c>
    </row>
    <row r="132" spans="1:54" x14ac:dyDescent="0.4">
      <c r="A132">
        <v>838692</v>
      </c>
      <c r="D132" t="s">
        <v>54</v>
      </c>
      <c r="G132">
        <v>1</v>
      </c>
      <c r="H132" t="s">
        <v>56</v>
      </c>
      <c r="I132" t="s">
        <v>57</v>
      </c>
      <c r="K132" t="s">
        <v>102</v>
      </c>
      <c r="L132" t="s">
        <v>168</v>
      </c>
      <c r="M132" t="s">
        <v>59</v>
      </c>
      <c r="O132" t="s">
        <v>107</v>
      </c>
      <c r="P132" t="s">
        <v>169</v>
      </c>
      <c r="R132" t="s">
        <v>138</v>
      </c>
      <c r="S132" t="s">
        <v>98</v>
      </c>
      <c r="T132">
        <v>264.27999999999997</v>
      </c>
      <c r="U132">
        <v>259.51</v>
      </c>
      <c r="V132">
        <f>(T132+U132)/2</f>
        <v>261.89499999999998</v>
      </c>
      <c r="W132">
        <f>T132-U132</f>
        <v>4.7699999999999818</v>
      </c>
      <c r="X132">
        <v>21.967500999999999</v>
      </c>
      <c r="Y132">
        <v>-32.816113000000001</v>
      </c>
      <c r="Z132" t="s">
        <v>126</v>
      </c>
      <c r="AA132" t="s">
        <v>86</v>
      </c>
      <c r="AB132" t="s">
        <v>170</v>
      </c>
      <c r="AC132" t="s">
        <v>1001</v>
      </c>
      <c r="AD132" t="s">
        <v>172</v>
      </c>
      <c r="AE132" t="s">
        <v>90</v>
      </c>
      <c r="AG132" t="s">
        <v>978</v>
      </c>
      <c r="AH132" t="s">
        <v>65</v>
      </c>
      <c r="AI132" t="s">
        <v>174</v>
      </c>
      <c r="AJ132">
        <v>1929</v>
      </c>
      <c r="AK132" t="s">
        <v>1152</v>
      </c>
      <c r="AM132" t="s">
        <v>1153</v>
      </c>
      <c r="AN132" t="s">
        <v>94</v>
      </c>
      <c r="AO132" t="s">
        <v>68</v>
      </c>
      <c r="AP132" t="s">
        <v>95</v>
      </c>
      <c r="AQ132" t="s">
        <v>1154</v>
      </c>
      <c r="AR132" t="s">
        <v>70</v>
      </c>
      <c r="AS132">
        <v>701</v>
      </c>
      <c r="AT132" t="s">
        <v>71</v>
      </c>
      <c r="AU132">
        <v>-28.39</v>
      </c>
      <c r="AV132">
        <v>-53</v>
      </c>
      <c r="AW132" t="s">
        <v>72</v>
      </c>
      <c r="AX132">
        <v>701</v>
      </c>
      <c r="AY132" t="s">
        <v>71</v>
      </c>
      <c r="AZ132">
        <v>-35.18</v>
      </c>
      <c r="BA132">
        <v>-59.16</v>
      </c>
      <c r="BB132" t="s">
        <v>73</v>
      </c>
    </row>
    <row r="133" spans="1:54" x14ac:dyDescent="0.4">
      <c r="A133">
        <v>1163740</v>
      </c>
      <c r="D133" t="s">
        <v>54</v>
      </c>
      <c r="G133">
        <v>1</v>
      </c>
      <c r="H133" t="s">
        <v>56</v>
      </c>
      <c r="I133" t="s">
        <v>57</v>
      </c>
      <c r="K133" t="s">
        <v>102</v>
      </c>
      <c r="L133" t="s">
        <v>1795</v>
      </c>
      <c r="M133" t="s">
        <v>59</v>
      </c>
      <c r="P133" t="s">
        <v>169</v>
      </c>
      <c r="R133" t="s">
        <v>138</v>
      </c>
      <c r="S133" t="s">
        <v>98</v>
      </c>
      <c r="T133">
        <v>264.27999999999997</v>
      </c>
      <c r="U133">
        <v>259.51</v>
      </c>
      <c r="V133">
        <f>(T133+U133)/2</f>
        <v>261.89499999999998</v>
      </c>
      <c r="W133">
        <f>T133-U133</f>
        <v>4.7699999999999818</v>
      </c>
      <c r="X133">
        <v>48.828609</v>
      </c>
      <c r="Y133">
        <v>55.017223000000001</v>
      </c>
      <c r="Z133" t="s">
        <v>99</v>
      </c>
      <c r="AA133" t="s">
        <v>139</v>
      </c>
      <c r="AB133" t="s">
        <v>261</v>
      </c>
      <c r="AC133" t="s">
        <v>262</v>
      </c>
      <c r="AG133" t="s">
        <v>1106</v>
      </c>
      <c r="AH133" t="s">
        <v>65</v>
      </c>
      <c r="AI133" t="s">
        <v>300</v>
      </c>
      <c r="AJ133">
        <v>1997</v>
      </c>
      <c r="AK133" t="s">
        <v>1107</v>
      </c>
      <c r="AM133" t="s">
        <v>1108</v>
      </c>
      <c r="AN133" t="s">
        <v>94</v>
      </c>
      <c r="AO133" t="s">
        <v>68</v>
      </c>
      <c r="AP133" t="s">
        <v>95</v>
      </c>
      <c r="AQ133" t="s">
        <v>1109</v>
      </c>
      <c r="AR133" t="s">
        <v>70</v>
      </c>
      <c r="AS133">
        <v>302</v>
      </c>
      <c r="AT133" t="s">
        <v>71</v>
      </c>
      <c r="AU133">
        <v>51.93</v>
      </c>
      <c r="AV133">
        <v>34.33</v>
      </c>
      <c r="AW133" t="s">
        <v>72</v>
      </c>
      <c r="AX133">
        <v>301</v>
      </c>
      <c r="AY133" t="s">
        <v>71</v>
      </c>
      <c r="AZ133">
        <v>43.53</v>
      </c>
      <c r="BA133">
        <v>29.28</v>
      </c>
      <c r="BB133" t="s">
        <v>73</v>
      </c>
    </row>
    <row r="134" spans="1:54" x14ac:dyDescent="0.4">
      <c r="A134">
        <v>1313329</v>
      </c>
      <c r="D134" t="s">
        <v>54</v>
      </c>
      <c r="I134" t="s">
        <v>57</v>
      </c>
      <c r="K134" t="s">
        <v>102</v>
      </c>
      <c r="L134" t="s">
        <v>1824</v>
      </c>
      <c r="M134" t="s">
        <v>59</v>
      </c>
      <c r="O134" t="s">
        <v>107</v>
      </c>
      <c r="P134" t="s">
        <v>169</v>
      </c>
      <c r="R134" t="s">
        <v>138</v>
      </c>
      <c r="S134" t="s">
        <v>98</v>
      </c>
      <c r="T134">
        <v>264.27999999999997</v>
      </c>
      <c r="U134">
        <v>259.51</v>
      </c>
      <c r="V134">
        <f>(T134+U134)/2</f>
        <v>261.89499999999998</v>
      </c>
      <c r="W134">
        <f>T134-U134</f>
        <v>4.7699999999999818</v>
      </c>
      <c r="X134">
        <v>22.105556</v>
      </c>
      <c r="Y134">
        <v>-32.075001</v>
      </c>
      <c r="Z134" t="s">
        <v>85</v>
      </c>
      <c r="AA134" t="s">
        <v>86</v>
      </c>
      <c r="AB134" t="s">
        <v>274</v>
      </c>
      <c r="AC134" t="s">
        <v>1877</v>
      </c>
      <c r="AD134" t="s">
        <v>575</v>
      </c>
      <c r="AE134" t="s">
        <v>90</v>
      </c>
      <c r="AF134" t="s">
        <v>1878</v>
      </c>
      <c r="AG134" t="s">
        <v>1879</v>
      </c>
      <c r="AH134" t="s">
        <v>11</v>
      </c>
      <c r="AI134" t="s">
        <v>1880</v>
      </c>
      <c r="AJ134">
        <v>2015</v>
      </c>
      <c r="AK134" t="s">
        <v>1881</v>
      </c>
      <c r="AM134" t="s">
        <v>1882</v>
      </c>
      <c r="AN134" t="s">
        <v>121</v>
      </c>
      <c r="AO134" t="s">
        <v>68</v>
      </c>
      <c r="AP134" t="s">
        <v>182</v>
      </c>
      <c r="AR134" t="s">
        <v>70</v>
      </c>
      <c r="AS134">
        <v>701</v>
      </c>
      <c r="AT134" t="s">
        <v>71</v>
      </c>
      <c r="AU134">
        <v>-27.18</v>
      </c>
      <c r="AV134">
        <v>-52.83</v>
      </c>
      <c r="AW134" t="s">
        <v>72</v>
      </c>
      <c r="AX134">
        <v>701</v>
      </c>
      <c r="AY134" t="s">
        <v>71</v>
      </c>
      <c r="AZ134">
        <v>-33.729999999999997</v>
      </c>
      <c r="BA134">
        <v>-59.05</v>
      </c>
      <c r="BB134" t="s">
        <v>73</v>
      </c>
    </row>
    <row r="135" spans="1:54" x14ac:dyDescent="0.4">
      <c r="A135">
        <v>1313330</v>
      </c>
      <c r="D135" t="s">
        <v>54</v>
      </c>
      <c r="I135" t="s">
        <v>57</v>
      </c>
      <c r="K135" t="s">
        <v>102</v>
      </c>
      <c r="L135" t="s">
        <v>273</v>
      </c>
      <c r="M135" t="s">
        <v>59</v>
      </c>
      <c r="O135" t="s">
        <v>107</v>
      </c>
      <c r="P135" t="s">
        <v>169</v>
      </c>
      <c r="R135" t="s">
        <v>138</v>
      </c>
      <c r="S135" t="s">
        <v>98</v>
      </c>
      <c r="T135">
        <v>264.27999999999997</v>
      </c>
      <c r="U135">
        <v>259.51</v>
      </c>
      <c r="V135">
        <f>(T135+U135)/2</f>
        <v>261.89499999999998</v>
      </c>
      <c r="W135">
        <f>T135-U135</f>
        <v>4.7699999999999818</v>
      </c>
      <c r="X135">
        <v>22.105556</v>
      </c>
      <c r="Y135">
        <v>-32.075001</v>
      </c>
      <c r="Z135" t="s">
        <v>85</v>
      </c>
      <c r="AA135" t="s">
        <v>86</v>
      </c>
      <c r="AB135" t="s">
        <v>274</v>
      </c>
      <c r="AC135" t="s">
        <v>1877</v>
      </c>
      <c r="AD135" t="s">
        <v>575</v>
      </c>
      <c r="AE135" t="s">
        <v>90</v>
      </c>
      <c r="AF135" t="s">
        <v>1878</v>
      </c>
      <c r="AG135" t="s">
        <v>1879</v>
      </c>
      <c r="AH135" t="s">
        <v>11</v>
      </c>
      <c r="AI135" t="s">
        <v>1880</v>
      </c>
      <c r="AJ135">
        <v>2015</v>
      </c>
      <c r="AK135" t="s">
        <v>1881</v>
      </c>
      <c r="AM135" t="s">
        <v>1882</v>
      </c>
      <c r="AN135" t="s">
        <v>121</v>
      </c>
      <c r="AO135" t="s">
        <v>68</v>
      </c>
      <c r="AP135" t="s">
        <v>182</v>
      </c>
      <c r="AR135" t="s">
        <v>70</v>
      </c>
      <c r="AS135">
        <v>701</v>
      </c>
      <c r="AT135" t="s">
        <v>71</v>
      </c>
      <c r="AU135">
        <v>-27.18</v>
      </c>
      <c r="AV135">
        <v>-52.83</v>
      </c>
      <c r="AW135" t="s">
        <v>72</v>
      </c>
      <c r="AX135">
        <v>701</v>
      </c>
      <c r="AY135" t="s">
        <v>71</v>
      </c>
      <c r="AZ135">
        <v>-33.729999999999997</v>
      </c>
      <c r="BA135">
        <v>-59.05</v>
      </c>
      <c r="BB135" t="s">
        <v>73</v>
      </c>
    </row>
    <row r="136" spans="1:54" x14ac:dyDescent="0.4">
      <c r="A136">
        <v>1317363</v>
      </c>
      <c r="D136" t="s">
        <v>54</v>
      </c>
      <c r="I136" t="s">
        <v>57</v>
      </c>
      <c r="K136" t="s">
        <v>102</v>
      </c>
      <c r="L136" t="s">
        <v>168</v>
      </c>
      <c r="M136" t="s">
        <v>59</v>
      </c>
      <c r="O136" t="s">
        <v>107</v>
      </c>
      <c r="P136" t="s">
        <v>169</v>
      </c>
      <c r="R136" t="s">
        <v>138</v>
      </c>
      <c r="S136" t="s">
        <v>98</v>
      </c>
      <c r="T136">
        <v>264.27999999999997</v>
      </c>
      <c r="U136">
        <v>259.51</v>
      </c>
      <c r="V136">
        <f>(T136+U136)/2</f>
        <v>261.89499999999998</v>
      </c>
      <c r="W136">
        <f>T136-U136</f>
        <v>4.7699999999999818</v>
      </c>
      <c r="X136">
        <v>22.016666000000001</v>
      </c>
      <c r="Y136">
        <v>-32.966667000000001</v>
      </c>
      <c r="Z136" t="s">
        <v>99</v>
      </c>
      <c r="AA136" t="s">
        <v>86</v>
      </c>
      <c r="AB136" t="s">
        <v>170</v>
      </c>
      <c r="AC136" t="s">
        <v>1001</v>
      </c>
      <c r="AD136" t="s">
        <v>172</v>
      </c>
      <c r="AE136" t="s">
        <v>90</v>
      </c>
      <c r="AG136" t="s">
        <v>173</v>
      </c>
      <c r="AH136" t="s">
        <v>11</v>
      </c>
      <c r="AI136" t="s">
        <v>1514</v>
      </c>
      <c r="AJ136">
        <v>1977</v>
      </c>
      <c r="AK136" t="s">
        <v>1893</v>
      </c>
      <c r="AM136" t="s">
        <v>1894</v>
      </c>
      <c r="AN136" t="s">
        <v>177</v>
      </c>
      <c r="AO136" t="s">
        <v>106</v>
      </c>
      <c r="AP136" t="s">
        <v>95</v>
      </c>
      <c r="AQ136" t="s">
        <v>1895</v>
      </c>
      <c r="AR136" t="s">
        <v>70</v>
      </c>
      <c r="AS136">
        <v>701</v>
      </c>
      <c r="AT136" t="s">
        <v>71</v>
      </c>
      <c r="AU136">
        <v>-28.6</v>
      </c>
      <c r="AV136">
        <v>-53.09</v>
      </c>
      <c r="AW136" t="s">
        <v>72</v>
      </c>
      <c r="AX136">
        <v>701</v>
      </c>
      <c r="AY136" t="s">
        <v>71</v>
      </c>
      <c r="AZ136">
        <v>-35.44</v>
      </c>
      <c r="BA136">
        <v>-59.25</v>
      </c>
      <c r="BB136" t="s">
        <v>73</v>
      </c>
    </row>
    <row r="137" spans="1:54" x14ac:dyDescent="0.4">
      <c r="A137">
        <v>1325014</v>
      </c>
      <c r="D137" t="s">
        <v>54</v>
      </c>
      <c r="I137" t="s">
        <v>57</v>
      </c>
      <c r="K137" t="s">
        <v>102</v>
      </c>
      <c r="L137" t="s">
        <v>168</v>
      </c>
      <c r="M137" t="s">
        <v>59</v>
      </c>
      <c r="O137" t="s">
        <v>107</v>
      </c>
      <c r="P137" t="s">
        <v>169</v>
      </c>
      <c r="R137" t="s">
        <v>138</v>
      </c>
      <c r="S137" t="s">
        <v>98</v>
      </c>
      <c r="T137">
        <v>264.27999999999997</v>
      </c>
      <c r="U137">
        <v>259.51</v>
      </c>
      <c r="V137">
        <f>(T137+U137)/2</f>
        <v>261.89499999999998</v>
      </c>
      <c r="W137">
        <f>T137-U137</f>
        <v>4.7699999999999818</v>
      </c>
      <c r="X137">
        <v>22.323889000000001</v>
      </c>
      <c r="Y137">
        <v>-32.979999999999997</v>
      </c>
      <c r="Z137" t="s">
        <v>99</v>
      </c>
      <c r="AA137" t="s">
        <v>86</v>
      </c>
      <c r="AB137" t="s">
        <v>170</v>
      </c>
      <c r="AC137" t="s">
        <v>1001</v>
      </c>
      <c r="AE137" t="s">
        <v>90</v>
      </c>
      <c r="AG137" t="s">
        <v>970</v>
      </c>
      <c r="AH137" t="s">
        <v>65</v>
      </c>
      <c r="AI137" t="s">
        <v>1514</v>
      </c>
      <c r="AJ137">
        <v>1977</v>
      </c>
      <c r="AK137" t="s">
        <v>1903</v>
      </c>
      <c r="AM137" t="s">
        <v>1904</v>
      </c>
      <c r="AN137" t="s">
        <v>94</v>
      </c>
      <c r="AO137" t="s">
        <v>68</v>
      </c>
      <c r="AQ137" t="s">
        <v>1905</v>
      </c>
      <c r="AR137" t="s">
        <v>70</v>
      </c>
      <c r="AS137">
        <v>701</v>
      </c>
      <c r="AT137" t="s">
        <v>71</v>
      </c>
      <c r="AU137">
        <v>-28.46</v>
      </c>
      <c r="AV137">
        <v>-53.34</v>
      </c>
      <c r="AW137" t="s">
        <v>72</v>
      </c>
      <c r="AX137">
        <v>701</v>
      </c>
      <c r="AY137" t="s">
        <v>71</v>
      </c>
      <c r="AZ137">
        <v>-35.31</v>
      </c>
      <c r="BA137">
        <v>-59.5</v>
      </c>
      <c r="BB137" t="s">
        <v>73</v>
      </c>
    </row>
    <row r="138" spans="1:54" x14ac:dyDescent="0.4">
      <c r="A138">
        <v>1328819</v>
      </c>
      <c r="D138" t="s">
        <v>54</v>
      </c>
      <c r="I138" t="s">
        <v>57</v>
      </c>
      <c r="K138" t="s">
        <v>102</v>
      </c>
      <c r="L138" t="s">
        <v>1824</v>
      </c>
      <c r="M138" t="s">
        <v>59</v>
      </c>
      <c r="O138" t="s">
        <v>107</v>
      </c>
      <c r="P138" t="s">
        <v>169</v>
      </c>
      <c r="R138" t="s">
        <v>138</v>
      </c>
      <c r="S138" t="s">
        <v>98</v>
      </c>
      <c r="T138">
        <v>264.27999999999997</v>
      </c>
      <c r="U138">
        <v>259.51</v>
      </c>
      <c r="V138">
        <f>(T138+U138)/2</f>
        <v>261.89499999999998</v>
      </c>
      <c r="W138">
        <f>T138-U138</f>
        <v>4.7699999999999818</v>
      </c>
      <c r="X138">
        <v>22.030000999999999</v>
      </c>
      <c r="Y138">
        <v>-33.225276999999998</v>
      </c>
      <c r="Z138" t="s">
        <v>99</v>
      </c>
      <c r="AA138" t="s">
        <v>86</v>
      </c>
      <c r="AB138" t="s">
        <v>170</v>
      </c>
      <c r="AC138" t="s">
        <v>1001</v>
      </c>
      <c r="AG138" t="s">
        <v>978</v>
      </c>
      <c r="AH138" t="s">
        <v>65</v>
      </c>
      <c r="AI138" t="s">
        <v>1514</v>
      </c>
      <c r="AJ138">
        <v>1977</v>
      </c>
      <c r="AK138" t="s">
        <v>1906</v>
      </c>
      <c r="AM138" t="s">
        <v>1907</v>
      </c>
      <c r="AN138" t="s">
        <v>94</v>
      </c>
      <c r="AO138" t="s">
        <v>68</v>
      </c>
      <c r="AP138" t="s">
        <v>182</v>
      </c>
      <c r="AQ138" t="s">
        <v>1908</v>
      </c>
      <c r="AR138" t="s">
        <v>70</v>
      </c>
      <c r="AS138">
        <v>701</v>
      </c>
      <c r="AT138" t="s">
        <v>71</v>
      </c>
      <c r="AU138">
        <v>-28.99</v>
      </c>
      <c r="AV138">
        <v>-53.19</v>
      </c>
      <c r="AW138" t="s">
        <v>72</v>
      </c>
      <c r="AX138">
        <v>701</v>
      </c>
      <c r="AY138" t="s">
        <v>71</v>
      </c>
      <c r="AZ138">
        <v>-35.909999999999997</v>
      </c>
      <c r="BA138">
        <v>-59.33</v>
      </c>
      <c r="BB138" t="s">
        <v>73</v>
      </c>
    </row>
    <row r="139" spans="1:54" x14ac:dyDescent="0.4">
      <c r="A139">
        <v>1340461</v>
      </c>
      <c r="D139" t="s">
        <v>54</v>
      </c>
      <c r="I139" t="s">
        <v>57</v>
      </c>
      <c r="K139" t="s">
        <v>102</v>
      </c>
      <c r="L139" t="s">
        <v>168</v>
      </c>
      <c r="M139" t="s">
        <v>59</v>
      </c>
      <c r="O139" t="s">
        <v>107</v>
      </c>
      <c r="P139" t="s">
        <v>169</v>
      </c>
      <c r="R139" t="s">
        <v>138</v>
      </c>
      <c r="S139" t="s">
        <v>98</v>
      </c>
      <c r="T139">
        <v>264.27999999999997</v>
      </c>
      <c r="U139">
        <v>259.51</v>
      </c>
      <c r="V139">
        <f>(T139+U139)/2</f>
        <v>261.89499999999998</v>
      </c>
      <c r="W139">
        <f>T139-U139</f>
        <v>4.7699999999999818</v>
      </c>
      <c r="X139">
        <v>22.033332999999999</v>
      </c>
      <c r="Y139">
        <v>-32.905555999999997</v>
      </c>
      <c r="Z139" t="s">
        <v>126</v>
      </c>
      <c r="AA139" t="s">
        <v>86</v>
      </c>
      <c r="AB139" t="s">
        <v>170</v>
      </c>
      <c r="AC139" t="s">
        <v>1001</v>
      </c>
      <c r="AD139" t="s">
        <v>172</v>
      </c>
      <c r="AE139" t="s">
        <v>90</v>
      </c>
      <c r="AG139" t="s">
        <v>978</v>
      </c>
      <c r="AH139" t="s">
        <v>11</v>
      </c>
      <c r="AI139" t="s">
        <v>1514</v>
      </c>
      <c r="AJ139">
        <v>1977</v>
      </c>
      <c r="AK139" t="s">
        <v>1155</v>
      </c>
      <c r="AM139" t="s">
        <v>1156</v>
      </c>
      <c r="AN139" t="s">
        <v>177</v>
      </c>
      <c r="AO139" t="s">
        <v>68</v>
      </c>
      <c r="AP139" t="s">
        <v>69</v>
      </c>
      <c r="AQ139" t="s">
        <v>1157</v>
      </c>
      <c r="AR139" t="s">
        <v>70</v>
      </c>
      <c r="AS139">
        <v>701</v>
      </c>
      <c r="AT139" t="s">
        <v>71</v>
      </c>
      <c r="AU139">
        <v>-28.49</v>
      </c>
      <c r="AV139">
        <v>-53.08</v>
      </c>
      <c r="AW139" t="s">
        <v>72</v>
      </c>
      <c r="AX139">
        <v>701</v>
      </c>
      <c r="AY139" t="s">
        <v>71</v>
      </c>
      <c r="AZ139">
        <v>-35.31</v>
      </c>
      <c r="BA139">
        <v>-59.24</v>
      </c>
      <c r="BB139" t="s">
        <v>73</v>
      </c>
    </row>
    <row r="140" spans="1:54" x14ac:dyDescent="0.4">
      <c r="A140">
        <v>1340462</v>
      </c>
      <c r="D140" t="s">
        <v>54</v>
      </c>
      <c r="I140" t="s">
        <v>57</v>
      </c>
      <c r="K140" t="s">
        <v>102</v>
      </c>
      <c r="L140" t="s">
        <v>168</v>
      </c>
      <c r="M140" t="s">
        <v>59</v>
      </c>
      <c r="O140" t="s">
        <v>107</v>
      </c>
      <c r="P140" t="s">
        <v>169</v>
      </c>
      <c r="R140" t="s">
        <v>138</v>
      </c>
      <c r="S140" t="s">
        <v>98</v>
      </c>
      <c r="T140">
        <v>264.27999999999997</v>
      </c>
      <c r="U140">
        <v>259.51</v>
      </c>
      <c r="V140">
        <f>(T140+U140)/2</f>
        <v>261.89499999999998</v>
      </c>
      <c r="W140">
        <f>T140-U140</f>
        <v>4.7699999999999818</v>
      </c>
      <c r="X140">
        <v>22.033332999999999</v>
      </c>
      <c r="Y140">
        <v>-32.905555999999997</v>
      </c>
      <c r="Z140" t="s">
        <v>126</v>
      </c>
      <c r="AA140" t="s">
        <v>86</v>
      </c>
      <c r="AB140" t="s">
        <v>170</v>
      </c>
      <c r="AC140" t="s">
        <v>1001</v>
      </c>
      <c r="AD140" t="s">
        <v>172</v>
      </c>
      <c r="AE140" t="s">
        <v>90</v>
      </c>
      <c r="AG140" t="s">
        <v>978</v>
      </c>
      <c r="AH140" t="s">
        <v>11</v>
      </c>
      <c r="AI140" t="s">
        <v>1514</v>
      </c>
      <c r="AJ140">
        <v>1977</v>
      </c>
      <c r="AK140" t="s">
        <v>1155</v>
      </c>
      <c r="AM140" t="s">
        <v>1156</v>
      </c>
      <c r="AN140" t="s">
        <v>177</v>
      </c>
      <c r="AO140" t="s">
        <v>68</v>
      </c>
      <c r="AP140" t="s">
        <v>69</v>
      </c>
      <c r="AQ140" t="s">
        <v>1157</v>
      </c>
      <c r="AR140" t="s">
        <v>70</v>
      </c>
      <c r="AS140">
        <v>701</v>
      </c>
      <c r="AT140" t="s">
        <v>71</v>
      </c>
      <c r="AU140">
        <v>-28.49</v>
      </c>
      <c r="AV140">
        <v>-53.08</v>
      </c>
      <c r="AW140" t="s">
        <v>72</v>
      </c>
      <c r="AX140">
        <v>701</v>
      </c>
      <c r="AY140" t="s">
        <v>71</v>
      </c>
      <c r="AZ140">
        <v>-35.31</v>
      </c>
      <c r="BA140">
        <v>-59.24</v>
      </c>
      <c r="BB140" t="s">
        <v>73</v>
      </c>
    </row>
    <row r="141" spans="1:54" x14ac:dyDescent="0.4">
      <c r="A141">
        <v>1340493</v>
      </c>
      <c r="D141" t="s">
        <v>54</v>
      </c>
      <c r="I141" t="s">
        <v>57</v>
      </c>
      <c r="K141" t="s">
        <v>102</v>
      </c>
      <c r="L141" t="s">
        <v>168</v>
      </c>
      <c r="M141" t="s">
        <v>59</v>
      </c>
      <c r="O141" t="s">
        <v>107</v>
      </c>
      <c r="P141" t="s">
        <v>169</v>
      </c>
      <c r="R141" t="s">
        <v>138</v>
      </c>
      <c r="S141" t="s">
        <v>98</v>
      </c>
      <c r="T141">
        <v>264.27999999999997</v>
      </c>
      <c r="U141">
        <v>259.51</v>
      </c>
      <c r="V141">
        <f>(T141+U141)/2</f>
        <v>261.89499999999998</v>
      </c>
      <c r="W141">
        <f>T141-U141</f>
        <v>4.7699999999999818</v>
      </c>
      <c r="X141">
        <v>20.668887999999999</v>
      </c>
      <c r="Y141">
        <v>-32.419998</v>
      </c>
      <c r="Z141" t="s">
        <v>99</v>
      </c>
      <c r="AA141" t="s">
        <v>86</v>
      </c>
      <c r="AB141" t="s">
        <v>274</v>
      </c>
      <c r="AC141" t="s">
        <v>1927</v>
      </c>
      <c r="AE141" t="s">
        <v>90</v>
      </c>
      <c r="AG141" t="s">
        <v>970</v>
      </c>
      <c r="AH141" t="s">
        <v>11</v>
      </c>
      <c r="AI141" t="s">
        <v>1514</v>
      </c>
      <c r="AJ141">
        <v>1977</v>
      </c>
      <c r="AK141" t="s">
        <v>1928</v>
      </c>
      <c r="AN141" t="s">
        <v>94</v>
      </c>
      <c r="AO141" t="s">
        <v>68</v>
      </c>
      <c r="AQ141" t="s">
        <v>1929</v>
      </c>
      <c r="AR141" t="s">
        <v>70</v>
      </c>
      <c r="AS141">
        <v>701</v>
      </c>
      <c r="AT141" t="s">
        <v>71</v>
      </c>
      <c r="AU141">
        <v>-28.46</v>
      </c>
      <c r="AV141">
        <v>-51.83</v>
      </c>
      <c r="AW141" t="s">
        <v>72</v>
      </c>
      <c r="AX141">
        <v>701</v>
      </c>
      <c r="AY141" t="s">
        <v>71</v>
      </c>
      <c r="AZ141">
        <v>-35.090000000000003</v>
      </c>
      <c r="BA141">
        <v>-58</v>
      </c>
      <c r="BB141" t="s">
        <v>73</v>
      </c>
    </row>
    <row r="142" spans="1:54" x14ac:dyDescent="0.4">
      <c r="A142">
        <v>1382830</v>
      </c>
      <c r="D142" t="s">
        <v>246</v>
      </c>
      <c r="I142" t="s">
        <v>57</v>
      </c>
      <c r="K142" t="s">
        <v>247</v>
      </c>
      <c r="L142" t="s">
        <v>248</v>
      </c>
      <c r="M142" t="s">
        <v>59</v>
      </c>
      <c r="O142" t="s">
        <v>107</v>
      </c>
      <c r="P142" t="s">
        <v>169</v>
      </c>
      <c r="R142" t="s">
        <v>138</v>
      </c>
      <c r="S142" t="s">
        <v>98</v>
      </c>
      <c r="T142">
        <v>264.27999999999997</v>
      </c>
      <c r="U142">
        <v>259.51</v>
      </c>
      <c r="V142">
        <f>(T142+U142)/2</f>
        <v>261.89499999999998</v>
      </c>
      <c r="W142">
        <f>T142-U142</f>
        <v>4.7699999999999818</v>
      </c>
      <c r="X142">
        <v>48.351664999999997</v>
      </c>
      <c r="Y142">
        <v>58.150002000000001</v>
      </c>
      <c r="Z142" t="s">
        <v>99</v>
      </c>
      <c r="AA142" t="s">
        <v>139</v>
      </c>
      <c r="AB142" t="s">
        <v>249</v>
      </c>
      <c r="AC142" t="s">
        <v>250</v>
      </c>
      <c r="AD142" t="s">
        <v>251</v>
      </c>
      <c r="AE142" t="s">
        <v>250</v>
      </c>
      <c r="AF142" t="s">
        <v>252</v>
      </c>
      <c r="AG142" t="s">
        <v>253</v>
      </c>
      <c r="AH142" t="s">
        <v>65</v>
      </c>
      <c r="AI142" t="s">
        <v>264</v>
      </c>
      <c r="AJ142">
        <v>1940</v>
      </c>
      <c r="AK142" t="s">
        <v>255</v>
      </c>
      <c r="AM142" t="s">
        <v>256</v>
      </c>
      <c r="AN142" t="s">
        <v>121</v>
      </c>
      <c r="AO142" t="s">
        <v>106</v>
      </c>
      <c r="AP142" t="s">
        <v>69</v>
      </c>
      <c r="AQ142" t="s">
        <v>257</v>
      </c>
      <c r="AR142" t="s">
        <v>70</v>
      </c>
      <c r="AS142">
        <v>302</v>
      </c>
      <c r="AT142" t="s">
        <v>71</v>
      </c>
      <c r="AU142">
        <v>49.9</v>
      </c>
      <c r="AV142">
        <v>37.54</v>
      </c>
      <c r="AW142" t="s">
        <v>72</v>
      </c>
      <c r="AX142">
        <v>301</v>
      </c>
      <c r="AY142" t="s">
        <v>71</v>
      </c>
      <c r="AZ142">
        <v>40.799999999999997</v>
      </c>
      <c r="BA142">
        <v>31.74</v>
      </c>
      <c r="BB142" t="s">
        <v>73</v>
      </c>
    </row>
    <row r="143" spans="1:54" x14ac:dyDescent="0.4">
      <c r="A143">
        <v>1382867</v>
      </c>
      <c r="D143" t="s">
        <v>54</v>
      </c>
      <c r="I143" t="s">
        <v>57</v>
      </c>
      <c r="K143" t="s">
        <v>247</v>
      </c>
      <c r="L143" t="s">
        <v>258</v>
      </c>
      <c r="M143" t="s">
        <v>59</v>
      </c>
      <c r="O143" t="s">
        <v>107</v>
      </c>
      <c r="P143" t="s">
        <v>169</v>
      </c>
      <c r="R143" t="s">
        <v>138</v>
      </c>
      <c r="S143" t="s">
        <v>98</v>
      </c>
      <c r="T143">
        <v>264.27999999999997</v>
      </c>
      <c r="U143">
        <v>259.51</v>
      </c>
      <c r="V143">
        <f>(T143+U143)/2</f>
        <v>261.89499999999998</v>
      </c>
      <c r="W143">
        <f>T143-U143</f>
        <v>4.7699999999999818</v>
      </c>
      <c r="X143">
        <v>52.135554999999997</v>
      </c>
      <c r="Y143">
        <v>53.473888000000002</v>
      </c>
      <c r="Z143" t="s">
        <v>239</v>
      </c>
      <c r="AA143" t="s">
        <v>139</v>
      </c>
      <c r="AB143" t="s">
        <v>316</v>
      </c>
      <c r="AC143" t="s">
        <v>2006</v>
      </c>
      <c r="AD143" t="s">
        <v>2007</v>
      </c>
      <c r="AG143" t="s">
        <v>1106</v>
      </c>
      <c r="AH143" t="s">
        <v>65</v>
      </c>
      <c r="AI143" t="s">
        <v>716</v>
      </c>
      <c r="AJ143">
        <v>2005</v>
      </c>
      <c r="AK143" t="s">
        <v>2008</v>
      </c>
      <c r="AN143" t="s">
        <v>121</v>
      </c>
      <c r="AO143" t="s">
        <v>68</v>
      </c>
      <c r="AP143" t="s">
        <v>69</v>
      </c>
      <c r="AQ143" t="s">
        <v>2009</v>
      </c>
      <c r="AR143" t="s">
        <v>70</v>
      </c>
      <c r="AS143">
        <v>302</v>
      </c>
      <c r="AT143" t="s">
        <v>71</v>
      </c>
      <c r="AU143">
        <v>54.9</v>
      </c>
      <c r="AV143">
        <v>34.020000000000003</v>
      </c>
      <c r="AW143" t="s">
        <v>72</v>
      </c>
      <c r="AX143">
        <v>301</v>
      </c>
      <c r="AY143" t="s">
        <v>71</v>
      </c>
      <c r="AZ143">
        <v>46.36</v>
      </c>
      <c r="BA143">
        <v>29.35</v>
      </c>
      <c r="BB143" t="s">
        <v>73</v>
      </c>
    </row>
    <row r="144" spans="1:54" x14ac:dyDescent="0.4">
      <c r="A144">
        <v>1417381</v>
      </c>
      <c r="D144" t="s">
        <v>54</v>
      </c>
      <c r="I144" t="s">
        <v>57</v>
      </c>
      <c r="K144" t="s">
        <v>247</v>
      </c>
      <c r="L144" t="s">
        <v>258</v>
      </c>
      <c r="M144" t="s">
        <v>59</v>
      </c>
      <c r="O144" t="s">
        <v>107</v>
      </c>
      <c r="P144" t="s">
        <v>169</v>
      </c>
      <c r="R144" t="s">
        <v>138</v>
      </c>
      <c r="S144" t="s">
        <v>98</v>
      </c>
      <c r="T144">
        <v>264.27999999999997</v>
      </c>
      <c r="U144">
        <v>259.51</v>
      </c>
      <c r="V144">
        <f>(T144+U144)/2</f>
        <v>261.89499999999998</v>
      </c>
      <c r="W144">
        <f>T144-U144</f>
        <v>4.7699999999999818</v>
      </c>
      <c r="X144">
        <v>52.825558000000001</v>
      </c>
      <c r="Y144">
        <v>53.211666000000001</v>
      </c>
      <c r="Z144" t="s">
        <v>99</v>
      </c>
      <c r="AA144" t="s">
        <v>139</v>
      </c>
      <c r="AB144" t="s">
        <v>316</v>
      </c>
      <c r="AC144" t="s">
        <v>821</v>
      </c>
      <c r="AG144" t="s">
        <v>1106</v>
      </c>
      <c r="AH144" t="s">
        <v>65</v>
      </c>
      <c r="AI144" t="s">
        <v>716</v>
      </c>
      <c r="AJ144">
        <v>2005</v>
      </c>
      <c r="AK144" t="s">
        <v>2140</v>
      </c>
      <c r="AM144" t="s">
        <v>2141</v>
      </c>
      <c r="AN144" t="s">
        <v>94</v>
      </c>
      <c r="AO144" t="s">
        <v>68</v>
      </c>
      <c r="AP144" t="s">
        <v>69</v>
      </c>
      <c r="AQ144" t="s">
        <v>2142</v>
      </c>
      <c r="AR144" t="s">
        <v>70</v>
      </c>
      <c r="AS144">
        <v>302</v>
      </c>
      <c r="AT144" t="s">
        <v>71</v>
      </c>
      <c r="AU144">
        <v>55.49</v>
      </c>
      <c r="AV144">
        <v>34.020000000000003</v>
      </c>
      <c r="AW144" t="s">
        <v>72</v>
      </c>
      <c r="AX144">
        <v>301</v>
      </c>
      <c r="AY144" t="s">
        <v>71</v>
      </c>
      <c r="AZ144">
        <v>46.92</v>
      </c>
      <c r="BA144">
        <v>29.42</v>
      </c>
      <c r="BB144" t="s">
        <v>73</v>
      </c>
    </row>
    <row r="145" spans="1:54" x14ac:dyDescent="0.4">
      <c r="A145">
        <v>1417834</v>
      </c>
      <c r="D145" t="s">
        <v>54</v>
      </c>
      <c r="I145" t="s">
        <v>57</v>
      </c>
      <c r="K145" t="s">
        <v>102</v>
      </c>
      <c r="L145" t="s">
        <v>902</v>
      </c>
      <c r="M145" t="s">
        <v>59</v>
      </c>
      <c r="P145" t="s">
        <v>169</v>
      </c>
      <c r="R145" t="s">
        <v>138</v>
      </c>
      <c r="S145" t="s">
        <v>98</v>
      </c>
      <c r="T145">
        <v>264.27999999999997</v>
      </c>
      <c r="U145">
        <v>259.51</v>
      </c>
      <c r="V145">
        <f>(T145+U145)/2</f>
        <v>261.89499999999998</v>
      </c>
      <c r="W145">
        <f>T145-U145</f>
        <v>4.7699999999999818</v>
      </c>
      <c r="X145">
        <v>24.990556999999999</v>
      </c>
      <c r="Y145">
        <v>-30.089721999999998</v>
      </c>
      <c r="Z145" t="s">
        <v>99</v>
      </c>
      <c r="AA145" t="s">
        <v>86</v>
      </c>
      <c r="AB145" t="s">
        <v>2143</v>
      </c>
      <c r="AG145" t="s">
        <v>1879</v>
      </c>
      <c r="AH145" t="s">
        <v>11</v>
      </c>
      <c r="AI145" t="s">
        <v>2144</v>
      </c>
      <c r="AJ145">
        <v>2013</v>
      </c>
      <c r="AK145" t="s">
        <v>2145</v>
      </c>
      <c r="AN145" t="s">
        <v>94</v>
      </c>
      <c r="AO145" t="s">
        <v>68</v>
      </c>
      <c r="AP145" t="s">
        <v>182</v>
      </c>
      <c r="AQ145" t="s">
        <v>2146</v>
      </c>
      <c r="AR145" t="s">
        <v>70</v>
      </c>
      <c r="AS145">
        <v>701</v>
      </c>
      <c r="AT145" t="s">
        <v>71</v>
      </c>
      <c r="AU145">
        <v>-22.45</v>
      </c>
      <c r="AV145">
        <v>-54.3</v>
      </c>
      <c r="AW145" t="s">
        <v>72</v>
      </c>
      <c r="AX145">
        <v>701</v>
      </c>
      <c r="AY145" t="s">
        <v>71</v>
      </c>
      <c r="AZ145">
        <v>-28.34</v>
      </c>
      <c r="BA145">
        <v>-60.7</v>
      </c>
      <c r="BB145" t="s">
        <v>73</v>
      </c>
    </row>
    <row r="146" spans="1:54" x14ac:dyDescent="0.4">
      <c r="A146">
        <v>1425418</v>
      </c>
      <c r="D146" t="s">
        <v>54</v>
      </c>
      <c r="I146" t="s">
        <v>57</v>
      </c>
      <c r="K146" t="s">
        <v>102</v>
      </c>
      <c r="L146" t="s">
        <v>2174</v>
      </c>
      <c r="M146" t="s">
        <v>59</v>
      </c>
      <c r="O146" t="s">
        <v>107</v>
      </c>
      <c r="P146" t="s">
        <v>169</v>
      </c>
      <c r="R146" t="s">
        <v>138</v>
      </c>
      <c r="S146" t="s">
        <v>98</v>
      </c>
      <c r="T146">
        <v>264.27999999999997</v>
      </c>
      <c r="U146">
        <v>259.51</v>
      </c>
      <c r="V146">
        <f>(T146+U146)/2</f>
        <v>261.89499999999998</v>
      </c>
      <c r="W146">
        <f>T146-U146</f>
        <v>4.7699999999999818</v>
      </c>
      <c r="X146">
        <v>22.736388999999999</v>
      </c>
      <c r="Y146">
        <v>-31.958611000000001</v>
      </c>
      <c r="Z146" t="s">
        <v>99</v>
      </c>
      <c r="AA146" t="s">
        <v>86</v>
      </c>
      <c r="AB146" t="s">
        <v>170</v>
      </c>
      <c r="AG146" t="s">
        <v>904</v>
      </c>
      <c r="AH146" t="s">
        <v>65</v>
      </c>
      <c r="AI146" t="s">
        <v>1105</v>
      </c>
      <c r="AJ146">
        <v>1997</v>
      </c>
      <c r="AK146" t="s">
        <v>2175</v>
      </c>
      <c r="AN146" t="s">
        <v>94</v>
      </c>
      <c r="AO146" t="s">
        <v>68</v>
      </c>
      <c r="AP146" t="s">
        <v>95</v>
      </c>
      <c r="AR146" t="s">
        <v>70</v>
      </c>
      <c r="AS146">
        <v>701</v>
      </c>
      <c r="AT146" t="s">
        <v>71</v>
      </c>
      <c r="AU146">
        <v>-26.66</v>
      </c>
      <c r="AV146">
        <v>-53.28</v>
      </c>
      <c r="AW146" t="s">
        <v>72</v>
      </c>
      <c r="AX146">
        <v>701</v>
      </c>
      <c r="AY146" t="s">
        <v>71</v>
      </c>
      <c r="AZ146">
        <v>-33.19</v>
      </c>
      <c r="BA146">
        <v>-59.52</v>
      </c>
      <c r="BB146" t="s">
        <v>73</v>
      </c>
    </row>
    <row r="147" spans="1:54" x14ac:dyDescent="0.4">
      <c r="A147">
        <v>1425560</v>
      </c>
      <c r="D147" t="s">
        <v>54</v>
      </c>
      <c r="I147" t="s">
        <v>57</v>
      </c>
      <c r="K147" t="s">
        <v>102</v>
      </c>
      <c r="L147" t="s">
        <v>2176</v>
      </c>
      <c r="M147" t="s">
        <v>59</v>
      </c>
      <c r="O147" t="s">
        <v>107</v>
      </c>
      <c r="P147" t="s">
        <v>169</v>
      </c>
      <c r="R147" t="s">
        <v>138</v>
      </c>
      <c r="S147" t="s">
        <v>98</v>
      </c>
      <c r="T147">
        <v>264.27999999999997</v>
      </c>
      <c r="U147">
        <v>259.51</v>
      </c>
      <c r="V147">
        <f>(T147+U147)/2</f>
        <v>261.89499999999998</v>
      </c>
      <c r="W147">
        <f>T147-U147</f>
        <v>4.7699999999999818</v>
      </c>
      <c r="X147">
        <v>21.762501</v>
      </c>
      <c r="Y147">
        <v>-33.169167000000002</v>
      </c>
      <c r="Z147" t="s">
        <v>99</v>
      </c>
      <c r="AA147" t="s">
        <v>86</v>
      </c>
      <c r="AB147" t="s">
        <v>170</v>
      </c>
      <c r="AG147" t="s">
        <v>904</v>
      </c>
      <c r="AH147" t="s">
        <v>65</v>
      </c>
      <c r="AI147" t="s">
        <v>1105</v>
      </c>
      <c r="AJ147">
        <v>1997</v>
      </c>
      <c r="AK147" t="s">
        <v>2177</v>
      </c>
      <c r="AM147" t="s">
        <v>2178</v>
      </c>
      <c r="AN147" t="s">
        <v>94</v>
      </c>
      <c r="AO147" t="s">
        <v>68</v>
      </c>
      <c r="AP147" t="s">
        <v>95</v>
      </c>
      <c r="AQ147" t="s">
        <v>2179</v>
      </c>
      <c r="AR147" t="s">
        <v>70</v>
      </c>
      <c r="AS147">
        <v>701</v>
      </c>
      <c r="AT147" t="s">
        <v>71</v>
      </c>
      <c r="AU147">
        <v>-29.04</v>
      </c>
      <c r="AV147">
        <v>-52.97</v>
      </c>
      <c r="AW147" t="s">
        <v>72</v>
      </c>
      <c r="AX147">
        <v>701</v>
      </c>
      <c r="AY147" t="s">
        <v>71</v>
      </c>
      <c r="AZ147">
        <v>-35.93</v>
      </c>
      <c r="BA147">
        <v>-59.1</v>
      </c>
      <c r="BB147" t="s">
        <v>73</v>
      </c>
    </row>
    <row r="148" spans="1:54" x14ac:dyDescent="0.4">
      <c r="A148">
        <v>1428084</v>
      </c>
      <c r="D148" t="s">
        <v>54</v>
      </c>
      <c r="E148" t="s">
        <v>55</v>
      </c>
      <c r="G148">
        <v>1</v>
      </c>
      <c r="H148" t="s">
        <v>74</v>
      </c>
      <c r="I148" t="s">
        <v>57</v>
      </c>
      <c r="K148" t="s">
        <v>2180</v>
      </c>
      <c r="L148" t="s">
        <v>2181</v>
      </c>
      <c r="M148" t="s">
        <v>59</v>
      </c>
      <c r="P148" t="s">
        <v>169</v>
      </c>
      <c r="R148" t="s">
        <v>138</v>
      </c>
      <c r="S148" t="s">
        <v>98</v>
      </c>
      <c r="T148">
        <v>264.27999999999997</v>
      </c>
      <c r="U148">
        <v>259.51</v>
      </c>
      <c r="V148">
        <f>(T148+U148)/2</f>
        <v>261.89499999999998</v>
      </c>
      <c r="W148">
        <f>T148-U148</f>
        <v>4.7699999999999818</v>
      </c>
      <c r="X148">
        <v>22.295833999999999</v>
      </c>
      <c r="Y148">
        <v>-32.504165999999998</v>
      </c>
      <c r="Z148" t="s">
        <v>372</v>
      </c>
      <c r="AA148" t="s">
        <v>86</v>
      </c>
      <c r="AB148" t="s">
        <v>170</v>
      </c>
      <c r="AC148" t="s">
        <v>171</v>
      </c>
      <c r="AD148" t="s">
        <v>172</v>
      </c>
      <c r="AE148" t="s">
        <v>90</v>
      </c>
      <c r="AG148" t="s">
        <v>173</v>
      </c>
      <c r="AH148" t="s">
        <v>65</v>
      </c>
      <c r="AI148" t="s">
        <v>2182</v>
      </c>
      <c r="AJ148">
        <v>1997</v>
      </c>
      <c r="AK148" t="s">
        <v>1081</v>
      </c>
      <c r="AM148" t="s">
        <v>1082</v>
      </c>
      <c r="AN148" t="s">
        <v>177</v>
      </c>
      <c r="AO148" t="s">
        <v>68</v>
      </c>
      <c r="AP148" t="s">
        <v>314</v>
      </c>
      <c r="AQ148" t="s">
        <v>1083</v>
      </c>
      <c r="AR148" t="s">
        <v>70</v>
      </c>
      <c r="AS148">
        <v>701</v>
      </c>
      <c r="AT148" t="s">
        <v>71</v>
      </c>
      <c r="AU148">
        <v>-27.74</v>
      </c>
      <c r="AV148">
        <v>-53.14</v>
      </c>
      <c r="AW148" t="s">
        <v>72</v>
      </c>
      <c r="AX148">
        <v>701</v>
      </c>
      <c r="AY148" t="s">
        <v>71</v>
      </c>
      <c r="AZ148">
        <v>-34.43</v>
      </c>
      <c r="BA148">
        <v>-59.33</v>
      </c>
      <c r="BB148" t="s">
        <v>73</v>
      </c>
    </row>
    <row r="149" spans="1:54" x14ac:dyDescent="0.4">
      <c r="A149">
        <v>1428085</v>
      </c>
      <c r="D149" t="s">
        <v>54</v>
      </c>
      <c r="G149">
        <v>1</v>
      </c>
      <c r="H149" t="s">
        <v>74</v>
      </c>
      <c r="I149" t="s">
        <v>57</v>
      </c>
      <c r="K149" t="s">
        <v>2180</v>
      </c>
      <c r="L149" t="s">
        <v>2181</v>
      </c>
      <c r="M149" t="s">
        <v>59</v>
      </c>
      <c r="P149" t="s">
        <v>169</v>
      </c>
      <c r="R149" t="s">
        <v>138</v>
      </c>
      <c r="S149" t="s">
        <v>98</v>
      </c>
      <c r="T149">
        <v>264.27999999999997</v>
      </c>
      <c r="U149">
        <v>259.51</v>
      </c>
      <c r="V149">
        <f>(T149+U149)/2</f>
        <v>261.89499999999998</v>
      </c>
      <c r="W149">
        <f>T149-U149</f>
        <v>4.7699999999999818</v>
      </c>
      <c r="X149">
        <v>22.033332999999999</v>
      </c>
      <c r="Y149">
        <v>-32.905555999999997</v>
      </c>
      <c r="Z149" t="s">
        <v>126</v>
      </c>
      <c r="AA149" t="s">
        <v>86</v>
      </c>
      <c r="AB149" t="s">
        <v>170</v>
      </c>
      <c r="AC149" t="s">
        <v>1001</v>
      </c>
      <c r="AD149" t="s">
        <v>172</v>
      </c>
      <c r="AE149" t="s">
        <v>90</v>
      </c>
      <c r="AG149" t="s">
        <v>978</v>
      </c>
      <c r="AH149" t="s">
        <v>65</v>
      </c>
      <c r="AI149" t="s">
        <v>2182</v>
      </c>
      <c r="AJ149">
        <v>1997</v>
      </c>
      <c r="AK149" t="s">
        <v>1155</v>
      </c>
      <c r="AM149" t="s">
        <v>1156</v>
      </c>
      <c r="AN149" t="s">
        <v>177</v>
      </c>
      <c r="AO149" t="s">
        <v>68</v>
      </c>
      <c r="AP149" t="s">
        <v>69</v>
      </c>
      <c r="AQ149" t="s">
        <v>1157</v>
      </c>
      <c r="AR149" t="s">
        <v>70</v>
      </c>
      <c r="AS149">
        <v>701</v>
      </c>
      <c r="AT149" t="s">
        <v>71</v>
      </c>
      <c r="AU149">
        <v>-28.49</v>
      </c>
      <c r="AV149">
        <v>-53.08</v>
      </c>
      <c r="AW149" t="s">
        <v>72</v>
      </c>
      <c r="AX149">
        <v>701</v>
      </c>
      <c r="AY149" t="s">
        <v>71</v>
      </c>
      <c r="AZ149">
        <v>-35.31</v>
      </c>
      <c r="BA149">
        <v>-59.24</v>
      </c>
      <c r="BB149" t="s">
        <v>73</v>
      </c>
    </row>
    <row r="150" spans="1:54" x14ac:dyDescent="0.4">
      <c r="A150">
        <v>1428086</v>
      </c>
      <c r="D150" t="s">
        <v>54</v>
      </c>
      <c r="E150" t="s">
        <v>55</v>
      </c>
      <c r="G150">
        <v>2</v>
      </c>
      <c r="H150" t="s">
        <v>74</v>
      </c>
      <c r="I150" t="s">
        <v>57</v>
      </c>
      <c r="K150" t="s">
        <v>2180</v>
      </c>
      <c r="L150" t="s">
        <v>2181</v>
      </c>
      <c r="M150" t="s">
        <v>59</v>
      </c>
      <c r="P150" t="s">
        <v>169</v>
      </c>
      <c r="R150" t="s">
        <v>138</v>
      </c>
      <c r="S150" t="s">
        <v>98</v>
      </c>
      <c r="T150">
        <v>264.27999999999997</v>
      </c>
      <c r="U150">
        <v>259.51</v>
      </c>
      <c r="V150">
        <f>(T150+U150)/2</f>
        <v>261.89499999999998</v>
      </c>
      <c r="W150">
        <f>T150-U150</f>
        <v>4.7699999999999818</v>
      </c>
      <c r="X150">
        <v>21.868054999999998</v>
      </c>
      <c r="Y150">
        <v>-32.887501</v>
      </c>
      <c r="Z150" t="s">
        <v>372</v>
      </c>
      <c r="AA150" t="s">
        <v>86</v>
      </c>
      <c r="AB150" t="s">
        <v>170</v>
      </c>
      <c r="AC150" t="s">
        <v>1001</v>
      </c>
      <c r="AD150" t="s">
        <v>172</v>
      </c>
      <c r="AE150" t="s">
        <v>90</v>
      </c>
      <c r="AG150" t="s">
        <v>978</v>
      </c>
      <c r="AH150" t="s">
        <v>65</v>
      </c>
      <c r="AI150" t="s">
        <v>2182</v>
      </c>
      <c r="AJ150">
        <v>1997</v>
      </c>
      <c r="AK150" t="s">
        <v>1079</v>
      </c>
      <c r="AN150" t="s">
        <v>94</v>
      </c>
      <c r="AO150" t="s">
        <v>68</v>
      </c>
      <c r="AP150" t="s">
        <v>182</v>
      </c>
      <c r="AQ150" t="s">
        <v>1080</v>
      </c>
      <c r="AR150" t="s">
        <v>70</v>
      </c>
      <c r="AS150">
        <v>701</v>
      </c>
      <c r="AT150" t="s">
        <v>71</v>
      </c>
      <c r="AU150">
        <v>-28.55</v>
      </c>
      <c r="AV150">
        <v>-52.95</v>
      </c>
      <c r="AW150" t="s">
        <v>72</v>
      </c>
      <c r="AX150">
        <v>701</v>
      </c>
      <c r="AY150" t="s">
        <v>71</v>
      </c>
      <c r="AZ150">
        <v>-35.36</v>
      </c>
      <c r="BA150">
        <v>-59.11</v>
      </c>
      <c r="BB150" t="s">
        <v>73</v>
      </c>
    </row>
    <row r="151" spans="1:54" x14ac:dyDescent="0.4">
      <c r="A151">
        <v>1428389</v>
      </c>
      <c r="D151" t="s">
        <v>54</v>
      </c>
      <c r="I151" t="s">
        <v>57</v>
      </c>
      <c r="K151" t="s">
        <v>102</v>
      </c>
      <c r="L151" t="s">
        <v>168</v>
      </c>
      <c r="M151" t="s">
        <v>59</v>
      </c>
      <c r="O151" t="s">
        <v>107</v>
      </c>
      <c r="P151" t="s">
        <v>169</v>
      </c>
      <c r="R151" t="s">
        <v>138</v>
      </c>
      <c r="S151" t="s">
        <v>98</v>
      </c>
      <c r="T151">
        <v>264.27999999999997</v>
      </c>
      <c r="U151">
        <v>259.51</v>
      </c>
      <c r="V151">
        <f>(T151+U151)/2</f>
        <v>261.89499999999998</v>
      </c>
      <c r="W151">
        <f>T151-U151</f>
        <v>4.7699999999999818</v>
      </c>
      <c r="X151">
        <v>20.812221999999998</v>
      </c>
      <c r="Y151">
        <v>-32.493057</v>
      </c>
      <c r="Z151" t="s">
        <v>99</v>
      </c>
      <c r="AA151" t="s">
        <v>86</v>
      </c>
      <c r="AB151" t="s">
        <v>274</v>
      </c>
      <c r="AG151" t="s">
        <v>904</v>
      </c>
      <c r="AH151" t="s">
        <v>11</v>
      </c>
      <c r="AI151" t="s">
        <v>1959</v>
      </c>
      <c r="AJ151">
        <v>1969</v>
      </c>
      <c r="AK151" t="s">
        <v>2183</v>
      </c>
      <c r="AN151" t="s">
        <v>94</v>
      </c>
      <c r="AO151" t="s">
        <v>68</v>
      </c>
      <c r="AP151" t="s">
        <v>95</v>
      </c>
      <c r="AR151" t="s">
        <v>70</v>
      </c>
      <c r="AS151">
        <v>701</v>
      </c>
      <c r="AT151" t="s">
        <v>71</v>
      </c>
      <c r="AU151">
        <v>-28.49</v>
      </c>
      <c r="AV151">
        <v>-51.97</v>
      </c>
      <c r="AW151" t="s">
        <v>72</v>
      </c>
      <c r="AX151">
        <v>701</v>
      </c>
      <c r="AY151" t="s">
        <v>71</v>
      </c>
      <c r="AZ151">
        <v>-35.15</v>
      </c>
      <c r="BA151">
        <v>-58.14</v>
      </c>
      <c r="BB151" t="s">
        <v>73</v>
      </c>
    </row>
    <row r="152" spans="1:54" x14ac:dyDescent="0.4">
      <c r="A152">
        <v>1428394</v>
      </c>
      <c r="D152" t="s">
        <v>54</v>
      </c>
      <c r="G152">
        <v>2</v>
      </c>
      <c r="H152" t="s">
        <v>74</v>
      </c>
      <c r="I152" t="s">
        <v>57</v>
      </c>
      <c r="K152" t="s">
        <v>102</v>
      </c>
      <c r="L152" t="s">
        <v>168</v>
      </c>
      <c r="M152" t="s">
        <v>59</v>
      </c>
      <c r="O152" t="s">
        <v>107</v>
      </c>
      <c r="P152" t="s">
        <v>169</v>
      </c>
      <c r="R152" t="s">
        <v>138</v>
      </c>
      <c r="S152" t="s">
        <v>98</v>
      </c>
      <c r="T152">
        <v>264.27999999999997</v>
      </c>
      <c r="U152">
        <v>259.51</v>
      </c>
      <c r="V152">
        <f>(T152+U152)/2</f>
        <v>261.89499999999998</v>
      </c>
      <c r="W152">
        <f>T152-U152</f>
        <v>4.7699999999999818</v>
      </c>
      <c r="X152">
        <v>22.108333999999999</v>
      </c>
      <c r="Y152">
        <v>-32.861111000000001</v>
      </c>
      <c r="Z152" t="s">
        <v>126</v>
      </c>
      <c r="AA152" t="s">
        <v>86</v>
      </c>
      <c r="AB152" t="s">
        <v>170</v>
      </c>
      <c r="AC152" t="s">
        <v>1001</v>
      </c>
      <c r="AD152" t="s">
        <v>172</v>
      </c>
      <c r="AE152" t="s">
        <v>90</v>
      </c>
      <c r="AG152" t="s">
        <v>173</v>
      </c>
      <c r="AH152" t="s">
        <v>65</v>
      </c>
      <c r="AI152" t="s">
        <v>1959</v>
      </c>
      <c r="AJ152">
        <v>1969</v>
      </c>
      <c r="AK152" t="s">
        <v>2184</v>
      </c>
      <c r="AM152" t="s">
        <v>2185</v>
      </c>
      <c r="AN152" t="s">
        <v>121</v>
      </c>
      <c r="AO152" t="s">
        <v>68</v>
      </c>
      <c r="AP152" t="s">
        <v>95</v>
      </c>
      <c r="AQ152" t="s">
        <v>2186</v>
      </c>
      <c r="AR152" t="s">
        <v>70</v>
      </c>
      <c r="AS152">
        <v>701</v>
      </c>
      <c r="AT152" t="s">
        <v>71</v>
      </c>
      <c r="AU152">
        <v>-28.39</v>
      </c>
      <c r="AV152">
        <v>-53.12</v>
      </c>
      <c r="AW152" t="s">
        <v>72</v>
      </c>
      <c r="AX152">
        <v>701</v>
      </c>
      <c r="AY152" t="s">
        <v>71</v>
      </c>
      <c r="AZ152">
        <v>-35.19</v>
      </c>
      <c r="BA152">
        <v>-59.29</v>
      </c>
      <c r="BB152" t="s">
        <v>73</v>
      </c>
    </row>
    <row r="153" spans="1:54" x14ac:dyDescent="0.4">
      <c r="A153">
        <v>1428401</v>
      </c>
      <c r="D153" t="s">
        <v>763</v>
      </c>
      <c r="E153" t="s">
        <v>105</v>
      </c>
      <c r="G153">
        <v>1</v>
      </c>
      <c r="H153" t="s">
        <v>74</v>
      </c>
      <c r="I153" t="s">
        <v>57</v>
      </c>
      <c r="K153" t="s">
        <v>102</v>
      </c>
      <c r="L153" t="s">
        <v>2174</v>
      </c>
      <c r="M153" t="s">
        <v>59</v>
      </c>
      <c r="O153" t="s">
        <v>107</v>
      </c>
      <c r="P153" t="s">
        <v>169</v>
      </c>
      <c r="R153" t="s">
        <v>138</v>
      </c>
      <c r="S153" t="s">
        <v>98</v>
      </c>
      <c r="T153">
        <v>264.27999999999997</v>
      </c>
      <c r="U153">
        <v>259.51</v>
      </c>
      <c r="V153">
        <f>(T153+U153)/2</f>
        <v>261.89499999999998</v>
      </c>
      <c r="W153">
        <f>T153-U153</f>
        <v>4.7699999999999818</v>
      </c>
      <c r="X153">
        <v>22</v>
      </c>
      <c r="Y153">
        <v>-32.366669000000002</v>
      </c>
      <c r="Z153" t="s">
        <v>126</v>
      </c>
      <c r="AA153" t="s">
        <v>86</v>
      </c>
      <c r="AB153" t="s">
        <v>170</v>
      </c>
      <c r="AC153" t="s">
        <v>171</v>
      </c>
      <c r="AD153" t="s">
        <v>172</v>
      </c>
      <c r="AE153" t="s">
        <v>90</v>
      </c>
      <c r="AG153" t="s">
        <v>978</v>
      </c>
      <c r="AH153" t="s">
        <v>65</v>
      </c>
      <c r="AI153" t="s">
        <v>1959</v>
      </c>
      <c r="AJ153">
        <v>1969</v>
      </c>
      <c r="AK153" t="s">
        <v>982</v>
      </c>
      <c r="AM153" t="s">
        <v>983</v>
      </c>
      <c r="AN153" t="s">
        <v>94</v>
      </c>
      <c r="AO153" t="s">
        <v>106</v>
      </c>
      <c r="AP153" t="s">
        <v>69</v>
      </c>
      <c r="AQ153" t="s">
        <v>984</v>
      </c>
      <c r="AR153" t="s">
        <v>70</v>
      </c>
      <c r="AS153">
        <v>701</v>
      </c>
      <c r="AT153" t="s">
        <v>71</v>
      </c>
      <c r="AU153">
        <v>-27.68</v>
      </c>
      <c r="AV153">
        <v>-52.85</v>
      </c>
      <c r="AW153" t="s">
        <v>72</v>
      </c>
      <c r="AX153">
        <v>701</v>
      </c>
      <c r="AY153" t="s">
        <v>71</v>
      </c>
      <c r="AZ153">
        <v>-34.33</v>
      </c>
      <c r="BA153">
        <v>-59.05</v>
      </c>
      <c r="BB153" t="s">
        <v>73</v>
      </c>
    </row>
    <row r="154" spans="1:54" x14ac:dyDescent="0.4">
      <c r="A154">
        <v>1428412</v>
      </c>
      <c r="D154" t="s">
        <v>54</v>
      </c>
      <c r="I154" t="s">
        <v>57</v>
      </c>
      <c r="K154" t="s">
        <v>102</v>
      </c>
      <c r="L154" t="s">
        <v>2174</v>
      </c>
      <c r="M154" t="s">
        <v>59</v>
      </c>
      <c r="O154" t="s">
        <v>107</v>
      </c>
      <c r="P154" t="s">
        <v>169</v>
      </c>
      <c r="R154" t="s">
        <v>138</v>
      </c>
      <c r="S154" t="s">
        <v>98</v>
      </c>
      <c r="T154">
        <v>264.27999999999997</v>
      </c>
      <c r="U154">
        <v>259.51</v>
      </c>
      <c r="V154">
        <f>(T154+U154)/2</f>
        <v>261.89499999999998</v>
      </c>
      <c r="W154">
        <f>T154-U154</f>
        <v>4.7699999999999818</v>
      </c>
      <c r="X154">
        <v>22.736388999999999</v>
      </c>
      <c r="Y154">
        <v>-31.958611000000001</v>
      </c>
      <c r="Z154" t="s">
        <v>99</v>
      </c>
      <c r="AA154" t="s">
        <v>86</v>
      </c>
      <c r="AB154" t="s">
        <v>170</v>
      </c>
      <c r="AG154" t="s">
        <v>904</v>
      </c>
      <c r="AH154" t="s">
        <v>65</v>
      </c>
      <c r="AI154" t="s">
        <v>1959</v>
      </c>
      <c r="AJ154">
        <v>1969</v>
      </c>
      <c r="AK154" t="s">
        <v>2175</v>
      </c>
      <c r="AN154" t="s">
        <v>94</v>
      </c>
      <c r="AO154" t="s">
        <v>68</v>
      </c>
      <c r="AP154" t="s">
        <v>95</v>
      </c>
      <c r="AR154" t="s">
        <v>70</v>
      </c>
      <c r="AS154">
        <v>701</v>
      </c>
      <c r="AT154" t="s">
        <v>71</v>
      </c>
      <c r="AU154">
        <v>-26.66</v>
      </c>
      <c r="AV154">
        <v>-53.28</v>
      </c>
      <c r="AW154" t="s">
        <v>72</v>
      </c>
      <c r="AX154">
        <v>701</v>
      </c>
      <c r="AY154" t="s">
        <v>71</v>
      </c>
      <c r="AZ154">
        <v>-33.19</v>
      </c>
      <c r="BA154">
        <v>-59.52</v>
      </c>
      <c r="BB154" t="s">
        <v>73</v>
      </c>
    </row>
    <row r="155" spans="1:54" x14ac:dyDescent="0.4">
      <c r="A155">
        <v>1428413</v>
      </c>
      <c r="D155" t="s">
        <v>54</v>
      </c>
      <c r="I155" t="s">
        <v>57</v>
      </c>
      <c r="K155" t="s">
        <v>102</v>
      </c>
      <c r="L155" t="s">
        <v>2174</v>
      </c>
      <c r="M155" t="s">
        <v>59</v>
      </c>
      <c r="O155" t="s">
        <v>107</v>
      </c>
      <c r="P155" t="s">
        <v>169</v>
      </c>
      <c r="R155" t="s">
        <v>138</v>
      </c>
      <c r="S155" t="s">
        <v>98</v>
      </c>
      <c r="T155">
        <v>264.27999999999997</v>
      </c>
      <c r="U155">
        <v>259.51</v>
      </c>
      <c r="V155">
        <f>(T155+U155)/2</f>
        <v>261.89499999999998</v>
      </c>
      <c r="W155">
        <f>T155-U155</f>
        <v>4.7699999999999818</v>
      </c>
      <c r="X155">
        <v>22.033332999999999</v>
      </c>
      <c r="Y155">
        <v>-32.905555999999997</v>
      </c>
      <c r="Z155" t="s">
        <v>126</v>
      </c>
      <c r="AA155" t="s">
        <v>86</v>
      </c>
      <c r="AB155" t="s">
        <v>170</v>
      </c>
      <c r="AC155" t="s">
        <v>1001</v>
      </c>
      <c r="AD155" t="s">
        <v>172</v>
      </c>
      <c r="AE155" t="s">
        <v>90</v>
      </c>
      <c r="AG155" t="s">
        <v>978</v>
      </c>
      <c r="AH155" t="s">
        <v>65</v>
      </c>
      <c r="AI155" t="s">
        <v>1959</v>
      </c>
      <c r="AJ155">
        <v>1969</v>
      </c>
      <c r="AK155" t="s">
        <v>1155</v>
      </c>
      <c r="AM155" t="s">
        <v>1156</v>
      </c>
      <c r="AN155" t="s">
        <v>177</v>
      </c>
      <c r="AO155" t="s">
        <v>68</v>
      </c>
      <c r="AP155" t="s">
        <v>69</v>
      </c>
      <c r="AQ155" t="s">
        <v>1157</v>
      </c>
      <c r="AR155" t="s">
        <v>70</v>
      </c>
      <c r="AS155">
        <v>701</v>
      </c>
      <c r="AT155" t="s">
        <v>71</v>
      </c>
      <c r="AU155">
        <v>-28.49</v>
      </c>
      <c r="AV155">
        <v>-53.08</v>
      </c>
      <c r="AW155" t="s">
        <v>72</v>
      </c>
      <c r="AX155">
        <v>701</v>
      </c>
      <c r="AY155" t="s">
        <v>71</v>
      </c>
      <c r="AZ155">
        <v>-35.31</v>
      </c>
      <c r="BA155">
        <v>-59.24</v>
      </c>
      <c r="BB155" t="s">
        <v>73</v>
      </c>
    </row>
    <row r="156" spans="1:54" x14ac:dyDescent="0.4">
      <c r="A156">
        <v>1428414</v>
      </c>
      <c r="D156" t="s">
        <v>54</v>
      </c>
      <c r="E156" t="s">
        <v>55</v>
      </c>
      <c r="I156" t="s">
        <v>57</v>
      </c>
      <c r="K156" t="s">
        <v>102</v>
      </c>
      <c r="L156" t="s">
        <v>2176</v>
      </c>
      <c r="M156" t="s">
        <v>59</v>
      </c>
      <c r="O156" t="s">
        <v>107</v>
      </c>
      <c r="P156" t="s">
        <v>169</v>
      </c>
      <c r="R156" t="s">
        <v>138</v>
      </c>
      <c r="S156" t="s">
        <v>98</v>
      </c>
      <c r="T156">
        <v>264.27999999999997</v>
      </c>
      <c r="U156">
        <v>259.51</v>
      </c>
      <c r="V156">
        <f>(T156+U156)/2</f>
        <v>261.89499999999998</v>
      </c>
      <c r="W156">
        <f>T156-U156</f>
        <v>4.7699999999999818</v>
      </c>
      <c r="X156">
        <v>21.819721000000001</v>
      </c>
      <c r="Y156">
        <v>-32.904719999999998</v>
      </c>
      <c r="Z156" t="s">
        <v>126</v>
      </c>
      <c r="AA156" t="s">
        <v>86</v>
      </c>
      <c r="AB156" t="s">
        <v>170</v>
      </c>
      <c r="AC156" t="s">
        <v>1001</v>
      </c>
      <c r="AD156" t="s">
        <v>172</v>
      </c>
      <c r="AE156" t="s">
        <v>90</v>
      </c>
      <c r="AG156" t="s">
        <v>173</v>
      </c>
      <c r="AH156" t="s">
        <v>65</v>
      </c>
      <c r="AI156" t="s">
        <v>1959</v>
      </c>
      <c r="AJ156">
        <v>1969</v>
      </c>
      <c r="AK156" t="s">
        <v>1158</v>
      </c>
      <c r="AL156">
        <v>92645</v>
      </c>
      <c r="AN156" t="s">
        <v>94</v>
      </c>
      <c r="AO156" t="s">
        <v>68</v>
      </c>
      <c r="AP156" t="s">
        <v>95</v>
      </c>
      <c r="AQ156" t="s">
        <v>1159</v>
      </c>
      <c r="AR156" t="s">
        <v>70</v>
      </c>
      <c r="AS156">
        <v>701</v>
      </c>
      <c r="AT156" t="s">
        <v>71</v>
      </c>
      <c r="AU156">
        <v>-28.6</v>
      </c>
      <c r="AV156">
        <v>-52.91</v>
      </c>
      <c r="AW156" t="s">
        <v>72</v>
      </c>
      <c r="AX156">
        <v>701</v>
      </c>
      <c r="AY156" t="s">
        <v>71</v>
      </c>
      <c r="AZ156">
        <v>-35.409999999999997</v>
      </c>
      <c r="BA156">
        <v>-59.07</v>
      </c>
      <c r="BB156" t="s">
        <v>73</v>
      </c>
    </row>
    <row r="157" spans="1:54" x14ac:dyDescent="0.4">
      <c r="A157">
        <v>1428415</v>
      </c>
      <c r="D157" t="s">
        <v>54</v>
      </c>
      <c r="I157" t="s">
        <v>57</v>
      </c>
      <c r="K157" t="s">
        <v>102</v>
      </c>
      <c r="L157" t="s">
        <v>2174</v>
      </c>
      <c r="M157" t="s">
        <v>59</v>
      </c>
      <c r="O157" t="s">
        <v>107</v>
      </c>
      <c r="P157" t="s">
        <v>169</v>
      </c>
      <c r="R157" t="s">
        <v>138</v>
      </c>
      <c r="S157" t="s">
        <v>98</v>
      </c>
      <c r="T157">
        <v>264.27999999999997</v>
      </c>
      <c r="U157">
        <v>259.51</v>
      </c>
      <c r="V157">
        <f>(T157+U157)/2</f>
        <v>261.89499999999998</v>
      </c>
      <c r="W157">
        <f>T157-U157</f>
        <v>4.7699999999999818</v>
      </c>
      <c r="X157">
        <v>22.033332999999999</v>
      </c>
      <c r="Y157">
        <v>-32.905555999999997</v>
      </c>
      <c r="Z157" t="s">
        <v>126</v>
      </c>
      <c r="AA157" t="s">
        <v>86</v>
      </c>
      <c r="AB157" t="s">
        <v>170</v>
      </c>
      <c r="AC157" t="s">
        <v>1001</v>
      </c>
      <c r="AD157" t="s">
        <v>172</v>
      </c>
      <c r="AE157" t="s">
        <v>90</v>
      </c>
      <c r="AG157" t="s">
        <v>978</v>
      </c>
      <c r="AH157" t="s">
        <v>65</v>
      </c>
      <c r="AI157" t="s">
        <v>1959</v>
      </c>
      <c r="AJ157">
        <v>1969</v>
      </c>
      <c r="AK157" t="s">
        <v>1155</v>
      </c>
      <c r="AM157" t="s">
        <v>1156</v>
      </c>
      <c r="AN157" t="s">
        <v>177</v>
      </c>
      <c r="AO157" t="s">
        <v>68</v>
      </c>
      <c r="AP157" t="s">
        <v>69</v>
      </c>
      <c r="AQ157" t="s">
        <v>1157</v>
      </c>
      <c r="AR157" t="s">
        <v>70</v>
      </c>
      <c r="AS157">
        <v>701</v>
      </c>
      <c r="AT157" t="s">
        <v>71</v>
      </c>
      <c r="AU157">
        <v>-28.49</v>
      </c>
      <c r="AV157">
        <v>-53.08</v>
      </c>
      <c r="AW157" t="s">
        <v>72</v>
      </c>
      <c r="AX157">
        <v>701</v>
      </c>
      <c r="AY157" t="s">
        <v>71</v>
      </c>
      <c r="AZ157">
        <v>-35.31</v>
      </c>
      <c r="BA157">
        <v>-59.24</v>
      </c>
      <c r="BB157" t="s">
        <v>73</v>
      </c>
    </row>
    <row r="158" spans="1:54" x14ac:dyDescent="0.4">
      <c r="A158">
        <v>1428484</v>
      </c>
      <c r="D158" t="s">
        <v>54</v>
      </c>
      <c r="G158">
        <v>3</v>
      </c>
      <c r="H158" t="s">
        <v>74</v>
      </c>
      <c r="I158" t="s">
        <v>57</v>
      </c>
      <c r="K158" t="s">
        <v>102</v>
      </c>
      <c r="L158" t="s">
        <v>168</v>
      </c>
      <c r="M158" t="s">
        <v>59</v>
      </c>
      <c r="O158" t="s">
        <v>107</v>
      </c>
      <c r="P158" t="s">
        <v>169</v>
      </c>
      <c r="R158" t="s">
        <v>138</v>
      </c>
      <c r="S158" t="s">
        <v>98</v>
      </c>
      <c r="T158">
        <v>264.27999999999997</v>
      </c>
      <c r="U158">
        <v>259.51</v>
      </c>
      <c r="V158">
        <f>(T158+U158)/2</f>
        <v>261.89499999999998</v>
      </c>
      <c r="W158">
        <f>T158-U158</f>
        <v>4.7699999999999818</v>
      </c>
      <c r="X158">
        <v>21.75</v>
      </c>
      <c r="Y158">
        <v>-32.695830999999998</v>
      </c>
      <c r="Z158" t="s">
        <v>126</v>
      </c>
      <c r="AA158" t="s">
        <v>86</v>
      </c>
      <c r="AB158" t="s">
        <v>170</v>
      </c>
      <c r="AC158" t="s">
        <v>1001</v>
      </c>
      <c r="AD158" t="s">
        <v>172</v>
      </c>
      <c r="AE158" t="s">
        <v>90</v>
      </c>
      <c r="AG158" t="s">
        <v>978</v>
      </c>
      <c r="AH158" t="s">
        <v>65</v>
      </c>
      <c r="AI158" t="s">
        <v>1959</v>
      </c>
      <c r="AJ158">
        <v>1969</v>
      </c>
      <c r="AK158" t="s">
        <v>1163</v>
      </c>
      <c r="AM158" t="s">
        <v>1164</v>
      </c>
      <c r="AN158" t="s">
        <v>94</v>
      </c>
      <c r="AO158" t="s">
        <v>68</v>
      </c>
      <c r="AP158" t="s">
        <v>95</v>
      </c>
      <c r="AQ158" t="s">
        <v>1165</v>
      </c>
      <c r="AR158" t="s">
        <v>70</v>
      </c>
      <c r="AS158">
        <v>701</v>
      </c>
      <c r="AT158" t="s">
        <v>71</v>
      </c>
      <c r="AU158">
        <v>-28.32</v>
      </c>
      <c r="AV158">
        <v>-52.78</v>
      </c>
      <c r="AW158" t="s">
        <v>72</v>
      </c>
      <c r="AX158">
        <v>701</v>
      </c>
      <c r="AY158" t="s">
        <v>71</v>
      </c>
      <c r="AZ158">
        <v>-35.06</v>
      </c>
      <c r="BA158">
        <v>-58.95</v>
      </c>
      <c r="BB158" t="s">
        <v>73</v>
      </c>
    </row>
    <row r="159" spans="1:54" x14ac:dyDescent="0.4">
      <c r="A159">
        <v>1428485</v>
      </c>
      <c r="D159" t="s">
        <v>54</v>
      </c>
      <c r="G159">
        <v>1</v>
      </c>
      <c r="H159" t="s">
        <v>74</v>
      </c>
      <c r="I159" t="s">
        <v>57</v>
      </c>
      <c r="K159" t="s">
        <v>102</v>
      </c>
      <c r="L159" t="s">
        <v>168</v>
      </c>
      <c r="M159" t="s">
        <v>59</v>
      </c>
      <c r="O159" t="s">
        <v>107</v>
      </c>
      <c r="P159" t="s">
        <v>169</v>
      </c>
      <c r="R159" t="s">
        <v>138</v>
      </c>
      <c r="S159" t="s">
        <v>98</v>
      </c>
      <c r="T159">
        <v>264.27999999999997</v>
      </c>
      <c r="U159">
        <v>259.51</v>
      </c>
      <c r="V159">
        <f>(T159+U159)/2</f>
        <v>261.89499999999998</v>
      </c>
      <c r="W159">
        <f>T159-U159</f>
        <v>4.7699999999999818</v>
      </c>
      <c r="X159">
        <v>21.75</v>
      </c>
      <c r="Y159">
        <v>-32.695830999999998</v>
      </c>
      <c r="Z159" t="s">
        <v>126</v>
      </c>
      <c r="AA159" t="s">
        <v>86</v>
      </c>
      <c r="AB159" t="s">
        <v>170</v>
      </c>
      <c r="AC159" t="s">
        <v>1001</v>
      </c>
      <c r="AD159" t="s">
        <v>172</v>
      </c>
      <c r="AE159" t="s">
        <v>90</v>
      </c>
      <c r="AG159" t="s">
        <v>978</v>
      </c>
      <c r="AH159" t="s">
        <v>65</v>
      </c>
      <c r="AI159" t="s">
        <v>1959</v>
      </c>
      <c r="AJ159">
        <v>1969</v>
      </c>
      <c r="AK159" t="s">
        <v>1163</v>
      </c>
      <c r="AM159" t="s">
        <v>1164</v>
      </c>
      <c r="AN159" t="s">
        <v>94</v>
      </c>
      <c r="AO159" t="s">
        <v>68</v>
      </c>
      <c r="AP159" t="s">
        <v>95</v>
      </c>
      <c r="AQ159" t="s">
        <v>1165</v>
      </c>
      <c r="AR159" t="s">
        <v>70</v>
      </c>
      <c r="AS159">
        <v>701</v>
      </c>
      <c r="AT159" t="s">
        <v>71</v>
      </c>
      <c r="AU159">
        <v>-28.32</v>
      </c>
      <c r="AV159">
        <v>-52.78</v>
      </c>
      <c r="AW159" t="s">
        <v>72</v>
      </c>
      <c r="AX159">
        <v>701</v>
      </c>
      <c r="AY159" t="s">
        <v>71</v>
      </c>
      <c r="AZ159">
        <v>-35.06</v>
      </c>
      <c r="BA159">
        <v>-58.95</v>
      </c>
      <c r="BB159" t="s">
        <v>73</v>
      </c>
    </row>
    <row r="160" spans="1:54" x14ac:dyDescent="0.4">
      <c r="A160">
        <v>1428486</v>
      </c>
      <c r="D160" t="s">
        <v>54</v>
      </c>
      <c r="G160">
        <v>2</v>
      </c>
      <c r="H160" t="s">
        <v>74</v>
      </c>
      <c r="I160" t="s">
        <v>57</v>
      </c>
      <c r="K160" t="s">
        <v>102</v>
      </c>
      <c r="L160" t="s">
        <v>2176</v>
      </c>
      <c r="M160" t="s">
        <v>59</v>
      </c>
      <c r="O160" t="s">
        <v>107</v>
      </c>
      <c r="P160" t="s">
        <v>169</v>
      </c>
      <c r="R160" t="s">
        <v>138</v>
      </c>
      <c r="S160" t="s">
        <v>98</v>
      </c>
      <c r="T160">
        <v>264.27999999999997</v>
      </c>
      <c r="U160">
        <v>259.51</v>
      </c>
      <c r="V160">
        <f>(T160+U160)/2</f>
        <v>261.89499999999998</v>
      </c>
      <c r="W160">
        <f>T160-U160</f>
        <v>4.7699999999999818</v>
      </c>
      <c r="X160">
        <v>21.75</v>
      </c>
      <c r="Y160">
        <v>-32.695830999999998</v>
      </c>
      <c r="Z160" t="s">
        <v>126</v>
      </c>
      <c r="AA160" t="s">
        <v>86</v>
      </c>
      <c r="AB160" t="s">
        <v>170</v>
      </c>
      <c r="AC160" t="s">
        <v>1001</v>
      </c>
      <c r="AD160" t="s">
        <v>172</v>
      </c>
      <c r="AE160" t="s">
        <v>90</v>
      </c>
      <c r="AG160" t="s">
        <v>978</v>
      </c>
      <c r="AH160" t="s">
        <v>11</v>
      </c>
      <c r="AI160" t="s">
        <v>1959</v>
      </c>
      <c r="AJ160">
        <v>1969</v>
      </c>
      <c r="AK160" t="s">
        <v>1163</v>
      </c>
      <c r="AM160" t="s">
        <v>1164</v>
      </c>
      <c r="AN160" t="s">
        <v>94</v>
      </c>
      <c r="AO160" t="s">
        <v>68</v>
      </c>
      <c r="AP160" t="s">
        <v>95</v>
      </c>
      <c r="AQ160" t="s">
        <v>1165</v>
      </c>
      <c r="AR160" t="s">
        <v>70</v>
      </c>
      <c r="AS160">
        <v>701</v>
      </c>
      <c r="AT160" t="s">
        <v>71</v>
      </c>
      <c r="AU160">
        <v>-28.32</v>
      </c>
      <c r="AV160">
        <v>-52.78</v>
      </c>
      <c r="AW160" t="s">
        <v>72</v>
      </c>
      <c r="AX160">
        <v>701</v>
      </c>
      <c r="AY160" t="s">
        <v>71</v>
      </c>
      <c r="AZ160">
        <v>-35.06</v>
      </c>
      <c r="BA160">
        <v>-58.95</v>
      </c>
      <c r="BB160" t="s">
        <v>73</v>
      </c>
    </row>
    <row r="161" spans="1:54" x14ac:dyDescent="0.4">
      <c r="A161">
        <v>1428524</v>
      </c>
      <c r="D161" t="s">
        <v>54</v>
      </c>
      <c r="I161" t="s">
        <v>57</v>
      </c>
      <c r="K161" t="s">
        <v>102</v>
      </c>
      <c r="L161" t="s">
        <v>168</v>
      </c>
      <c r="M161" t="s">
        <v>59</v>
      </c>
      <c r="O161" t="s">
        <v>107</v>
      </c>
      <c r="P161" t="s">
        <v>169</v>
      </c>
      <c r="R161" t="s">
        <v>138</v>
      </c>
      <c r="S161" t="s">
        <v>98</v>
      </c>
      <c r="T161">
        <v>264.27999999999997</v>
      </c>
      <c r="U161">
        <v>259.51</v>
      </c>
      <c r="V161">
        <f>(T161+U161)/2</f>
        <v>261.89499999999998</v>
      </c>
      <c r="W161">
        <f>T161-U161</f>
        <v>4.7699999999999818</v>
      </c>
      <c r="X161">
        <v>21.516666000000001</v>
      </c>
      <c r="Y161">
        <v>-32.668610000000001</v>
      </c>
      <c r="Z161" t="s">
        <v>99</v>
      </c>
      <c r="AA161" t="s">
        <v>86</v>
      </c>
      <c r="AB161" t="s">
        <v>170</v>
      </c>
      <c r="AG161" t="s">
        <v>904</v>
      </c>
      <c r="AH161" t="s">
        <v>65</v>
      </c>
      <c r="AI161" t="s">
        <v>1959</v>
      </c>
      <c r="AJ161">
        <v>1969</v>
      </c>
      <c r="AK161" t="s">
        <v>2187</v>
      </c>
      <c r="AN161" t="s">
        <v>94</v>
      </c>
      <c r="AO161" t="s">
        <v>68</v>
      </c>
      <c r="AP161" t="s">
        <v>95</v>
      </c>
      <c r="AQ161" t="s">
        <v>2188</v>
      </c>
      <c r="AR161" t="s">
        <v>70</v>
      </c>
      <c r="AS161">
        <v>701</v>
      </c>
      <c r="AT161" t="s">
        <v>71</v>
      </c>
      <c r="AU161">
        <v>-28.39</v>
      </c>
      <c r="AV161">
        <v>-52.59</v>
      </c>
      <c r="AW161" t="s">
        <v>72</v>
      </c>
      <c r="AX161">
        <v>701</v>
      </c>
      <c r="AY161" t="s">
        <v>71</v>
      </c>
      <c r="AZ161">
        <v>-35.119999999999997</v>
      </c>
      <c r="BA161">
        <v>-58.76</v>
      </c>
      <c r="BB161" t="s">
        <v>73</v>
      </c>
    </row>
    <row r="162" spans="1:54" x14ac:dyDescent="0.4">
      <c r="A162">
        <v>1428526</v>
      </c>
      <c r="D162" t="s">
        <v>54</v>
      </c>
      <c r="G162">
        <v>1</v>
      </c>
      <c r="H162" t="s">
        <v>74</v>
      </c>
      <c r="I162" t="s">
        <v>57</v>
      </c>
      <c r="K162" t="s">
        <v>102</v>
      </c>
      <c r="L162" t="s">
        <v>168</v>
      </c>
      <c r="M162" t="s">
        <v>59</v>
      </c>
      <c r="O162" t="s">
        <v>107</v>
      </c>
      <c r="P162" t="s">
        <v>169</v>
      </c>
      <c r="R162" t="s">
        <v>138</v>
      </c>
      <c r="S162" t="s">
        <v>98</v>
      </c>
      <c r="T162">
        <v>264.27999999999997</v>
      </c>
      <c r="U162">
        <v>259.51</v>
      </c>
      <c r="V162">
        <f>(T162+U162)/2</f>
        <v>261.89499999999998</v>
      </c>
      <c r="W162">
        <f>T162-U162</f>
        <v>4.7699999999999818</v>
      </c>
      <c r="X162">
        <v>21</v>
      </c>
      <c r="Y162">
        <v>-33.075831999999998</v>
      </c>
      <c r="Z162" t="s">
        <v>99</v>
      </c>
      <c r="AA162" t="s">
        <v>86</v>
      </c>
      <c r="AB162" t="s">
        <v>170</v>
      </c>
      <c r="AG162" t="s">
        <v>904</v>
      </c>
      <c r="AH162" t="s">
        <v>65</v>
      </c>
      <c r="AI162" t="s">
        <v>1959</v>
      </c>
      <c r="AJ162">
        <v>1969</v>
      </c>
      <c r="AK162" t="s">
        <v>2189</v>
      </c>
      <c r="AN162" t="s">
        <v>94</v>
      </c>
      <c r="AO162" t="s">
        <v>68</v>
      </c>
      <c r="AP162" t="s">
        <v>95</v>
      </c>
      <c r="AR162" t="s">
        <v>70</v>
      </c>
      <c r="AS162">
        <v>701</v>
      </c>
      <c r="AT162" t="s">
        <v>71</v>
      </c>
      <c r="AU162">
        <v>-29.28</v>
      </c>
      <c r="AV162">
        <v>-52.34</v>
      </c>
      <c r="AW162" t="s">
        <v>72</v>
      </c>
      <c r="AX162">
        <v>701</v>
      </c>
      <c r="AY162" t="s">
        <v>71</v>
      </c>
      <c r="AZ162">
        <v>-36.119999999999997</v>
      </c>
      <c r="BA162">
        <v>-58.46</v>
      </c>
      <c r="BB162" t="s">
        <v>73</v>
      </c>
    </row>
    <row r="163" spans="1:54" x14ac:dyDescent="0.4">
      <c r="A163">
        <v>1428527</v>
      </c>
      <c r="D163" t="s">
        <v>54</v>
      </c>
      <c r="I163" t="s">
        <v>57</v>
      </c>
      <c r="K163" t="s">
        <v>102</v>
      </c>
      <c r="L163" t="s">
        <v>168</v>
      </c>
      <c r="M163" t="s">
        <v>59</v>
      </c>
      <c r="O163" t="s">
        <v>107</v>
      </c>
      <c r="P163" t="s">
        <v>169</v>
      </c>
      <c r="R163" t="s">
        <v>138</v>
      </c>
      <c r="S163" t="s">
        <v>98</v>
      </c>
      <c r="T163">
        <v>264.27999999999997</v>
      </c>
      <c r="U163">
        <v>259.51</v>
      </c>
      <c r="V163">
        <f>(T163+U163)/2</f>
        <v>261.89499999999998</v>
      </c>
      <c r="W163">
        <f>T163-U163</f>
        <v>4.7699999999999818</v>
      </c>
      <c r="X163">
        <v>21</v>
      </c>
      <c r="Y163">
        <v>-33.075831999999998</v>
      </c>
      <c r="Z163" t="s">
        <v>99</v>
      </c>
      <c r="AA163" t="s">
        <v>86</v>
      </c>
      <c r="AB163" t="s">
        <v>170</v>
      </c>
      <c r="AG163" t="s">
        <v>904</v>
      </c>
      <c r="AH163" t="s">
        <v>65</v>
      </c>
      <c r="AI163" t="s">
        <v>1959</v>
      </c>
      <c r="AJ163">
        <v>1969</v>
      </c>
      <c r="AK163" t="s">
        <v>2189</v>
      </c>
      <c r="AN163" t="s">
        <v>94</v>
      </c>
      <c r="AO163" t="s">
        <v>68</v>
      </c>
      <c r="AP163" t="s">
        <v>95</v>
      </c>
      <c r="AR163" t="s">
        <v>70</v>
      </c>
      <c r="AS163">
        <v>701</v>
      </c>
      <c r="AT163" t="s">
        <v>71</v>
      </c>
      <c r="AU163">
        <v>-29.28</v>
      </c>
      <c r="AV163">
        <v>-52.34</v>
      </c>
      <c r="AW163" t="s">
        <v>72</v>
      </c>
      <c r="AX163">
        <v>701</v>
      </c>
      <c r="AY163" t="s">
        <v>71</v>
      </c>
      <c r="AZ163">
        <v>-36.119999999999997</v>
      </c>
      <c r="BA163">
        <v>-58.46</v>
      </c>
      <c r="BB163" t="s">
        <v>73</v>
      </c>
    </row>
    <row r="164" spans="1:54" x14ac:dyDescent="0.4">
      <c r="A164">
        <v>1428528</v>
      </c>
      <c r="D164" t="s">
        <v>54</v>
      </c>
      <c r="I164" t="s">
        <v>57</v>
      </c>
      <c r="K164" t="s">
        <v>102</v>
      </c>
      <c r="L164" t="s">
        <v>1824</v>
      </c>
      <c r="M164" t="s">
        <v>59</v>
      </c>
      <c r="O164" t="s">
        <v>107</v>
      </c>
      <c r="P164" t="s">
        <v>169</v>
      </c>
      <c r="R164" t="s">
        <v>138</v>
      </c>
      <c r="S164" t="s">
        <v>98</v>
      </c>
      <c r="T164">
        <v>264.27999999999997</v>
      </c>
      <c r="U164">
        <v>259.51</v>
      </c>
      <c r="V164">
        <f>(T164+U164)/2</f>
        <v>261.89499999999998</v>
      </c>
      <c r="W164">
        <f>T164-U164</f>
        <v>4.7699999999999818</v>
      </c>
      <c r="X164">
        <v>21</v>
      </c>
      <c r="Y164">
        <v>-33.075831999999998</v>
      </c>
      <c r="Z164" t="s">
        <v>99</v>
      </c>
      <c r="AA164" t="s">
        <v>86</v>
      </c>
      <c r="AB164" t="s">
        <v>170</v>
      </c>
      <c r="AG164" t="s">
        <v>904</v>
      </c>
      <c r="AH164" t="s">
        <v>65</v>
      </c>
      <c r="AI164" t="s">
        <v>1959</v>
      </c>
      <c r="AJ164">
        <v>1969</v>
      </c>
      <c r="AK164" t="s">
        <v>2189</v>
      </c>
      <c r="AN164" t="s">
        <v>94</v>
      </c>
      <c r="AO164" t="s">
        <v>68</v>
      </c>
      <c r="AP164" t="s">
        <v>95</v>
      </c>
      <c r="AR164" t="s">
        <v>70</v>
      </c>
      <c r="AS164">
        <v>701</v>
      </c>
      <c r="AT164" t="s">
        <v>71</v>
      </c>
      <c r="AU164">
        <v>-29.28</v>
      </c>
      <c r="AV164">
        <v>-52.34</v>
      </c>
      <c r="AW164" t="s">
        <v>72</v>
      </c>
      <c r="AX164">
        <v>701</v>
      </c>
      <c r="AY164" t="s">
        <v>71</v>
      </c>
      <c r="AZ164">
        <v>-36.119999999999997</v>
      </c>
      <c r="BA164">
        <v>-58.46</v>
      </c>
      <c r="BB164" t="s">
        <v>73</v>
      </c>
    </row>
    <row r="165" spans="1:54" x14ac:dyDescent="0.4">
      <c r="A165">
        <v>1428531</v>
      </c>
      <c r="D165" t="s">
        <v>54</v>
      </c>
      <c r="G165">
        <v>4</v>
      </c>
      <c r="H165" t="s">
        <v>74</v>
      </c>
      <c r="I165" t="s">
        <v>57</v>
      </c>
      <c r="K165" t="s">
        <v>102</v>
      </c>
      <c r="L165" t="s">
        <v>168</v>
      </c>
      <c r="M165" t="s">
        <v>59</v>
      </c>
      <c r="O165" t="s">
        <v>107</v>
      </c>
      <c r="P165" t="s">
        <v>169</v>
      </c>
      <c r="R165" t="s">
        <v>138</v>
      </c>
      <c r="S165" t="s">
        <v>98</v>
      </c>
      <c r="T165">
        <v>264.27999999999997</v>
      </c>
      <c r="U165">
        <v>259.51</v>
      </c>
      <c r="V165">
        <f>(T165+U165)/2</f>
        <v>261.89499999999998</v>
      </c>
      <c r="W165">
        <f>T165-U165</f>
        <v>4.7699999999999818</v>
      </c>
      <c r="X165">
        <v>22.073889000000001</v>
      </c>
      <c r="Y165">
        <v>-32.284999999999997</v>
      </c>
      <c r="Z165" t="s">
        <v>99</v>
      </c>
      <c r="AA165" t="s">
        <v>86</v>
      </c>
      <c r="AB165" t="s">
        <v>170</v>
      </c>
      <c r="AG165" t="s">
        <v>904</v>
      </c>
      <c r="AH165" t="s">
        <v>65</v>
      </c>
      <c r="AI165" t="s">
        <v>1959</v>
      </c>
      <c r="AJ165">
        <v>1969</v>
      </c>
      <c r="AK165" t="s">
        <v>2190</v>
      </c>
      <c r="AN165" t="s">
        <v>94</v>
      </c>
      <c r="AO165" t="s">
        <v>68</v>
      </c>
      <c r="AP165" t="s">
        <v>95</v>
      </c>
      <c r="AR165" t="s">
        <v>70</v>
      </c>
      <c r="AS165">
        <v>701</v>
      </c>
      <c r="AT165" t="s">
        <v>71</v>
      </c>
      <c r="AU165">
        <v>-27.52</v>
      </c>
      <c r="AV165">
        <v>-52.88</v>
      </c>
      <c r="AW165" t="s">
        <v>72</v>
      </c>
      <c r="AX165">
        <v>701</v>
      </c>
      <c r="AY165" t="s">
        <v>71</v>
      </c>
      <c r="AZ165">
        <v>-34.14</v>
      </c>
      <c r="BA165">
        <v>-59.09</v>
      </c>
      <c r="BB165" t="s">
        <v>73</v>
      </c>
    </row>
    <row r="166" spans="1:54" x14ac:dyDescent="0.4">
      <c r="A166">
        <v>1428847</v>
      </c>
      <c r="D166" t="s">
        <v>54</v>
      </c>
      <c r="I166" t="s">
        <v>57</v>
      </c>
      <c r="K166" t="s">
        <v>102</v>
      </c>
      <c r="L166" t="s">
        <v>168</v>
      </c>
      <c r="M166" t="s">
        <v>59</v>
      </c>
      <c r="O166" t="s">
        <v>107</v>
      </c>
      <c r="P166" t="s">
        <v>169</v>
      </c>
      <c r="R166" t="s">
        <v>138</v>
      </c>
      <c r="S166" t="s">
        <v>98</v>
      </c>
      <c r="T166">
        <v>264.27999999999997</v>
      </c>
      <c r="U166">
        <v>259.51</v>
      </c>
      <c r="V166">
        <f>(T166+U166)/2</f>
        <v>261.89499999999998</v>
      </c>
      <c r="W166">
        <f>T166-U166</f>
        <v>4.7699999999999818</v>
      </c>
      <c r="X166">
        <v>22.170500000000001</v>
      </c>
      <c r="Y166">
        <v>-32.486198000000002</v>
      </c>
      <c r="Z166" t="s">
        <v>126</v>
      </c>
      <c r="AA166" t="s">
        <v>86</v>
      </c>
      <c r="AB166" t="s">
        <v>170</v>
      </c>
      <c r="AC166" t="s">
        <v>171</v>
      </c>
      <c r="AD166" t="s">
        <v>172</v>
      </c>
      <c r="AE166" t="s">
        <v>90</v>
      </c>
      <c r="AG166" t="s">
        <v>904</v>
      </c>
      <c r="AH166" t="s">
        <v>65</v>
      </c>
      <c r="AI166" t="s">
        <v>1959</v>
      </c>
      <c r="AJ166">
        <v>1969</v>
      </c>
      <c r="AK166" t="s">
        <v>1160</v>
      </c>
      <c r="AM166" t="s">
        <v>1161</v>
      </c>
      <c r="AN166" t="s">
        <v>94</v>
      </c>
      <c r="AO166">
        <v>8</v>
      </c>
      <c r="AP166" t="s">
        <v>69</v>
      </c>
      <c r="AQ166" t="s">
        <v>1162</v>
      </c>
      <c r="AR166" t="s">
        <v>70</v>
      </c>
      <c r="AS166">
        <v>701</v>
      </c>
      <c r="AT166" t="s">
        <v>71</v>
      </c>
      <c r="AU166">
        <v>-27.77</v>
      </c>
      <c r="AV166">
        <v>-53.03</v>
      </c>
      <c r="AW166" t="s">
        <v>72</v>
      </c>
      <c r="AX166">
        <v>701</v>
      </c>
      <c r="AY166" t="s">
        <v>71</v>
      </c>
      <c r="AZ166">
        <v>-34.46</v>
      </c>
      <c r="BA166">
        <v>-59.23</v>
      </c>
      <c r="BB166" t="s">
        <v>73</v>
      </c>
    </row>
    <row r="167" spans="1:54" x14ac:dyDescent="0.4">
      <c r="A167">
        <v>1428987</v>
      </c>
      <c r="D167" t="s">
        <v>54</v>
      </c>
      <c r="I167" t="s">
        <v>57</v>
      </c>
      <c r="K167" t="s">
        <v>102</v>
      </c>
      <c r="L167" t="s">
        <v>168</v>
      </c>
      <c r="M167" t="s">
        <v>59</v>
      </c>
      <c r="O167" t="s">
        <v>107</v>
      </c>
      <c r="P167" t="s">
        <v>169</v>
      </c>
      <c r="R167" t="s">
        <v>138</v>
      </c>
      <c r="S167" t="s">
        <v>98</v>
      </c>
      <c r="T167">
        <v>264.27999999999997</v>
      </c>
      <c r="U167">
        <v>259.51</v>
      </c>
      <c r="V167">
        <f>(T167+U167)/2</f>
        <v>261.89499999999998</v>
      </c>
      <c r="W167">
        <f>T167-U167</f>
        <v>4.7699999999999818</v>
      </c>
      <c r="X167">
        <v>21.971665999999999</v>
      </c>
      <c r="Y167">
        <v>-32.788333999999999</v>
      </c>
      <c r="Z167" t="s">
        <v>99</v>
      </c>
      <c r="AA167" t="s">
        <v>86</v>
      </c>
      <c r="AB167" t="s">
        <v>170</v>
      </c>
      <c r="AG167" t="s">
        <v>904</v>
      </c>
      <c r="AH167" t="s">
        <v>65</v>
      </c>
      <c r="AI167" t="s">
        <v>1959</v>
      </c>
      <c r="AJ167">
        <v>1969</v>
      </c>
      <c r="AK167" t="s">
        <v>2191</v>
      </c>
      <c r="AN167" t="s">
        <v>94</v>
      </c>
      <c r="AO167" t="s">
        <v>68</v>
      </c>
      <c r="AP167" t="s">
        <v>95</v>
      </c>
      <c r="AR167" t="s">
        <v>70</v>
      </c>
      <c r="AS167">
        <v>701</v>
      </c>
      <c r="AT167" t="s">
        <v>71</v>
      </c>
      <c r="AU167">
        <v>-28.34</v>
      </c>
      <c r="AV167">
        <v>-52.99</v>
      </c>
      <c r="AW167" t="s">
        <v>72</v>
      </c>
      <c r="AX167">
        <v>701</v>
      </c>
      <c r="AY167" t="s">
        <v>71</v>
      </c>
      <c r="AZ167">
        <v>-35.119999999999997</v>
      </c>
      <c r="BA167">
        <v>-59.16</v>
      </c>
      <c r="BB167" t="s">
        <v>73</v>
      </c>
    </row>
    <row r="168" spans="1:54" x14ac:dyDescent="0.4">
      <c r="A168">
        <v>1428988</v>
      </c>
      <c r="D168" t="s">
        <v>54</v>
      </c>
      <c r="I168" t="s">
        <v>57</v>
      </c>
      <c r="K168" t="s">
        <v>102</v>
      </c>
      <c r="L168" t="s">
        <v>2176</v>
      </c>
      <c r="M168" t="s">
        <v>59</v>
      </c>
      <c r="O168" t="s">
        <v>107</v>
      </c>
      <c r="P168" t="s">
        <v>169</v>
      </c>
      <c r="R168" t="s">
        <v>138</v>
      </c>
      <c r="S168" t="s">
        <v>98</v>
      </c>
      <c r="T168">
        <v>264.27999999999997</v>
      </c>
      <c r="U168">
        <v>259.51</v>
      </c>
      <c r="V168">
        <f>(T168+U168)/2</f>
        <v>261.89499999999998</v>
      </c>
      <c r="W168">
        <f>T168-U168</f>
        <v>4.7699999999999818</v>
      </c>
      <c r="X168">
        <v>21.971665999999999</v>
      </c>
      <c r="Y168">
        <v>-32.788333999999999</v>
      </c>
      <c r="Z168" t="s">
        <v>99</v>
      </c>
      <c r="AA168" t="s">
        <v>86</v>
      </c>
      <c r="AB168" t="s">
        <v>170</v>
      </c>
      <c r="AG168" t="s">
        <v>904</v>
      </c>
      <c r="AH168" t="s">
        <v>11</v>
      </c>
      <c r="AI168" t="s">
        <v>1959</v>
      </c>
      <c r="AJ168">
        <v>1969</v>
      </c>
      <c r="AK168" t="s">
        <v>2191</v>
      </c>
      <c r="AN168" t="s">
        <v>94</v>
      </c>
      <c r="AO168" t="s">
        <v>68</v>
      </c>
      <c r="AP168" t="s">
        <v>95</v>
      </c>
      <c r="AR168" t="s">
        <v>70</v>
      </c>
      <c r="AS168">
        <v>701</v>
      </c>
      <c r="AT168" t="s">
        <v>71</v>
      </c>
      <c r="AU168">
        <v>-28.34</v>
      </c>
      <c r="AV168">
        <v>-52.99</v>
      </c>
      <c r="AW168" t="s">
        <v>72</v>
      </c>
      <c r="AX168">
        <v>701</v>
      </c>
      <c r="AY168" t="s">
        <v>71</v>
      </c>
      <c r="AZ168">
        <v>-35.119999999999997</v>
      </c>
      <c r="BA168">
        <v>-59.16</v>
      </c>
      <c r="BB168" t="s">
        <v>73</v>
      </c>
    </row>
    <row r="169" spans="1:54" x14ac:dyDescent="0.4">
      <c r="A169">
        <v>1428995</v>
      </c>
      <c r="D169" t="s">
        <v>54</v>
      </c>
      <c r="I169" t="s">
        <v>57</v>
      </c>
      <c r="K169" t="s">
        <v>102</v>
      </c>
      <c r="L169" t="s">
        <v>2174</v>
      </c>
      <c r="M169" t="s">
        <v>59</v>
      </c>
      <c r="O169" t="s">
        <v>107</v>
      </c>
      <c r="P169" t="s">
        <v>169</v>
      </c>
      <c r="R169" t="s">
        <v>138</v>
      </c>
      <c r="S169" t="s">
        <v>98</v>
      </c>
      <c r="T169">
        <v>264.27999999999997</v>
      </c>
      <c r="U169">
        <v>259.51</v>
      </c>
      <c r="V169">
        <f>(T169+U169)/2</f>
        <v>261.89499999999998</v>
      </c>
      <c r="W169">
        <f>T169-U169</f>
        <v>4.7699999999999818</v>
      </c>
      <c r="X169">
        <v>22.033611000000001</v>
      </c>
      <c r="Y169">
        <v>-33.224724000000002</v>
      </c>
      <c r="Z169" t="s">
        <v>99</v>
      </c>
      <c r="AA169" t="s">
        <v>86</v>
      </c>
      <c r="AB169" t="s">
        <v>170</v>
      </c>
      <c r="AG169" t="s">
        <v>904</v>
      </c>
      <c r="AH169" t="s">
        <v>65</v>
      </c>
      <c r="AI169" t="s">
        <v>1959</v>
      </c>
      <c r="AJ169">
        <v>1969</v>
      </c>
      <c r="AK169" t="s">
        <v>2192</v>
      </c>
      <c r="AN169" t="s">
        <v>94</v>
      </c>
      <c r="AO169" t="s">
        <v>68</v>
      </c>
      <c r="AP169" t="s">
        <v>95</v>
      </c>
      <c r="AQ169" t="s">
        <v>2193</v>
      </c>
      <c r="AR169" t="s">
        <v>70</v>
      </c>
      <c r="AS169">
        <v>701</v>
      </c>
      <c r="AT169" t="s">
        <v>71</v>
      </c>
      <c r="AU169">
        <v>-28.99</v>
      </c>
      <c r="AV169">
        <v>-53.2</v>
      </c>
      <c r="AW169" t="s">
        <v>72</v>
      </c>
      <c r="AX169">
        <v>701</v>
      </c>
      <c r="AY169" t="s">
        <v>71</v>
      </c>
      <c r="AZ169">
        <v>-35.909999999999997</v>
      </c>
      <c r="BA169">
        <v>-59.34</v>
      </c>
      <c r="BB169" t="s">
        <v>73</v>
      </c>
    </row>
    <row r="170" spans="1:54" x14ac:dyDescent="0.4">
      <c r="A170">
        <v>1429005</v>
      </c>
      <c r="D170" t="s">
        <v>54</v>
      </c>
      <c r="I170" t="s">
        <v>57</v>
      </c>
      <c r="K170" t="s">
        <v>102</v>
      </c>
      <c r="L170" t="s">
        <v>168</v>
      </c>
      <c r="M170" t="s">
        <v>59</v>
      </c>
      <c r="O170" t="s">
        <v>107</v>
      </c>
      <c r="P170" t="s">
        <v>169</v>
      </c>
      <c r="R170" t="s">
        <v>138</v>
      </c>
      <c r="S170" t="s">
        <v>98</v>
      </c>
      <c r="T170">
        <v>264.27999999999997</v>
      </c>
      <c r="U170">
        <v>259.51</v>
      </c>
      <c r="V170">
        <f>(T170+U170)/2</f>
        <v>261.89499999999998</v>
      </c>
      <c r="W170">
        <f>T170-U170</f>
        <v>4.7699999999999818</v>
      </c>
      <c r="X170">
        <v>20.863056</v>
      </c>
      <c r="Y170">
        <v>-33.191665999999998</v>
      </c>
      <c r="Z170" t="s">
        <v>99</v>
      </c>
      <c r="AA170" t="s">
        <v>86</v>
      </c>
      <c r="AB170" t="s">
        <v>170</v>
      </c>
      <c r="AG170" t="s">
        <v>904</v>
      </c>
      <c r="AH170" t="s">
        <v>11</v>
      </c>
      <c r="AI170" t="s">
        <v>1959</v>
      </c>
      <c r="AJ170">
        <v>1969</v>
      </c>
      <c r="AK170" t="s">
        <v>2194</v>
      </c>
      <c r="AN170" t="s">
        <v>94</v>
      </c>
      <c r="AO170" t="s">
        <v>68</v>
      </c>
      <c r="AP170" t="s">
        <v>95</v>
      </c>
      <c r="AQ170" t="s">
        <v>2195</v>
      </c>
      <c r="AR170" t="s">
        <v>70</v>
      </c>
      <c r="AS170">
        <v>701</v>
      </c>
      <c r="AT170" t="s">
        <v>71</v>
      </c>
      <c r="AU170">
        <v>-29.52</v>
      </c>
      <c r="AV170">
        <v>-52.27</v>
      </c>
      <c r="AW170" t="s">
        <v>72</v>
      </c>
      <c r="AX170">
        <v>701</v>
      </c>
      <c r="AY170" t="s">
        <v>71</v>
      </c>
      <c r="AZ170">
        <v>-36.39</v>
      </c>
      <c r="BA170">
        <v>-58.39</v>
      </c>
      <c r="BB170" t="s">
        <v>73</v>
      </c>
    </row>
    <row r="171" spans="1:54" x14ac:dyDescent="0.4">
      <c r="A171">
        <v>1640373</v>
      </c>
      <c r="D171" t="s">
        <v>54</v>
      </c>
      <c r="I171" t="s">
        <v>57</v>
      </c>
      <c r="K171" t="s">
        <v>135</v>
      </c>
      <c r="L171" t="s">
        <v>136</v>
      </c>
      <c r="M171" t="s">
        <v>59</v>
      </c>
      <c r="P171" t="s">
        <v>169</v>
      </c>
      <c r="R171" t="s">
        <v>138</v>
      </c>
      <c r="S171" t="s">
        <v>98</v>
      </c>
      <c r="T171">
        <v>264.27999999999997</v>
      </c>
      <c r="U171">
        <v>259.51</v>
      </c>
      <c r="V171">
        <f>(T171+U171)/2</f>
        <v>261.89499999999998</v>
      </c>
      <c r="W171">
        <f>T171-U171</f>
        <v>4.7699999999999818</v>
      </c>
      <c r="X171">
        <v>48.648578999999998</v>
      </c>
      <c r="Y171">
        <v>57.873493000000003</v>
      </c>
      <c r="Z171" t="s">
        <v>181</v>
      </c>
      <c r="AA171" t="s">
        <v>139</v>
      </c>
      <c r="AB171" t="s">
        <v>2262</v>
      </c>
      <c r="AD171" t="s">
        <v>250</v>
      </c>
      <c r="AF171" t="s">
        <v>2263</v>
      </c>
      <c r="AH171" t="s">
        <v>11</v>
      </c>
      <c r="AI171" t="s">
        <v>2264</v>
      </c>
      <c r="AJ171">
        <v>2018</v>
      </c>
      <c r="AK171" t="s">
        <v>2265</v>
      </c>
      <c r="AN171" t="s">
        <v>121</v>
      </c>
      <c r="AO171">
        <v>6</v>
      </c>
      <c r="AR171" t="s">
        <v>70</v>
      </c>
      <c r="AS171">
        <v>302</v>
      </c>
      <c r="AT171" t="s">
        <v>71</v>
      </c>
      <c r="AU171">
        <v>50.25</v>
      </c>
      <c r="AV171">
        <v>37.380000000000003</v>
      </c>
      <c r="AW171" t="s">
        <v>72</v>
      </c>
      <c r="AX171">
        <v>301</v>
      </c>
      <c r="AY171" t="s">
        <v>71</v>
      </c>
      <c r="AZ171">
        <v>41.15</v>
      </c>
      <c r="BA171">
        <v>31.63</v>
      </c>
      <c r="BB171" t="s">
        <v>73</v>
      </c>
    </row>
    <row r="172" spans="1:54" x14ac:dyDescent="0.4">
      <c r="A172">
        <v>1646159</v>
      </c>
      <c r="D172" t="s">
        <v>54</v>
      </c>
      <c r="I172" t="s">
        <v>57</v>
      </c>
      <c r="K172" t="s">
        <v>247</v>
      </c>
      <c r="L172" t="s">
        <v>258</v>
      </c>
      <c r="M172" t="s">
        <v>59</v>
      </c>
      <c r="O172" t="s">
        <v>107</v>
      </c>
      <c r="P172" t="s">
        <v>169</v>
      </c>
      <c r="R172" t="s">
        <v>138</v>
      </c>
      <c r="S172" t="s">
        <v>98</v>
      </c>
      <c r="T172">
        <v>264.27999999999997</v>
      </c>
      <c r="U172">
        <v>259.51</v>
      </c>
      <c r="V172">
        <f>(T172+U172)/2</f>
        <v>261.89499999999998</v>
      </c>
      <c r="W172">
        <f>T172-U172</f>
        <v>4.7699999999999818</v>
      </c>
      <c r="X172">
        <v>45.43092</v>
      </c>
      <c r="Y172">
        <v>60.583851000000003</v>
      </c>
      <c r="Z172" t="s">
        <v>354</v>
      </c>
      <c r="AA172" t="s">
        <v>139</v>
      </c>
      <c r="AB172" t="s">
        <v>1125</v>
      </c>
      <c r="AD172" t="s">
        <v>2268</v>
      </c>
      <c r="AF172" t="s">
        <v>2269</v>
      </c>
      <c r="AH172" t="s">
        <v>11</v>
      </c>
      <c r="AI172" t="s">
        <v>2270</v>
      </c>
      <c r="AJ172">
        <v>2015</v>
      </c>
      <c r="AK172" t="s">
        <v>2271</v>
      </c>
      <c r="AN172" t="s">
        <v>67</v>
      </c>
      <c r="AO172">
        <v>5</v>
      </c>
      <c r="AR172" t="s">
        <v>70</v>
      </c>
      <c r="AS172">
        <v>302</v>
      </c>
      <c r="AT172" t="s">
        <v>71</v>
      </c>
      <c r="AU172">
        <v>46.44</v>
      </c>
      <c r="AV172">
        <v>38.159999999999997</v>
      </c>
      <c r="AW172" t="s">
        <v>72</v>
      </c>
      <c r="AX172">
        <v>301</v>
      </c>
      <c r="AY172" t="s">
        <v>71</v>
      </c>
      <c r="AZ172">
        <v>37.78</v>
      </c>
      <c r="BA172">
        <v>32.44</v>
      </c>
      <c r="BB172" t="s">
        <v>73</v>
      </c>
    </row>
    <row r="173" spans="1:54" x14ac:dyDescent="0.4">
      <c r="A173">
        <v>749595</v>
      </c>
      <c r="D173" t="s">
        <v>108</v>
      </c>
      <c r="G173">
        <v>1</v>
      </c>
      <c r="H173" t="s">
        <v>56</v>
      </c>
      <c r="I173" t="s">
        <v>57</v>
      </c>
      <c r="K173" t="s">
        <v>551</v>
      </c>
      <c r="L173" t="s">
        <v>552</v>
      </c>
      <c r="M173" t="s">
        <v>59</v>
      </c>
      <c r="P173" t="s">
        <v>259</v>
      </c>
      <c r="Q173" t="s">
        <v>502</v>
      </c>
      <c r="R173" t="s">
        <v>260</v>
      </c>
      <c r="S173" t="s">
        <v>98</v>
      </c>
      <c r="T173">
        <v>259.51</v>
      </c>
      <c r="U173">
        <v>251.90199999999999</v>
      </c>
      <c r="V173">
        <f>(T173+U173)/2</f>
        <v>255.70599999999999</v>
      </c>
      <c r="W173">
        <f>T173-U173</f>
        <v>7.6080000000000041</v>
      </c>
      <c r="X173">
        <v>23.766666000000001</v>
      </c>
      <c r="Y173">
        <v>-31.950001</v>
      </c>
      <c r="Z173" t="s">
        <v>99</v>
      </c>
      <c r="AA173" t="s">
        <v>86</v>
      </c>
      <c r="AB173" t="s">
        <v>170</v>
      </c>
      <c r="AD173" t="s">
        <v>540</v>
      </c>
      <c r="AE173" t="s">
        <v>90</v>
      </c>
      <c r="AG173" t="s">
        <v>553</v>
      </c>
      <c r="AH173" t="s">
        <v>65</v>
      </c>
      <c r="AI173" t="s">
        <v>554</v>
      </c>
      <c r="AJ173">
        <v>1972</v>
      </c>
      <c r="AK173" t="s">
        <v>555</v>
      </c>
      <c r="AM173" t="s">
        <v>556</v>
      </c>
      <c r="AN173" t="s">
        <v>94</v>
      </c>
      <c r="AO173" t="s">
        <v>106</v>
      </c>
      <c r="AP173" t="s">
        <v>69</v>
      </c>
      <c r="AQ173" t="s">
        <v>557</v>
      </c>
      <c r="AR173" t="s">
        <v>70</v>
      </c>
      <c r="AS173">
        <v>701</v>
      </c>
      <c r="AT173" t="s">
        <v>71</v>
      </c>
      <c r="AU173">
        <v>-18.63</v>
      </c>
      <c r="AV173">
        <v>-51.22</v>
      </c>
      <c r="AW173" t="s">
        <v>72</v>
      </c>
      <c r="AX173">
        <v>701</v>
      </c>
      <c r="AY173" t="s">
        <v>71</v>
      </c>
      <c r="AZ173">
        <v>-28.93</v>
      </c>
      <c r="BA173">
        <v>-61.3</v>
      </c>
      <c r="BB173" t="s">
        <v>73</v>
      </c>
    </row>
    <row r="174" spans="1:54" x14ac:dyDescent="0.4">
      <c r="A174">
        <v>749595</v>
      </c>
      <c r="D174" t="s">
        <v>108</v>
      </c>
      <c r="G174">
        <v>1</v>
      </c>
      <c r="H174" t="s">
        <v>56</v>
      </c>
      <c r="I174" t="s">
        <v>57</v>
      </c>
      <c r="K174" t="s">
        <v>551</v>
      </c>
      <c r="L174" t="s">
        <v>552</v>
      </c>
      <c r="M174" t="s">
        <v>59</v>
      </c>
      <c r="P174" t="s">
        <v>259</v>
      </c>
      <c r="Q174" t="s">
        <v>502</v>
      </c>
      <c r="R174" t="s">
        <v>260</v>
      </c>
      <c r="S174" t="s">
        <v>98</v>
      </c>
      <c r="T174">
        <v>259.51</v>
      </c>
      <c r="U174">
        <v>251.90199999999999</v>
      </c>
      <c r="V174">
        <f>(T174+U174)/2</f>
        <v>255.70599999999999</v>
      </c>
      <c r="W174">
        <f>T174-U174</f>
        <v>7.6080000000000041</v>
      </c>
      <c r="X174">
        <v>23.766666000000001</v>
      </c>
      <c r="Y174">
        <v>-31.950001</v>
      </c>
      <c r="Z174" t="s">
        <v>99</v>
      </c>
      <c r="AA174" t="s">
        <v>86</v>
      </c>
      <c r="AB174" t="s">
        <v>170</v>
      </c>
      <c r="AD174" t="s">
        <v>540</v>
      </c>
      <c r="AE174" t="s">
        <v>90</v>
      </c>
      <c r="AG174" t="s">
        <v>553</v>
      </c>
      <c r="AH174" t="s">
        <v>65</v>
      </c>
      <c r="AI174" t="s">
        <v>554</v>
      </c>
      <c r="AJ174">
        <v>1972</v>
      </c>
      <c r="AK174" t="s">
        <v>555</v>
      </c>
      <c r="AM174" t="s">
        <v>556</v>
      </c>
      <c r="AN174" t="s">
        <v>94</v>
      </c>
      <c r="AO174" t="s">
        <v>106</v>
      </c>
      <c r="AP174" t="s">
        <v>69</v>
      </c>
      <c r="AQ174" t="s">
        <v>557</v>
      </c>
      <c r="AR174" t="s">
        <v>70</v>
      </c>
      <c r="AS174">
        <v>701</v>
      </c>
      <c r="AT174" t="s">
        <v>71</v>
      </c>
      <c r="AU174">
        <v>-18.63</v>
      </c>
      <c r="AV174">
        <v>-51.22</v>
      </c>
      <c r="AW174" t="s">
        <v>72</v>
      </c>
      <c r="AX174">
        <v>701</v>
      </c>
      <c r="AY174" t="s">
        <v>71</v>
      </c>
      <c r="AZ174">
        <v>-28.93</v>
      </c>
      <c r="BA174">
        <v>-61.3</v>
      </c>
      <c r="BB174" t="s">
        <v>73</v>
      </c>
    </row>
    <row r="175" spans="1:54" x14ac:dyDescent="0.4">
      <c r="A175">
        <v>749595</v>
      </c>
      <c r="D175" t="s">
        <v>108</v>
      </c>
      <c r="G175">
        <v>1</v>
      </c>
      <c r="H175" t="s">
        <v>56</v>
      </c>
      <c r="I175" t="s">
        <v>57</v>
      </c>
      <c r="K175" t="s">
        <v>551</v>
      </c>
      <c r="L175" t="s">
        <v>552</v>
      </c>
      <c r="M175" t="s">
        <v>59</v>
      </c>
      <c r="P175" t="s">
        <v>259</v>
      </c>
      <c r="Q175" t="s">
        <v>502</v>
      </c>
      <c r="R175" t="s">
        <v>260</v>
      </c>
      <c r="S175" t="s">
        <v>98</v>
      </c>
      <c r="T175">
        <v>259.51</v>
      </c>
      <c r="U175">
        <v>251.90199999999999</v>
      </c>
      <c r="V175">
        <f>(T175+U175)/2</f>
        <v>255.70599999999999</v>
      </c>
      <c r="W175">
        <f>T175-U175</f>
        <v>7.6080000000000041</v>
      </c>
      <c r="X175">
        <v>23.766666000000001</v>
      </c>
      <c r="Y175">
        <v>-31.950001</v>
      </c>
      <c r="Z175" t="s">
        <v>99</v>
      </c>
      <c r="AA175" t="s">
        <v>86</v>
      </c>
      <c r="AB175" t="s">
        <v>170</v>
      </c>
      <c r="AD175" t="s">
        <v>540</v>
      </c>
      <c r="AE175" t="s">
        <v>90</v>
      </c>
      <c r="AG175" t="s">
        <v>553</v>
      </c>
      <c r="AH175" t="s">
        <v>65</v>
      </c>
      <c r="AI175" t="s">
        <v>554</v>
      </c>
      <c r="AJ175">
        <v>1972</v>
      </c>
      <c r="AK175" t="s">
        <v>555</v>
      </c>
      <c r="AM175" t="s">
        <v>556</v>
      </c>
      <c r="AN175" t="s">
        <v>94</v>
      </c>
      <c r="AO175" t="s">
        <v>106</v>
      </c>
      <c r="AP175" t="s">
        <v>69</v>
      </c>
      <c r="AQ175" t="s">
        <v>557</v>
      </c>
      <c r="AR175" t="s">
        <v>70</v>
      </c>
      <c r="AS175">
        <v>701</v>
      </c>
      <c r="AT175" t="s">
        <v>71</v>
      </c>
      <c r="AU175">
        <v>-18.63</v>
      </c>
      <c r="AV175">
        <v>-51.22</v>
      </c>
      <c r="AW175" t="s">
        <v>72</v>
      </c>
      <c r="AX175">
        <v>701</v>
      </c>
      <c r="AY175" t="s">
        <v>71</v>
      </c>
      <c r="AZ175">
        <v>-28.93</v>
      </c>
      <c r="BA175">
        <v>-61.3</v>
      </c>
      <c r="BB175" t="s">
        <v>73</v>
      </c>
    </row>
    <row r="176" spans="1:54" x14ac:dyDescent="0.4">
      <c r="A176">
        <v>749595</v>
      </c>
      <c r="D176" t="s">
        <v>108</v>
      </c>
      <c r="G176">
        <v>1</v>
      </c>
      <c r="H176" t="s">
        <v>56</v>
      </c>
      <c r="I176" t="s">
        <v>57</v>
      </c>
      <c r="K176" t="s">
        <v>551</v>
      </c>
      <c r="L176" t="s">
        <v>552</v>
      </c>
      <c r="M176" t="s">
        <v>59</v>
      </c>
      <c r="P176" t="s">
        <v>259</v>
      </c>
      <c r="Q176" t="s">
        <v>502</v>
      </c>
      <c r="R176" t="s">
        <v>260</v>
      </c>
      <c r="S176" t="s">
        <v>98</v>
      </c>
      <c r="T176">
        <v>259.51</v>
      </c>
      <c r="U176">
        <v>251.90199999999999</v>
      </c>
      <c r="V176">
        <f>(T176+U176)/2</f>
        <v>255.70599999999999</v>
      </c>
      <c r="W176">
        <f>T176-U176</f>
        <v>7.6080000000000041</v>
      </c>
      <c r="X176">
        <v>23.766666000000001</v>
      </c>
      <c r="Y176">
        <v>-31.950001</v>
      </c>
      <c r="Z176" t="s">
        <v>99</v>
      </c>
      <c r="AA176" t="s">
        <v>86</v>
      </c>
      <c r="AB176" t="s">
        <v>170</v>
      </c>
      <c r="AD176" t="s">
        <v>540</v>
      </c>
      <c r="AE176" t="s">
        <v>90</v>
      </c>
      <c r="AG176" t="s">
        <v>553</v>
      </c>
      <c r="AH176" t="s">
        <v>65</v>
      </c>
      <c r="AI176" t="s">
        <v>554</v>
      </c>
      <c r="AJ176">
        <v>1972</v>
      </c>
      <c r="AK176" t="s">
        <v>555</v>
      </c>
      <c r="AM176" t="s">
        <v>556</v>
      </c>
      <c r="AN176" t="s">
        <v>94</v>
      </c>
      <c r="AO176" t="s">
        <v>106</v>
      </c>
      <c r="AP176" t="s">
        <v>69</v>
      </c>
      <c r="AQ176" t="s">
        <v>557</v>
      </c>
      <c r="AR176" t="s">
        <v>70</v>
      </c>
      <c r="AS176">
        <v>701</v>
      </c>
      <c r="AT176" t="s">
        <v>71</v>
      </c>
      <c r="AU176">
        <v>-18.63</v>
      </c>
      <c r="AV176">
        <v>-51.22</v>
      </c>
      <c r="AW176" t="s">
        <v>72</v>
      </c>
      <c r="AX176">
        <v>701</v>
      </c>
      <c r="AY176" t="s">
        <v>71</v>
      </c>
      <c r="AZ176">
        <v>-28.93</v>
      </c>
      <c r="BA176">
        <v>-61.3</v>
      </c>
      <c r="BB176" t="s">
        <v>73</v>
      </c>
    </row>
    <row r="177" spans="1:54" x14ac:dyDescent="0.4">
      <c r="A177">
        <v>749595</v>
      </c>
      <c r="D177" t="s">
        <v>108</v>
      </c>
      <c r="G177">
        <v>1</v>
      </c>
      <c r="H177" t="s">
        <v>56</v>
      </c>
      <c r="I177" t="s">
        <v>57</v>
      </c>
      <c r="K177" t="s">
        <v>551</v>
      </c>
      <c r="L177" t="s">
        <v>552</v>
      </c>
      <c r="M177" t="s">
        <v>59</v>
      </c>
      <c r="P177" t="s">
        <v>259</v>
      </c>
      <c r="Q177" t="s">
        <v>502</v>
      </c>
      <c r="R177" t="s">
        <v>260</v>
      </c>
      <c r="S177" t="s">
        <v>98</v>
      </c>
      <c r="T177">
        <v>259.51</v>
      </c>
      <c r="U177">
        <v>251.90199999999999</v>
      </c>
      <c r="V177">
        <f>(T177+U177)/2</f>
        <v>255.70599999999999</v>
      </c>
      <c r="W177">
        <f>T177-U177</f>
        <v>7.6080000000000041</v>
      </c>
      <c r="X177">
        <v>23.766666000000001</v>
      </c>
      <c r="Y177">
        <v>-31.950001</v>
      </c>
      <c r="Z177" t="s">
        <v>99</v>
      </c>
      <c r="AA177" t="s">
        <v>86</v>
      </c>
      <c r="AB177" t="s">
        <v>170</v>
      </c>
      <c r="AD177" t="s">
        <v>540</v>
      </c>
      <c r="AE177" t="s">
        <v>90</v>
      </c>
      <c r="AG177" t="s">
        <v>553</v>
      </c>
      <c r="AH177" t="s">
        <v>65</v>
      </c>
      <c r="AI177" t="s">
        <v>554</v>
      </c>
      <c r="AJ177">
        <v>1972</v>
      </c>
      <c r="AK177" t="s">
        <v>555</v>
      </c>
      <c r="AM177" t="s">
        <v>556</v>
      </c>
      <c r="AN177" t="s">
        <v>94</v>
      </c>
      <c r="AO177" t="s">
        <v>106</v>
      </c>
      <c r="AP177" t="s">
        <v>69</v>
      </c>
      <c r="AQ177" t="s">
        <v>557</v>
      </c>
      <c r="AR177" t="s">
        <v>70</v>
      </c>
      <c r="AS177">
        <v>701</v>
      </c>
      <c r="AT177" t="s">
        <v>71</v>
      </c>
      <c r="AU177">
        <v>-18.63</v>
      </c>
      <c r="AV177">
        <v>-51.22</v>
      </c>
      <c r="AW177" t="s">
        <v>72</v>
      </c>
      <c r="AX177">
        <v>701</v>
      </c>
      <c r="AY177" t="s">
        <v>71</v>
      </c>
      <c r="AZ177">
        <v>-28.93</v>
      </c>
      <c r="BA177">
        <v>-61.3</v>
      </c>
      <c r="BB177" t="s">
        <v>73</v>
      </c>
    </row>
    <row r="178" spans="1:54" x14ac:dyDescent="0.4">
      <c r="A178">
        <v>749595</v>
      </c>
      <c r="D178" t="s">
        <v>108</v>
      </c>
      <c r="G178">
        <v>1</v>
      </c>
      <c r="H178" t="s">
        <v>56</v>
      </c>
      <c r="I178" t="s">
        <v>57</v>
      </c>
      <c r="K178" t="s">
        <v>551</v>
      </c>
      <c r="L178" t="s">
        <v>552</v>
      </c>
      <c r="M178" t="s">
        <v>59</v>
      </c>
      <c r="P178" t="s">
        <v>259</v>
      </c>
      <c r="Q178" t="s">
        <v>502</v>
      </c>
      <c r="R178" t="s">
        <v>260</v>
      </c>
      <c r="S178" t="s">
        <v>98</v>
      </c>
      <c r="T178">
        <v>259.51</v>
      </c>
      <c r="U178">
        <v>251.90199999999999</v>
      </c>
      <c r="V178">
        <f>(T178+U178)/2</f>
        <v>255.70599999999999</v>
      </c>
      <c r="W178">
        <f>T178-U178</f>
        <v>7.6080000000000041</v>
      </c>
      <c r="X178">
        <v>23.766666000000001</v>
      </c>
      <c r="Y178">
        <v>-31.950001</v>
      </c>
      <c r="Z178" t="s">
        <v>99</v>
      </c>
      <c r="AA178" t="s">
        <v>86</v>
      </c>
      <c r="AB178" t="s">
        <v>170</v>
      </c>
      <c r="AD178" t="s">
        <v>540</v>
      </c>
      <c r="AE178" t="s">
        <v>90</v>
      </c>
      <c r="AG178" t="s">
        <v>553</v>
      </c>
      <c r="AH178" t="s">
        <v>65</v>
      </c>
      <c r="AI178" t="s">
        <v>554</v>
      </c>
      <c r="AJ178">
        <v>1972</v>
      </c>
      <c r="AK178" t="s">
        <v>555</v>
      </c>
      <c r="AM178" t="s">
        <v>556</v>
      </c>
      <c r="AN178" t="s">
        <v>94</v>
      </c>
      <c r="AO178" t="s">
        <v>106</v>
      </c>
      <c r="AP178" t="s">
        <v>69</v>
      </c>
      <c r="AQ178" t="s">
        <v>557</v>
      </c>
      <c r="AR178" t="s">
        <v>70</v>
      </c>
      <c r="AS178">
        <v>701</v>
      </c>
      <c r="AT178" t="s">
        <v>71</v>
      </c>
      <c r="AU178">
        <v>-18.63</v>
      </c>
      <c r="AV178">
        <v>-51.22</v>
      </c>
      <c r="AW178" t="s">
        <v>72</v>
      </c>
      <c r="AX178">
        <v>701</v>
      </c>
      <c r="AY178" t="s">
        <v>71</v>
      </c>
      <c r="AZ178">
        <v>-28.93</v>
      </c>
      <c r="BA178">
        <v>-61.3</v>
      </c>
      <c r="BB178" t="s">
        <v>73</v>
      </c>
    </row>
    <row r="179" spans="1:54" x14ac:dyDescent="0.4">
      <c r="A179">
        <v>749595</v>
      </c>
      <c r="D179" t="s">
        <v>108</v>
      </c>
      <c r="G179">
        <v>1</v>
      </c>
      <c r="H179" t="s">
        <v>56</v>
      </c>
      <c r="I179" t="s">
        <v>57</v>
      </c>
      <c r="K179" t="s">
        <v>551</v>
      </c>
      <c r="L179" t="s">
        <v>552</v>
      </c>
      <c r="M179" t="s">
        <v>59</v>
      </c>
      <c r="P179" t="s">
        <v>259</v>
      </c>
      <c r="Q179" t="s">
        <v>502</v>
      </c>
      <c r="R179" t="s">
        <v>260</v>
      </c>
      <c r="S179" t="s">
        <v>98</v>
      </c>
      <c r="T179">
        <v>259.51</v>
      </c>
      <c r="U179">
        <v>251.90199999999999</v>
      </c>
      <c r="V179">
        <f>(T179+U179)/2</f>
        <v>255.70599999999999</v>
      </c>
      <c r="W179">
        <f>T179-U179</f>
        <v>7.6080000000000041</v>
      </c>
      <c r="X179">
        <v>23.766666000000001</v>
      </c>
      <c r="Y179">
        <v>-31.950001</v>
      </c>
      <c r="Z179" t="s">
        <v>99</v>
      </c>
      <c r="AA179" t="s">
        <v>86</v>
      </c>
      <c r="AB179" t="s">
        <v>170</v>
      </c>
      <c r="AD179" t="s">
        <v>540</v>
      </c>
      <c r="AE179" t="s">
        <v>90</v>
      </c>
      <c r="AG179" t="s">
        <v>553</v>
      </c>
      <c r="AH179" t="s">
        <v>65</v>
      </c>
      <c r="AI179" t="s">
        <v>554</v>
      </c>
      <c r="AJ179">
        <v>1972</v>
      </c>
      <c r="AK179" t="s">
        <v>555</v>
      </c>
      <c r="AM179" t="s">
        <v>556</v>
      </c>
      <c r="AN179" t="s">
        <v>94</v>
      </c>
      <c r="AO179" t="s">
        <v>106</v>
      </c>
      <c r="AP179" t="s">
        <v>69</v>
      </c>
      <c r="AQ179" t="s">
        <v>557</v>
      </c>
      <c r="AR179" t="s">
        <v>70</v>
      </c>
      <c r="AS179">
        <v>701</v>
      </c>
      <c r="AT179" t="s">
        <v>71</v>
      </c>
      <c r="AU179">
        <v>-18.63</v>
      </c>
      <c r="AV179">
        <v>-51.22</v>
      </c>
      <c r="AW179" t="s">
        <v>72</v>
      </c>
      <c r="AX179">
        <v>701</v>
      </c>
      <c r="AY179" t="s">
        <v>71</v>
      </c>
      <c r="AZ179">
        <v>-28.93</v>
      </c>
      <c r="BA179">
        <v>-61.3</v>
      </c>
      <c r="BB179" t="s">
        <v>73</v>
      </c>
    </row>
    <row r="180" spans="1:54" x14ac:dyDescent="0.4">
      <c r="A180">
        <v>749595</v>
      </c>
      <c r="D180" t="s">
        <v>108</v>
      </c>
      <c r="G180">
        <v>1</v>
      </c>
      <c r="H180" t="s">
        <v>56</v>
      </c>
      <c r="I180" t="s">
        <v>57</v>
      </c>
      <c r="K180" t="s">
        <v>551</v>
      </c>
      <c r="L180" t="s">
        <v>552</v>
      </c>
      <c r="M180" t="s">
        <v>59</v>
      </c>
      <c r="P180" t="s">
        <v>259</v>
      </c>
      <c r="Q180" t="s">
        <v>502</v>
      </c>
      <c r="R180" t="s">
        <v>260</v>
      </c>
      <c r="S180" t="s">
        <v>98</v>
      </c>
      <c r="T180">
        <v>259.51</v>
      </c>
      <c r="U180">
        <v>251.90199999999999</v>
      </c>
      <c r="V180">
        <f>(T180+U180)/2</f>
        <v>255.70599999999999</v>
      </c>
      <c r="W180">
        <f>T180-U180</f>
        <v>7.6080000000000041</v>
      </c>
      <c r="X180">
        <v>23.766666000000001</v>
      </c>
      <c r="Y180">
        <v>-31.950001</v>
      </c>
      <c r="Z180" t="s">
        <v>99</v>
      </c>
      <c r="AA180" t="s">
        <v>86</v>
      </c>
      <c r="AB180" t="s">
        <v>170</v>
      </c>
      <c r="AD180" t="s">
        <v>540</v>
      </c>
      <c r="AE180" t="s">
        <v>90</v>
      </c>
      <c r="AG180" t="s">
        <v>553</v>
      </c>
      <c r="AH180" t="s">
        <v>65</v>
      </c>
      <c r="AI180" t="s">
        <v>554</v>
      </c>
      <c r="AJ180">
        <v>1972</v>
      </c>
      <c r="AK180" t="s">
        <v>555</v>
      </c>
      <c r="AM180" t="s">
        <v>556</v>
      </c>
      <c r="AN180" t="s">
        <v>94</v>
      </c>
      <c r="AO180" t="s">
        <v>106</v>
      </c>
      <c r="AP180" t="s">
        <v>69</v>
      </c>
      <c r="AQ180" t="s">
        <v>557</v>
      </c>
      <c r="AR180" t="s">
        <v>70</v>
      </c>
      <c r="AS180">
        <v>701</v>
      </c>
      <c r="AT180" t="s">
        <v>71</v>
      </c>
      <c r="AU180">
        <v>-18.63</v>
      </c>
      <c r="AV180">
        <v>-51.22</v>
      </c>
      <c r="AW180" t="s">
        <v>72</v>
      </c>
      <c r="AX180">
        <v>701</v>
      </c>
      <c r="AY180" t="s">
        <v>71</v>
      </c>
      <c r="AZ180">
        <v>-28.93</v>
      </c>
      <c r="BA180">
        <v>-61.3</v>
      </c>
      <c r="BB180" t="s">
        <v>73</v>
      </c>
    </row>
    <row r="181" spans="1:54" x14ac:dyDescent="0.4">
      <c r="A181">
        <v>749610</v>
      </c>
      <c r="D181" t="s">
        <v>54</v>
      </c>
      <c r="G181">
        <v>1</v>
      </c>
      <c r="H181" t="s">
        <v>56</v>
      </c>
      <c r="I181" t="s">
        <v>57</v>
      </c>
      <c r="K181" t="s">
        <v>551</v>
      </c>
      <c r="L181" t="s">
        <v>558</v>
      </c>
      <c r="M181" t="s">
        <v>59</v>
      </c>
      <c r="P181" t="s">
        <v>259</v>
      </c>
      <c r="Q181" t="s">
        <v>502</v>
      </c>
      <c r="R181" t="s">
        <v>260</v>
      </c>
      <c r="S181" t="s">
        <v>98</v>
      </c>
      <c r="T181">
        <v>259.51</v>
      </c>
      <c r="U181">
        <v>251.90199999999999</v>
      </c>
      <c r="V181">
        <f>(T181+U181)/2</f>
        <v>255.70599999999999</v>
      </c>
      <c r="W181">
        <f>T181-U181</f>
        <v>7.6080000000000041</v>
      </c>
      <c r="X181">
        <v>23.766666000000001</v>
      </c>
      <c r="Y181">
        <v>-31.950001</v>
      </c>
      <c r="Z181" t="s">
        <v>99</v>
      </c>
      <c r="AA181" t="s">
        <v>86</v>
      </c>
      <c r="AB181" t="s">
        <v>170</v>
      </c>
      <c r="AC181" t="s">
        <v>559</v>
      </c>
      <c r="AD181" t="s">
        <v>540</v>
      </c>
      <c r="AE181" t="s">
        <v>90</v>
      </c>
      <c r="AG181" t="s">
        <v>553</v>
      </c>
      <c r="AH181" t="s">
        <v>65</v>
      </c>
      <c r="AI181" t="s">
        <v>554</v>
      </c>
      <c r="AJ181">
        <v>1972</v>
      </c>
      <c r="AK181" t="s">
        <v>560</v>
      </c>
      <c r="AN181" t="s">
        <v>94</v>
      </c>
      <c r="AO181" t="s">
        <v>106</v>
      </c>
      <c r="AP181" t="s">
        <v>69</v>
      </c>
      <c r="AQ181" t="s">
        <v>561</v>
      </c>
      <c r="AR181" t="s">
        <v>70</v>
      </c>
      <c r="AS181">
        <v>701</v>
      </c>
      <c r="AT181" t="s">
        <v>71</v>
      </c>
      <c r="AU181">
        <v>-18.63</v>
      </c>
      <c r="AV181">
        <v>-51.22</v>
      </c>
      <c r="AW181" t="s">
        <v>72</v>
      </c>
      <c r="AX181">
        <v>701</v>
      </c>
      <c r="AY181" t="s">
        <v>71</v>
      </c>
      <c r="AZ181">
        <v>-28.93</v>
      </c>
      <c r="BA181">
        <v>-61.3</v>
      </c>
      <c r="BB181" t="s">
        <v>73</v>
      </c>
    </row>
    <row r="182" spans="1:54" x14ac:dyDescent="0.4">
      <c r="A182">
        <v>749933</v>
      </c>
      <c r="D182" t="s">
        <v>54</v>
      </c>
      <c r="E182" t="s">
        <v>55</v>
      </c>
      <c r="G182">
        <v>1</v>
      </c>
      <c r="H182" t="s">
        <v>56</v>
      </c>
      <c r="I182" t="s">
        <v>57</v>
      </c>
      <c r="K182" t="s">
        <v>551</v>
      </c>
      <c r="L182" t="s">
        <v>558</v>
      </c>
      <c r="M182" t="s">
        <v>59</v>
      </c>
      <c r="P182" t="s">
        <v>259</v>
      </c>
      <c r="Q182" t="s">
        <v>502</v>
      </c>
      <c r="R182" t="s">
        <v>260</v>
      </c>
      <c r="S182" t="s">
        <v>98</v>
      </c>
      <c r="T182">
        <v>259.51</v>
      </c>
      <c r="U182">
        <v>251.90199999999999</v>
      </c>
      <c r="V182">
        <f>(T182+U182)/2</f>
        <v>255.70599999999999</v>
      </c>
      <c r="W182">
        <f>T182-U182</f>
        <v>7.6080000000000041</v>
      </c>
      <c r="X182">
        <v>24.288889000000001</v>
      </c>
      <c r="Y182">
        <v>-32.053333000000002</v>
      </c>
      <c r="Z182" t="s">
        <v>99</v>
      </c>
      <c r="AA182" t="s">
        <v>86</v>
      </c>
      <c r="AB182" t="s">
        <v>87</v>
      </c>
      <c r="AC182" t="s">
        <v>562</v>
      </c>
      <c r="AD182" t="s">
        <v>540</v>
      </c>
      <c r="AE182" t="s">
        <v>90</v>
      </c>
      <c r="AG182" t="s">
        <v>553</v>
      </c>
      <c r="AH182" t="s">
        <v>65</v>
      </c>
      <c r="AI182" t="s">
        <v>554</v>
      </c>
      <c r="AJ182">
        <v>1972</v>
      </c>
      <c r="AK182" t="s">
        <v>563</v>
      </c>
      <c r="AM182" t="s">
        <v>564</v>
      </c>
      <c r="AN182" t="s">
        <v>94</v>
      </c>
      <c r="AO182" t="s">
        <v>68</v>
      </c>
      <c r="AP182" t="s">
        <v>69</v>
      </c>
      <c r="AQ182" t="s">
        <v>565</v>
      </c>
      <c r="AR182" t="s">
        <v>70</v>
      </c>
      <c r="AS182">
        <v>701</v>
      </c>
      <c r="AT182" t="s">
        <v>71</v>
      </c>
      <c r="AU182">
        <v>-18.420000000000002</v>
      </c>
      <c r="AV182">
        <v>-51.66</v>
      </c>
      <c r="AW182" t="s">
        <v>72</v>
      </c>
      <c r="AX182">
        <v>701</v>
      </c>
      <c r="AY182" t="s">
        <v>71</v>
      </c>
      <c r="AZ182">
        <v>-28.76</v>
      </c>
      <c r="BA182">
        <v>-61.75</v>
      </c>
      <c r="BB182" t="s">
        <v>73</v>
      </c>
    </row>
    <row r="183" spans="1:54" x14ac:dyDescent="0.4">
      <c r="A183">
        <v>749933</v>
      </c>
      <c r="D183" t="s">
        <v>54</v>
      </c>
      <c r="E183" t="s">
        <v>55</v>
      </c>
      <c r="G183">
        <v>1</v>
      </c>
      <c r="H183" t="s">
        <v>56</v>
      </c>
      <c r="I183" t="s">
        <v>57</v>
      </c>
      <c r="K183" t="s">
        <v>551</v>
      </c>
      <c r="L183" t="s">
        <v>558</v>
      </c>
      <c r="M183" t="s">
        <v>59</v>
      </c>
      <c r="P183" t="s">
        <v>259</v>
      </c>
      <c r="Q183" t="s">
        <v>502</v>
      </c>
      <c r="R183" t="s">
        <v>260</v>
      </c>
      <c r="S183" t="s">
        <v>98</v>
      </c>
      <c r="T183">
        <v>259.51</v>
      </c>
      <c r="U183">
        <v>251.90199999999999</v>
      </c>
      <c r="V183">
        <f>(T183+U183)/2</f>
        <v>255.70599999999999</v>
      </c>
      <c r="W183">
        <f>T183-U183</f>
        <v>7.6080000000000041</v>
      </c>
      <c r="X183">
        <v>24.288889000000001</v>
      </c>
      <c r="Y183">
        <v>-32.053333000000002</v>
      </c>
      <c r="Z183" t="s">
        <v>99</v>
      </c>
      <c r="AA183" t="s">
        <v>86</v>
      </c>
      <c r="AB183" t="s">
        <v>87</v>
      </c>
      <c r="AC183" t="s">
        <v>562</v>
      </c>
      <c r="AD183" t="s">
        <v>540</v>
      </c>
      <c r="AE183" t="s">
        <v>90</v>
      </c>
      <c r="AG183" t="s">
        <v>553</v>
      </c>
      <c r="AH183" t="s">
        <v>65</v>
      </c>
      <c r="AI183" t="s">
        <v>554</v>
      </c>
      <c r="AJ183">
        <v>1972</v>
      </c>
      <c r="AK183" t="s">
        <v>563</v>
      </c>
      <c r="AM183" t="s">
        <v>564</v>
      </c>
      <c r="AN183" t="s">
        <v>94</v>
      </c>
      <c r="AO183" t="s">
        <v>68</v>
      </c>
      <c r="AP183" t="s">
        <v>69</v>
      </c>
      <c r="AQ183" t="s">
        <v>565</v>
      </c>
      <c r="AR183" t="s">
        <v>70</v>
      </c>
      <c r="AS183">
        <v>701</v>
      </c>
      <c r="AT183" t="s">
        <v>71</v>
      </c>
      <c r="AU183">
        <v>-18.420000000000002</v>
      </c>
      <c r="AV183">
        <v>-51.66</v>
      </c>
      <c r="AW183" t="s">
        <v>72</v>
      </c>
      <c r="AX183">
        <v>701</v>
      </c>
      <c r="AY183" t="s">
        <v>71</v>
      </c>
      <c r="AZ183">
        <v>-28.76</v>
      </c>
      <c r="BA183">
        <v>-61.75</v>
      </c>
      <c r="BB183" t="s">
        <v>73</v>
      </c>
    </row>
    <row r="184" spans="1:54" x14ac:dyDescent="0.4">
      <c r="A184">
        <v>749933</v>
      </c>
      <c r="D184" t="s">
        <v>54</v>
      </c>
      <c r="E184" t="s">
        <v>55</v>
      </c>
      <c r="G184">
        <v>1</v>
      </c>
      <c r="H184" t="s">
        <v>56</v>
      </c>
      <c r="I184" t="s">
        <v>57</v>
      </c>
      <c r="K184" t="s">
        <v>551</v>
      </c>
      <c r="L184" t="s">
        <v>558</v>
      </c>
      <c r="M184" t="s">
        <v>59</v>
      </c>
      <c r="P184" t="s">
        <v>259</v>
      </c>
      <c r="Q184" t="s">
        <v>502</v>
      </c>
      <c r="R184" t="s">
        <v>260</v>
      </c>
      <c r="S184" t="s">
        <v>98</v>
      </c>
      <c r="T184">
        <v>259.51</v>
      </c>
      <c r="U184">
        <v>251.90199999999999</v>
      </c>
      <c r="V184">
        <f>(T184+U184)/2</f>
        <v>255.70599999999999</v>
      </c>
      <c r="W184">
        <f>T184-U184</f>
        <v>7.6080000000000041</v>
      </c>
      <c r="X184">
        <v>24.288889000000001</v>
      </c>
      <c r="Y184">
        <v>-32.053333000000002</v>
      </c>
      <c r="Z184" t="s">
        <v>99</v>
      </c>
      <c r="AA184" t="s">
        <v>86</v>
      </c>
      <c r="AB184" t="s">
        <v>87</v>
      </c>
      <c r="AC184" t="s">
        <v>562</v>
      </c>
      <c r="AD184" t="s">
        <v>540</v>
      </c>
      <c r="AE184" t="s">
        <v>90</v>
      </c>
      <c r="AG184" t="s">
        <v>553</v>
      </c>
      <c r="AH184" t="s">
        <v>65</v>
      </c>
      <c r="AI184" t="s">
        <v>554</v>
      </c>
      <c r="AJ184">
        <v>1972</v>
      </c>
      <c r="AK184" t="s">
        <v>563</v>
      </c>
      <c r="AM184" t="s">
        <v>564</v>
      </c>
      <c r="AN184" t="s">
        <v>94</v>
      </c>
      <c r="AO184" t="s">
        <v>68</v>
      </c>
      <c r="AP184" t="s">
        <v>69</v>
      </c>
      <c r="AQ184" t="s">
        <v>565</v>
      </c>
      <c r="AR184" t="s">
        <v>70</v>
      </c>
      <c r="AS184">
        <v>701</v>
      </c>
      <c r="AT184" t="s">
        <v>71</v>
      </c>
      <c r="AU184">
        <v>-18.420000000000002</v>
      </c>
      <c r="AV184">
        <v>-51.66</v>
      </c>
      <c r="AW184" t="s">
        <v>72</v>
      </c>
      <c r="AX184">
        <v>701</v>
      </c>
      <c r="AY184" t="s">
        <v>71</v>
      </c>
      <c r="AZ184">
        <v>-28.76</v>
      </c>
      <c r="BA184">
        <v>-61.75</v>
      </c>
      <c r="BB184" t="s">
        <v>73</v>
      </c>
    </row>
    <row r="185" spans="1:54" x14ac:dyDescent="0.4">
      <c r="A185">
        <v>749973</v>
      </c>
      <c r="D185" t="s">
        <v>566</v>
      </c>
      <c r="G185">
        <v>1</v>
      </c>
      <c r="H185" t="s">
        <v>56</v>
      </c>
      <c r="I185" t="s">
        <v>57</v>
      </c>
      <c r="K185" t="s">
        <v>551</v>
      </c>
      <c r="L185" t="s">
        <v>552</v>
      </c>
      <c r="M185" t="s">
        <v>59</v>
      </c>
      <c r="P185" t="s">
        <v>259</v>
      </c>
      <c r="Q185" t="s">
        <v>502</v>
      </c>
      <c r="R185" t="s">
        <v>260</v>
      </c>
      <c r="S185" t="s">
        <v>98</v>
      </c>
      <c r="T185">
        <v>259.51</v>
      </c>
      <c r="U185">
        <v>251.90199999999999</v>
      </c>
      <c r="V185">
        <f>(T185+U185)/2</f>
        <v>255.70599999999999</v>
      </c>
      <c r="W185">
        <f>T185-U185</f>
        <v>7.6080000000000041</v>
      </c>
      <c r="X185">
        <v>24.549999</v>
      </c>
      <c r="Y185">
        <v>-31.866667</v>
      </c>
      <c r="Z185" t="s">
        <v>99</v>
      </c>
      <c r="AA185" t="s">
        <v>86</v>
      </c>
      <c r="AB185" t="s">
        <v>87</v>
      </c>
      <c r="AC185" t="s">
        <v>562</v>
      </c>
      <c r="AD185" t="s">
        <v>540</v>
      </c>
      <c r="AE185" t="s">
        <v>90</v>
      </c>
      <c r="AG185" t="s">
        <v>567</v>
      </c>
      <c r="AH185" t="s">
        <v>65</v>
      </c>
      <c r="AI185" t="s">
        <v>554</v>
      </c>
      <c r="AJ185">
        <v>1972</v>
      </c>
      <c r="AK185" t="s">
        <v>568</v>
      </c>
      <c r="AM185" t="s">
        <v>569</v>
      </c>
      <c r="AN185" t="s">
        <v>94</v>
      </c>
      <c r="AO185" t="s">
        <v>106</v>
      </c>
      <c r="AP185" t="s">
        <v>182</v>
      </c>
      <c r="AQ185" t="s">
        <v>570</v>
      </c>
      <c r="AR185" t="s">
        <v>70</v>
      </c>
      <c r="AS185">
        <v>701</v>
      </c>
      <c r="AT185" t="s">
        <v>71</v>
      </c>
      <c r="AU185">
        <v>-17.98</v>
      </c>
      <c r="AV185">
        <v>-51.75</v>
      </c>
      <c r="AW185" t="s">
        <v>72</v>
      </c>
      <c r="AX185">
        <v>701</v>
      </c>
      <c r="AY185" t="s">
        <v>71</v>
      </c>
      <c r="AZ185">
        <v>-28.21</v>
      </c>
      <c r="BA185">
        <v>-61.88</v>
      </c>
      <c r="BB185" t="s">
        <v>73</v>
      </c>
    </row>
    <row r="186" spans="1:54" x14ac:dyDescent="0.4">
      <c r="A186">
        <v>749974</v>
      </c>
      <c r="D186" t="s">
        <v>566</v>
      </c>
      <c r="G186">
        <v>1</v>
      </c>
      <c r="H186" t="s">
        <v>56</v>
      </c>
      <c r="I186" t="s">
        <v>57</v>
      </c>
      <c r="K186" t="s">
        <v>551</v>
      </c>
      <c r="L186" t="s">
        <v>558</v>
      </c>
      <c r="M186" t="s">
        <v>59</v>
      </c>
      <c r="P186" t="s">
        <v>259</v>
      </c>
      <c r="Q186" t="s">
        <v>502</v>
      </c>
      <c r="R186" t="s">
        <v>260</v>
      </c>
      <c r="S186" t="s">
        <v>98</v>
      </c>
      <c r="T186">
        <v>259.51</v>
      </c>
      <c r="U186">
        <v>251.90199999999999</v>
      </c>
      <c r="V186">
        <f>(T186+U186)/2</f>
        <v>255.70599999999999</v>
      </c>
      <c r="W186">
        <f>T186-U186</f>
        <v>7.6080000000000041</v>
      </c>
      <c r="X186">
        <v>24.549999</v>
      </c>
      <c r="Y186">
        <v>-31.866667</v>
      </c>
      <c r="Z186" t="s">
        <v>99</v>
      </c>
      <c r="AA186" t="s">
        <v>86</v>
      </c>
      <c r="AB186" t="s">
        <v>87</v>
      </c>
      <c r="AC186" t="s">
        <v>562</v>
      </c>
      <c r="AD186" t="s">
        <v>540</v>
      </c>
      <c r="AE186" t="s">
        <v>90</v>
      </c>
      <c r="AG186" t="s">
        <v>567</v>
      </c>
      <c r="AH186" t="s">
        <v>65</v>
      </c>
      <c r="AI186" t="s">
        <v>91</v>
      </c>
      <c r="AJ186">
        <v>1948</v>
      </c>
      <c r="AK186" t="s">
        <v>568</v>
      </c>
      <c r="AM186" t="s">
        <v>569</v>
      </c>
      <c r="AN186" t="s">
        <v>94</v>
      </c>
      <c r="AO186" t="s">
        <v>106</v>
      </c>
      <c r="AP186" t="s">
        <v>182</v>
      </c>
      <c r="AQ186" t="s">
        <v>570</v>
      </c>
      <c r="AR186" t="s">
        <v>70</v>
      </c>
      <c r="AS186">
        <v>701</v>
      </c>
      <c r="AT186" t="s">
        <v>71</v>
      </c>
      <c r="AU186">
        <v>-17.98</v>
      </c>
      <c r="AV186">
        <v>-51.75</v>
      </c>
      <c r="AW186" t="s">
        <v>72</v>
      </c>
      <c r="AX186">
        <v>701</v>
      </c>
      <c r="AY186" t="s">
        <v>71</v>
      </c>
      <c r="AZ186">
        <v>-28.21</v>
      </c>
      <c r="BA186">
        <v>-61.88</v>
      </c>
      <c r="BB186" t="s">
        <v>73</v>
      </c>
    </row>
    <row r="187" spans="1:54" x14ac:dyDescent="0.4">
      <c r="A187">
        <v>749975</v>
      </c>
      <c r="D187" t="s">
        <v>566</v>
      </c>
      <c r="G187">
        <v>1</v>
      </c>
      <c r="H187" t="s">
        <v>56</v>
      </c>
      <c r="I187" t="s">
        <v>57</v>
      </c>
      <c r="K187" t="s">
        <v>551</v>
      </c>
      <c r="L187" t="s">
        <v>571</v>
      </c>
      <c r="M187" t="s">
        <v>59</v>
      </c>
      <c r="P187" t="s">
        <v>259</v>
      </c>
      <c r="Q187" t="s">
        <v>502</v>
      </c>
      <c r="R187" t="s">
        <v>260</v>
      </c>
      <c r="S187" t="s">
        <v>98</v>
      </c>
      <c r="T187">
        <v>259.51</v>
      </c>
      <c r="U187">
        <v>251.90199999999999</v>
      </c>
      <c r="V187">
        <f>(T187+U187)/2</f>
        <v>255.70599999999999</v>
      </c>
      <c r="W187">
        <f>T187-U187</f>
        <v>7.6080000000000041</v>
      </c>
      <c r="X187">
        <v>24.549999</v>
      </c>
      <c r="Y187">
        <v>-31.866667</v>
      </c>
      <c r="Z187" t="s">
        <v>99</v>
      </c>
      <c r="AA187" t="s">
        <v>86</v>
      </c>
      <c r="AB187" t="s">
        <v>87</v>
      </c>
      <c r="AC187" t="s">
        <v>562</v>
      </c>
      <c r="AD187" t="s">
        <v>540</v>
      </c>
      <c r="AE187" t="s">
        <v>90</v>
      </c>
      <c r="AG187" t="s">
        <v>567</v>
      </c>
      <c r="AH187" t="s">
        <v>65</v>
      </c>
      <c r="AI187" t="s">
        <v>91</v>
      </c>
      <c r="AJ187">
        <v>1948</v>
      </c>
      <c r="AK187" t="s">
        <v>568</v>
      </c>
      <c r="AM187" t="s">
        <v>569</v>
      </c>
      <c r="AN187" t="s">
        <v>94</v>
      </c>
      <c r="AO187" t="s">
        <v>106</v>
      </c>
      <c r="AP187" t="s">
        <v>182</v>
      </c>
      <c r="AQ187" t="s">
        <v>570</v>
      </c>
      <c r="AR187" t="s">
        <v>70</v>
      </c>
      <c r="AS187">
        <v>701</v>
      </c>
      <c r="AT187" t="s">
        <v>71</v>
      </c>
      <c r="AU187">
        <v>-17.98</v>
      </c>
      <c r="AV187">
        <v>-51.75</v>
      </c>
      <c r="AW187" t="s">
        <v>72</v>
      </c>
      <c r="AX187">
        <v>701</v>
      </c>
      <c r="AY187" t="s">
        <v>71</v>
      </c>
      <c r="AZ187">
        <v>-28.21</v>
      </c>
      <c r="BA187">
        <v>-61.88</v>
      </c>
      <c r="BB187" t="s">
        <v>73</v>
      </c>
    </row>
    <row r="188" spans="1:54" x14ac:dyDescent="0.4">
      <c r="A188">
        <v>749976</v>
      </c>
      <c r="D188" t="s">
        <v>566</v>
      </c>
      <c r="G188">
        <v>1</v>
      </c>
      <c r="H188" t="s">
        <v>56</v>
      </c>
      <c r="I188" t="s">
        <v>57</v>
      </c>
      <c r="K188" t="s">
        <v>551</v>
      </c>
      <c r="L188" t="s">
        <v>571</v>
      </c>
      <c r="M188" t="s">
        <v>59</v>
      </c>
      <c r="P188" t="s">
        <v>259</v>
      </c>
      <c r="Q188" t="s">
        <v>502</v>
      </c>
      <c r="R188" t="s">
        <v>260</v>
      </c>
      <c r="S188" t="s">
        <v>98</v>
      </c>
      <c r="T188">
        <v>259.51</v>
      </c>
      <c r="U188">
        <v>251.90199999999999</v>
      </c>
      <c r="V188">
        <f>(T188+U188)/2</f>
        <v>255.70599999999999</v>
      </c>
      <c r="W188">
        <f>T188-U188</f>
        <v>7.6080000000000041</v>
      </c>
      <c r="X188">
        <v>24.549999</v>
      </c>
      <c r="Y188">
        <v>-31.866667</v>
      </c>
      <c r="Z188" t="s">
        <v>99</v>
      </c>
      <c r="AA188" t="s">
        <v>86</v>
      </c>
      <c r="AB188" t="s">
        <v>87</v>
      </c>
      <c r="AC188" t="s">
        <v>562</v>
      </c>
      <c r="AD188" t="s">
        <v>540</v>
      </c>
      <c r="AE188" t="s">
        <v>90</v>
      </c>
      <c r="AG188" t="s">
        <v>567</v>
      </c>
      <c r="AH188" t="s">
        <v>11</v>
      </c>
      <c r="AI188" t="s">
        <v>554</v>
      </c>
      <c r="AJ188">
        <v>1972</v>
      </c>
      <c r="AK188" t="s">
        <v>568</v>
      </c>
      <c r="AM188" t="s">
        <v>569</v>
      </c>
      <c r="AN188" t="s">
        <v>94</v>
      </c>
      <c r="AO188" t="s">
        <v>106</v>
      </c>
      <c r="AP188" t="s">
        <v>182</v>
      </c>
      <c r="AQ188" t="s">
        <v>570</v>
      </c>
      <c r="AR188" t="s">
        <v>70</v>
      </c>
      <c r="AS188">
        <v>701</v>
      </c>
      <c r="AT188" t="s">
        <v>71</v>
      </c>
      <c r="AU188">
        <v>-17.98</v>
      </c>
      <c r="AV188">
        <v>-51.75</v>
      </c>
      <c r="AW188" t="s">
        <v>72</v>
      </c>
      <c r="AX188">
        <v>701</v>
      </c>
      <c r="AY188" t="s">
        <v>71</v>
      </c>
      <c r="AZ188">
        <v>-28.21</v>
      </c>
      <c r="BA188">
        <v>-61.88</v>
      </c>
      <c r="BB188" t="s">
        <v>73</v>
      </c>
    </row>
    <row r="189" spans="1:54" x14ac:dyDescent="0.4">
      <c r="A189">
        <v>749977</v>
      </c>
      <c r="D189" t="s">
        <v>54</v>
      </c>
      <c r="G189">
        <v>1</v>
      </c>
      <c r="H189" t="s">
        <v>56</v>
      </c>
      <c r="I189" t="s">
        <v>57</v>
      </c>
      <c r="K189" t="s">
        <v>551</v>
      </c>
      <c r="L189" t="s">
        <v>558</v>
      </c>
      <c r="M189" t="s">
        <v>59</v>
      </c>
      <c r="P189" t="s">
        <v>259</v>
      </c>
      <c r="Q189" t="s">
        <v>502</v>
      </c>
      <c r="R189" t="s">
        <v>260</v>
      </c>
      <c r="S189" t="s">
        <v>98</v>
      </c>
      <c r="T189">
        <v>259.51</v>
      </c>
      <c r="U189">
        <v>251.90199999999999</v>
      </c>
      <c r="V189">
        <f>(T189+U189)/2</f>
        <v>255.70599999999999</v>
      </c>
      <c r="W189">
        <f>T189-U189</f>
        <v>7.6080000000000041</v>
      </c>
      <c r="X189">
        <v>24.440832</v>
      </c>
      <c r="Y189">
        <v>-31.859444</v>
      </c>
      <c r="Z189" t="s">
        <v>99</v>
      </c>
      <c r="AA189" t="s">
        <v>86</v>
      </c>
      <c r="AB189" t="s">
        <v>87</v>
      </c>
      <c r="AC189" t="s">
        <v>562</v>
      </c>
      <c r="AD189" t="s">
        <v>540</v>
      </c>
      <c r="AE189" t="s">
        <v>90</v>
      </c>
      <c r="AG189" t="s">
        <v>572</v>
      </c>
      <c r="AH189" t="s">
        <v>65</v>
      </c>
      <c r="AI189" t="s">
        <v>554</v>
      </c>
      <c r="AJ189">
        <v>1972</v>
      </c>
      <c r="AK189" t="s">
        <v>573</v>
      </c>
      <c r="AN189" t="s">
        <v>177</v>
      </c>
      <c r="AO189" t="s">
        <v>68</v>
      </c>
      <c r="AP189" t="s">
        <v>69</v>
      </c>
      <c r="AQ189" t="s">
        <v>574</v>
      </c>
      <c r="AR189" t="s">
        <v>70</v>
      </c>
      <c r="AS189">
        <v>701</v>
      </c>
      <c r="AT189" t="s">
        <v>71</v>
      </c>
      <c r="AU189">
        <v>-18.05</v>
      </c>
      <c r="AV189">
        <v>-51.67</v>
      </c>
      <c r="AW189" t="s">
        <v>72</v>
      </c>
      <c r="AX189">
        <v>701</v>
      </c>
      <c r="AY189" t="s">
        <v>71</v>
      </c>
      <c r="AZ189">
        <v>-28.28</v>
      </c>
      <c r="BA189">
        <v>-61.79</v>
      </c>
      <c r="BB189" t="s">
        <v>73</v>
      </c>
    </row>
    <row r="190" spans="1:54" x14ac:dyDescent="0.4">
      <c r="A190">
        <v>749996</v>
      </c>
      <c r="D190" t="s">
        <v>54</v>
      </c>
      <c r="E190" t="s">
        <v>104</v>
      </c>
      <c r="G190">
        <v>1</v>
      </c>
      <c r="H190" t="s">
        <v>56</v>
      </c>
      <c r="I190" t="s">
        <v>57</v>
      </c>
      <c r="K190" t="s">
        <v>551</v>
      </c>
      <c r="L190" t="s">
        <v>558</v>
      </c>
      <c r="M190" t="s">
        <v>59</v>
      </c>
      <c r="P190" t="s">
        <v>259</v>
      </c>
      <c r="Q190" t="s">
        <v>502</v>
      </c>
      <c r="R190" t="s">
        <v>260</v>
      </c>
      <c r="S190" t="s">
        <v>98</v>
      </c>
      <c r="T190">
        <v>259.51</v>
      </c>
      <c r="U190">
        <v>251.90199999999999</v>
      </c>
      <c r="V190">
        <f>(T190+U190)/2</f>
        <v>255.70599999999999</v>
      </c>
      <c r="W190">
        <f>T190-U190</f>
        <v>7.6080000000000041</v>
      </c>
      <c r="X190">
        <v>24.549999</v>
      </c>
      <c r="Y190">
        <v>-31.866667</v>
      </c>
      <c r="Z190" t="s">
        <v>99</v>
      </c>
      <c r="AA190" t="s">
        <v>86</v>
      </c>
      <c r="AB190" t="s">
        <v>87</v>
      </c>
      <c r="AC190" t="s">
        <v>562</v>
      </c>
      <c r="AD190" t="s">
        <v>540</v>
      </c>
      <c r="AE190" t="s">
        <v>90</v>
      </c>
      <c r="AG190" t="s">
        <v>579</v>
      </c>
      <c r="AH190" t="s">
        <v>65</v>
      </c>
      <c r="AI190" t="s">
        <v>91</v>
      </c>
      <c r="AJ190">
        <v>1948</v>
      </c>
      <c r="AK190" t="s">
        <v>580</v>
      </c>
      <c r="AM190" t="s">
        <v>581</v>
      </c>
      <c r="AN190" t="s">
        <v>94</v>
      </c>
      <c r="AO190" t="s">
        <v>106</v>
      </c>
      <c r="AP190" t="s">
        <v>69</v>
      </c>
      <c r="AQ190" t="s">
        <v>582</v>
      </c>
      <c r="AR190" t="s">
        <v>70</v>
      </c>
      <c r="AS190">
        <v>701</v>
      </c>
      <c r="AT190" t="s">
        <v>71</v>
      </c>
      <c r="AU190">
        <v>-17.98</v>
      </c>
      <c r="AV190">
        <v>-51.75</v>
      </c>
      <c r="AW190" t="s">
        <v>72</v>
      </c>
      <c r="AX190">
        <v>701</v>
      </c>
      <c r="AY190" t="s">
        <v>71</v>
      </c>
      <c r="AZ190">
        <v>-28.21</v>
      </c>
      <c r="BA190">
        <v>-61.88</v>
      </c>
      <c r="BB190" t="s">
        <v>73</v>
      </c>
    </row>
    <row r="191" spans="1:54" x14ac:dyDescent="0.4">
      <c r="A191">
        <v>750019</v>
      </c>
      <c r="D191" t="s">
        <v>54</v>
      </c>
      <c r="G191">
        <v>1</v>
      </c>
      <c r="H191" t="s">
        <v>56</v>
      </c>
      <c r="I191" t="s">
        <v>57</v>
      </c>
      <c r="K191" t="s">
        <v>551</v>
      </c>
      <c r="L191" t="s">
        <v>583</v>
      </c>
      <c r="M191" t="s">
        <v>59</v>
      </c>
      <c r="P191" t="s">
        <v>259</v>
      </c>
      <c r="Q191" t="s">
        <v>502</v>
      </c>
      <c r="R191" t="s">
        <v>260</v>
      </c>
      <c r="S191" t="s">
        <v>98</v>
      </c>
      <c r="T191">
        <v>259.51</v>
      </c>
      <c r="U191">
        <v>251.90199999999999</v>
      </c>
      <c r="V191">
        <f>(T191+U191)/2</f>
        <v>255.70599999999999</v>
      </c>
      <c r="W191">
        <f>T191-U191</f>
        <v>7.6080000000000041</v>
      </c>
      <c r="X191">
        <v>24.573609999999999</v>
      </c>
      <c r="Y191">
        <v>-31.958331999999999</v>
      </c>
      <c r="Z191" t="s">
        <v>99</v>
      </c>
      <c r="AA191" t="s">
        <v>86</v>
      </c>
      <c r="AB191" t="s">
        <v>87</v>
      </c>
      <c r="AC191" t="s">
        <v>562</v>
      </c>
      <c r="AD191" t="s">
        <v>540</v>
      </c>
      <c r="AE191" t="s">
        <v>90</v>
      </c>
      <c r="AG191" t="s">
        <v>567</v>
      </c>
      <c r="AH191" t="s">
        <v>65</v>
      </c>
      <c r="AI191" t="s">
        <v>91</v>
      </c>
      <c r="AJ191">
        <v>1940</v>
      </c>
      <c r="AK191" t="s">
        <v>584</v>
      </c>
      <c r="AN191" t="s">
        <v>94</v>
      </c>
      <c r="AO191" t="s">
        <v>68</v>
      </c>
      <c r="AP191" t="s">
        <v>182</v>
      </c>
      <c r="AQ191" t="s">
        <v>585</v>
      </c>
      <c r="AR191" t="s">
        <v>70</v>
      </c>
      <c r="AS191">
        <v>701</v>
      </c>
      <c r="AT191" t="s">
        <v>71</v>
      </c>
      <c r="AU191">
        <v>-18.09</v>
      </c>
      <c r="AV191">
        <v>-51.82</v>
      </c>
      <c r="AW191" t="s">
        <v>72</v>
      </c>
      <c r="AX191">
        <v>701</v>
      </c>
      <c r="AY191" t="s">
        <v>71</v>
      </c>
      <c r="AZ191">
        <v>-28.37</v>
      </c>
      <c r="BA191">
        <v>-61.93</v>
      </c>
      <c r="BB191" t="s">
        <v>73</v>
      </c>
    </row>
    <row r="192" spans="1:54" x14ac:dyDescent="0.4">
      <c r="A192">
        <v>790024</v>
      </c>
      <c r="D192" t="s">
        <v>246</v>
      </c>
      <c r="E192" t="s">
        <v>55</v>
      </c>
      <c r="G192">
        <v>15</v>
      </c>
      <c r="H192" t="s">
        <v>74</v>
      </c>
      <c r="I192" t="s">
        <v>57</v>
      </c>
      <c r="K192" t="s">
        <v>690</v>
      </c>
      <c r="L192" t="s">
        <v>691</v>
      </c>
      <c r="M192" t="s">
        <v>59</v>
      </c>
      <c r="P192" t="s">
        <v>259</v>
      </c>
      <c r="Q192" t="s">
        <v>502</v>
      </c>
      <c r="R192" t="s">
        <v>260</v>
      </c>
      <c r="S192" t="s">
        <v>98</v>
      </c>
      <c r="T192">
        <v>259.51</v>
      </c>
      <c r="U192">
        <v>251.90199999999999</v>
      </c>
      <c r="V192">
        <f>(T192+U192)/2</f>
        <v>255.70599999999999</v>
      </c>
      <c r="W192">
        <f>T192-U192</f>
        <v>7.6080000000000041</v>
      </c>
      <c r="X192">
        <v>44.416668000000001</v>
      </c>
      <c r="Y192">
        <v>-24</v>
      </c>
      <c r="Z192" t="s">
        <v>99</v>
      </c>
      <c r="AA192" t="s">
        <v>692</v>
      </c>
      <c r="AB192" t="s">
        <v>693</v>
      </c>
      <c r="AD192" t="s">
        <v>694</v>
      </c>
      <c r="AE192" t="s">
        <v>695</v>
      </c>
      <c r="AH192" t="s">
        <v>65</v>
      </c>
      <c r="AI192" t="s">
        <v>696</v>
      </c>
      <c r="AJ192">
        <v>1981</v>
      </c>
      <c r="AK192" t="s">
        <v>697</v>
      </c>
      <c r="AM192" t="s">
        <v>698</v>
      </c>
      <c r="AN192" t="s">
        <v>121</v>
      </c>
      <c r="AO192" t="s">
        <v>330</v>
      </c>
      <c r="AP192" t="s">
        <v>182</v>
      </c>
      <c r="AQ192" t="s">
        <v>699</v>
      </c>
      <c r="AR192" t="s">
        <v>70</v>
      </c>
      <c r="AS192">
        <v>702</v>
      </c>
      <c r="AT192" t="s">
        <v>71</v>
      </c>
      <c r="AU192">
        <v>22.51</v>
      </c>
      <c r="AV192">
        <v>-42.93</v>
      </c>
      <c r="AW192" t="s">
        <v>72</v>
      </c>
      <c r="AX192">
        <v>702</v>
      </c>
      <c r="AY192" t="s">
        <v>71</v>
      </c>
      <c r="AZ192">
        <v>24.25</v>
      </c>
      <c r="BA192">
        <v>-52.74</v>
      </c>
      <c r="BB192" t="s">
        <v>73</v>
      </c>
    </row>
    <row r="193" spans="1:54" x14ac:dyDescent="0.4">
      <c r="A193">
        <v>790114</v>
      </c>
      <c r="D193" t="s">
        <v>108</v>
      </c>
      <c r="E193" t="s">
        <v>105</v>
      </c>
      <c r="G193">
        <v>1</v>
      </c>
      <c r="H193" t="s">
        <v>56</v>
      </c>
      <c r="I193" t="s">
        <v>57</v>
      </c>
      <c r="K193" t="s">
        <v>700</v>
      </c>
      <c r="L193" t="s">
        <v>701</v>
      </c>
      <c r="M193" t="s">
        <v>59</v>
      </c>
      <c r="N193" t="s">
        <v>97</v>
      </c>
      <c r="O193" t="s">
        <v>101</v>
      </c>
      <c r="P193" t="s">
        <v>259</v>
      </c>
      <c r="Q193" t="s">
        <v>502</v>
      </c>
      <c r="R193" t="s">
        <v>260</v>
      </c>
      <c r="S193" t="s">
        <v>98</v>
      </c>
      <c r="T193">
        <v>259.51</v>
      </c>
      <c r="U193">
        <v>251.90199999999999</v>
      </c>
      <c r="V193">
        <f>(T193+U193)/2</f>
        <v>255.70599999999999</v>
      </c>
      <c r="W193">
        <f>T193-U193</f>
        <v>7.6080000000000041</v>
      </c>
      <c r="X193">
        <v>45.349997999999999</v>
      </c>
      <c r="Y193">
        <v>-22.666668000000001</v>
      </c>
      <c r="Z193" t="s">
        <v>702</v>
      </c>
      <c r="AA193" t="s">
        <v>692</v>
      </c>
      <c r="AB193" t="s">
        <v>703</v>
      </c>
      <c r="AD193" t="s">
        <v>694</v>
      </c>
      <c r="AE193" t="s">
        <v>695</v>
      </c>
      <c r="AH193" t="s">
        <v>65</v>
      </c>
      <c r="AI193" t="s">
        <v>696</v>
      </c>
      <c r="AJ193">
        <v>1981</v>
      </c>
      <c r="AK193" t="s">
        <v>704</v>
      </c>
      <c r="AM193" t="s">
        <v>705</v>
      </c>
      <c r="AN193" t="s">
        <v>94</v>
      </c>
      <c r="AO193" t="s">
        <v>106</v>
      </c>
      <c r="AP193" t="s">
        <v>69</v>
      </c>
      <c r="AQ193" t="s">
        <v>706</v>
      </c>
      <c r="AR193" t="s">
        <v>70</v>
      </c>
      <c r="AS193">
        <v>702</v>
      </c>
      <c r="AT193" t="s">
        <v>71</v>
      </c>
      <c r="AU193">
        <v>24.64</v>
      </c>
      <c r="AV193">
        <v>-42.67</v>
      </c>
      <c r="AW193" t="s">
        <v>72</v>
      </c>
      <c r="AX193">
        <v>702</v>
      </c>
      <c r="AY193" t="s">
        <v>71</v>
      </c>
      <c r="AZ193">
        <v>26.71</v>
      </c>
      <c r="BA193">
        <v>-52.23</v>
      </c>
      <c r="BB193" t="s">
        <v>73</v>
      </c>
    </row>
    <row r="194" spans="1:54" x14ac:dyDescent="0.4">
      <c r="A194">
        <v>790114</v>
      </c>
      <c r="D194" t="s">
        <v>108</v>
      </c>
      <c r="E194" t="s">
        <v>105</v>
      </c>
      <c r="G194">
        <v>1</v>
      </c>
      <c r="H194" t="s">
        <v>56</v>
      </c>
      <c r="I194" t="s">
        <v>57</v>
      </c>
      <c r="K194" t="s">
        <v>700</v>
      </c>
      <c r="L194" t="s">
        <v>701</v>
      </c>
      <c r="M194" t="s">
        <v>59</v>
      </c>
      <c r="N194" t="s">
        <v>97</v>
      </c>
      <c r="O194" t="s">
        <v>101</v>
      </c>
      <c r="P194" t="s">
        <v>259</v>
      </c>
      <c r="Q194" t="s">
        <v>502</v>
      </c>
      <c r="R194" t="s">
        <v>260</v>
      </c>
      <c r="S194" t="s">
        <v>98</v>
      </c>
      <c r="T194">
        <v>259.51</v>
      </c>
      <c r="U194">
        <v>251.90199999999999</v>
      </c>
      <c r="V194">
        <f>(T194+U194)/2</f>
        <v>255.70599999999999</v>
      </c>
      <c r="W194">
        <f>T194-U194</f>
        <v>7.6080000000000041</v>
      </c>
      <c r="X194">
        <v>45.349997999999999</v>
      </c>
      <c r="Y194">
        <v>-22.666668000000001</v>
      </c>
      <c r="Z194" t="s">
        <v>702</v>
      </c>
      <c r="AA194" t="s">
        <v>692</v>
      </c>
      <c r="AB194" t="s">
        <v>703</v>
      </c>
      <c r="AD194" t="s">
        <v>694</v>
      </c>
      <c r="AE194" t="s">
        <v>695</v>
      </c>
      <c r="AH194" t="s">
        <v>65</v>
      </c>
      <c r="AI194" t="s">
        <v>696</v>
      </c>
      <c r="AJ194">
        <v>1981</v>
      </c>
      <c r="AK194" t="s">
        <v>704</v>
      </c>
      <c r="AM194" t="s">
        <v>705</v>
      </c>
      <c r="AN194" t="s">
        <v>94</v>
      </c>
      <c r="AO194" t="s">
        <v>106</v>
      </c>
      <c r="AP194" t="s">
        <v>69</v>
      </c>
      <c r="AQ194" t="s">
        <v>706</v>
      </c>
      <c r="AR194" t="s">
        <v>70</v>
      </c>
      <c r="AS194">
        <v>702</v>
      </c>
      <c r="AT194" t="s">
        <v>71</v>
      </c>
      <c r="AU194">
        <v>24.64</v>
      </c>
      <c r="AV194">
        <v>-42.67</v>
      </c>
      <c r="AW194" t="s">
        <v>72</v>
      </c>
      <c r="AX194">
        <v>702</v>
      </c>
      <c r="AY194" t="s">
        <v>71</v>
      </c>
      <c r="AZ194">
        <v>26.71</v>
      </c>
      <c r="BA194">
        <v>-52.23</v>
      </c>
      <c r="BB194" t="s">
        <v>73</v>
      </c>
    </row>
    <row r="195" spans="1:54" x14ac:dyDescent="0.4">
      <c r="A195">
        <v>790114</v>
      </c>
      <c r="D195" t="s">
        <v>108</v>
      </c>
      <c r="E195" t="s">
        <v>105</v>
      </c>
      <c r="G195">
        <v>1</v>
      </c>
      <c r="H195" t="s">
        <v>56</v>
      </c>
      <c r="I195" t="s">
        <v>57</v>
      </c>
      <c r="K195" t="s">
        <v>700</v>
      </c>
      <c r="L195" t="s">
        <v>701</v>
      </c>
      <c r="M195" t="s">
        <v>59</v>
      </c>
      <c r="N195" t="s">
        <v>97</v>
      </c>
      <c r="O195" t="s">
        <v>101</v>
      </c>
      <c r="P195" t="s">
        <v>259</v>
      </c>
      <c r="Q195" t="s">
        <v>502</v>
      </c>
      <c r="R195" t="s">
        <v>260</v>
      </c>
      <c r="S195" t="s">
        <v>98</v>
      </c>
      <c r="T195">
        <v>259.51</v>
      </c>
      <c r="U195">
        <v>251.90199999999999</v>
      </c>
      <c r="V195">
        <f>(T195+U195)/2</f>
        <v>255.70599999999999</v>
      </c>
      <c r="W195">
        <f>T195-U195</f>
        <v>7.6080000000000041</v>
      </c>
      <c r="X195">
        <v>45.349997999999999</v>
      </c>
      <c r="Y195">
        <v>-22.666668000000001</v>
      </c>
      <c r="Z195" t="s">
        <v>702</v>
      </c>
      <c r="AA195" t="s">
        <v>692</v>
      </c>
      <c r="AB195" t="s">
        <v>703</v>
      </c>
      <c r="AD195" t="s">
        <v>694</v>
      </c>
      <c r="AE195" t="s">
        <v>695</v>
      </c>
      <c r="AH195" t="s">
        <v>65</v>
      </c>
      <c r="AI195" t="s">
        <v>696</v>
      </c>
      <c r="AJ195">
        <v>1981</v>
      </c>
      <c r="AK195" t="s">
        <v>704</v>
      </c>
      <c r="AM195" t="s">
        <v>705</v>
      </c>
      <c r="AN195" t="s">
        <v>94</v>
      </c>
      <c r="AO195" t="s">
        <v>106</v>
      </c>
      <c r="AP195" t="s">
        <v>69</v>
      </c>
      <c r="AQ195" t="s">
        <v>706</v>
      </c>
      <c r="AR195" t="s">
        <v>70</v>
      </c>
      <c r="AS195">
        <v>702</v>
      </c>
      <c r="AT195" t="s">
        <v>71</v>
      </c>
      <c r="AU195">
        <v>24.64</v>
      </c>
      <c r="AV195">
        <v>-42.67</v>
      </c>
      <c r="AW195" t="s">
        <v>72</v>
      </c>
      <c r="AX195">
        <v>702</v>
      </c>
      <c r="AY195" t="s">
        <v>71</v>
      </c>
      <c r="AZ195">
        <v>26.71</v>
      </c>
      <c r="BA195">
        <v>-52.23</v>
      </c>
      <c r="BB195" t="s">
        <v>73</v>
      </c>
    </row>
    <row r="196" spans="1:54" x14ac:dyDescent="0.4">
      <c r="A196">
        <v>790114</v>
      </c>
      <c r="D196" t="s">
        <v>108</v>
      </c>
      <c r="E196" t="s">
        <v>105</v>
      </c>
      <c r="G196">
        <v>1</v>
      </c>
      <c r="H196" t="s">
        <v>56</v>
      </c>
      <c r="I196" t="s">
        <v>57</v>
      </c>
      <c r="K196" t="s">
        <v>700</v>
      </c>
      <c r="L196" t="s">
        <v>701</v>
      </c>
      <c r="M196" t="s">
        <v>59</v>
      </c>
      <c r="N196" t="s">
        <v>97</v>
      </c>
      <c r="O196" t="s">
        <v>101</v>
      </c>
      <c r="P196" t="s">
        <v>259</v>
      </c>
      <c r="Q196" t="s">
        <v>502</v>
      </c>
      <c r="R196" t="s">
        <v>260</v>
      </c>
      <c r="S196" t="s">
        <v>98</v>
      </c>
      <c r="T196">
        <v>259.51</v>
      </c>
      <c r="U196">
        <v>251.90199999999999</v>
      </c>
      <c r="V196">
        <f>(T196+U196)/2</f>
        <v>255.70599999999999</v>
      </c>
      <c r="W196">
        <f>T196-U196</f>
        <v>7.6080000000000041</v>
      </c>
      <c r="X196">
        <v>45.349997999999999</v>
      </c>
      <c r="Y196">
        <v>-22.666668000000001</v>
      </c>
      <c r="Z196" t="s">
        <v>702</v>
      </c>
      <c r="AA196" t="s">
        <v>692</v>
      </c>
      <c r="AB196" t="s">
        <v>703</v>
      </c>
      <c r="AD196" t="s">
        <v>694</v>
      </c>
      <c r="AE196" t="s">
        <v>695</v>
      </c>
      <c r="AH196" t="s">
        <v>65</v>
      </c>
      <c r="AI196" t="s">
        <v>696</v>
      </c>
      <c r="AJ196">
        <v>1981</v>
      </c>
      <c r="AK196" t="s">
        <v>704</v>
      </c>
      <c r="AM196" t="s">
        <v>705</v>
      </c>
      <c r="AN196" t="s">
        <v>94</v>
      </c>
      <c r="AO196" t="s">
        <v>106</v>
      </c>
      <c r="AP196" t="s">
        <v>69</v>
      </c>
      <c r="AQ196" t="s">
        <v>706</v>
      </c>
      <c r="AR196" t="s">
        <v>70</v>
      </c>
      <c r="AS196">
        <v>702</v>
      </c>
      <c r="AT196" t="s">
        <v>71</v>
      </c>
      <c r="AU196">
        <v>24.64</v>
      </c>
      <c r="AV196">
        <v>-42.67</v>
      </c>
      <c r="AW196" t="s">
        <v>72</v>
      </c>
      <c r="AX196">
        <v>702</v>
      </c>
      <c r="AY196" t="s">
        <v>71</v>
      </c>
      <c r="AZ196">
        <v>26.71</v>
      </c>
      <c r="BA196">
        <v>-52.23</v>
      </c>
      <c r="BB196" t="s">
        <v>73</v>
      </c>
    </row>
    <row r="197" spans="1:54" x14ac:dyDescent="0.4">
      <c r="A197">
        <v>790114</v>
      </c>
      <c r="D197" t="s">
        <v>108</v>
      </c>
      <c r="E197" t="s">
        <v>105</v>
      </c>
      <c r="G197">
        <v>1</v>
      </c>
      <c r="H197" t="s">
        <v>56</v>
      </c>
      <c r="I197" t="s">
        <v>57</v>
      </c>
      <c r="K197" t="s">
        <v>700</v>
      </c>
      <c r="L197" t="s">
        <v>701</v>
      </c>
      <c r="M197" t="s">
        <v>59</v>
      </c>
      <c r="N197" t="s">
        <v>97</v>
      </c>
      <c r="O197" t="s">
        <v>101</v>
      </c>
      <c r="P197" t="s">
        <v>259</v>
      </c>
      <c r="Q197" t="s">
        <v>502</v>
      </c>
      <c r="R197" t="s">
        <v>260</v>
      </c>
      <c r="S197" t="s">
        <v>98</v>
      </c>
      <c r="T197">
        <v>259.51</v>
      </c>
      <c r="U197">
        <v>251.90199999999999</v>
      </c>
      <c r="V197">
        <f>(T197+U197)/2</f>
        <v>255.70599999999999</v>
      </c>
      <c r="W197">
        <f>T197-U197</f>
        <v>7.6080000000000041</v>
      </c>
      <c r="X197">
        <v>45.349997999999999</v>
      </c>
      <c r="Y197">
        <v>-22.666668000000001</v>
      </c>
      <c r="Z197" t="s">
        <v>702</v>
      </c>
      <c r="AA197" t="s">
        <v>692</v>
      </c>
      <c r="AB197" t="s">
        <v>703</v>
      </c>
      <c r="AD197" t="s">
        <v>694</v>
      </c>
      <c r="AE197" t="s">
        <v>695</v>
      </c>
      <c r="AH197" t="s">
        <v>65</v>
      </c>
      <c r="AI197" t="s">
        <v>696</v>
      </c>
      <c r="AJ197">
        <v>1981</v>
      </c>
      <c r="AK197" t="s">
        <v>704</v>
      </c>
      <c r="AM197" t="s">
        <v>705</v>
      </c>
      <c r="AN197" t="s">
        <v>94</v>
      </c>
      <c r="AO197" t="s">
        <v>106</v>
      </c>
      <c r="AP197" t="s">
        <v>69</v>
      </c>
      <c r="AQ197" t="s">
        <v>706</v>
      </c>
      <c r="AR197" t="s">
        <v>70</v>
      </c>
      <c r="AS197">
        <v>702</v>
      </c>
      <c r="AT197" t="s">
        <v>71</v>
      </c>
      <c r="AU197">
        <v>24.64</v>
      </c>
      <c r="AV197">
        <v>-42.67</v>
      </c>
      <c r="AW197" t="s">
        <v>72</v>
      </c>
      <c r="AX197">
        <v>702</v>
      </c>
      <c r="AY197" t="s">
        <v>71</v>
      </c>
      <c r="AZ197">
        <v>26.71</v>
      </c>
      <c r="BA197">
        <v>-52.23</v>
      </c>
      <c r="BB197" t="s">
        <v>73</v>
      </c>
    </row>
    <row r="198" spans="1:54" x14ac:dyDescent="0.4">
      <c r="A198">
        <v>790114</v>
      </c>
      <c r="D198" t="s">
        <v>108</v>
      </c>
      <c r="E198" t="s">
        <v>105</v>
      </c>
      <c r="G198">
        <v>1</v>
      </c>
      <c r="H198" t="s">
        <v>56</v>
      </c>
      <c r="I198" t="s">
        <v>57</v>
      </c>
      <c r="K198" t="s">
        <v>700</v>
      </c>
      <c r="L198" t="s">
        <v>701</v>
      </c>
      <c r="M198" t="s">
        <v>59</v>
      </c>
      <c r="N198" t="s">
        <v>97</v>
      </c>
      <c r="O198" t="s">
        <v>101</v>
      </c>
      <c r="P198" t="s">
        <v>259</v>
      </c>
      <c r="Q198" t="s">
        <v>502</v>
      </c>
      <c r="R198" t="s">
        <v>260</v>
      </c>
      <c r="S198" t="s">
        <v>98</v>
      </c>
      <c r="T198">
        <v>259.51</v>
      </c>
      <c r="U198">
        <v>251.90199999999999</v>
      </c>
      <c r="V198">
        <f>(T198+U198)/2</f>
        <v>255.70599999999999</v>
      </c>
      <c r="W198">
        <f>T198-U198</f>
        <v>7.6080000000000041</v>
      </c>
      <c r="X198">
        <v>45.349997999999999</v>
      </c>
      <c r="Y198">
        <v>-22.666668000000001</v>
      </c>
      <c r="Z198" t="s">
        <v>702</v>
      </c>
      <c r="AA198" t="s">
        <v>692</v>
      </c>
      <c r="AB198" t="s">
        <v>703</v>
      </c>
      <c r="AD198" t="s">
        <v>694</v>
      </c>
      <c r="AE198" t="s">
        <v>695</v>
      </c>
      <c r="AH198" t="s">
        <v>65</v>
      </c>
      <c r="AI198" t="s">
        <v>696</v>
      </c>
      <c r="AJ198">
        <v>1981</v>
      </c>
      <c r="AK198" t="s">
        <v>704</v>
      </c>
      <c r="AM198" t="s">
        <v>705</v>
      </c>
      <c r="AN198" t="s">
        <v>94</v>
      </c>
      <c r="AO198" t="s">
        <v>106</v>
      </c>
      <c r="AP198" t="s">
        <v>69</v>
      </c>
      <c r="AQ198" t="s">
        <v>706</v>
      </c>
      <c r="AR198" t="s">
        <v>70</v>
      </c>
      <c r="AS198">
        <v>702</v>
      </c>
      <c r="AT198" t="s">
        <v>71</v>
      </c>
      <c r="AU198">
        <v>24.64</v>
      </c>
      <c r="AV198">
        <v>-42.67</v>
      </c>
      <c r="AW198" t="s">
        <v>72</v>
      </c>
      <c r="AX198">
        <v>702</v>
      </c>
      <c r="AY198" t="s">
        <v>71</v>
      </c>
      <c r="AZ198">
        <v>26.71</v>
      </c>
      <c r="BA198">
        <v>-52.23</v>
      </c>
      <c r="BB198" t="s">
        <v>73</v>
      </c>
    </row>
    <row r="199" spans="1:54" x14ac:dyDescent="0.4">
      <c r="A199">
        <v>790114</v>
      </c>
      <c r="D199" t="s">
        <v>108</v>
      </c>
      <c r="E199" t="s">
        <v>105</v>
      </c>
      <c r="G199">
        <v>1</v>
      </c>
      <c r="H199" t="s">
        <v>56</v>
      </c>
      <c r="I199" t="s">
        <v>57</v>
      </c>
      <c r="K199" t="s">
        <v>700</v>
      </c>
      <c r="L199" t="s">
        <v>701</v>
      </c>
      <c r="M199" t="s">
        <v>59</v>
      </c>
      <c r="N199" t="s">
        <v>97</v>
      </c>
      <c r="O199" t="s">
        <v>101</v>
      </c>
      <c r="P199" t="s">
        <v>259</v>
      </c>
      <c r="Q199" t="s">
        <v>502</v>
      </c>
      <c r="R199" t="s">
        <v>260</v>
      </c>
      <c r="S199" t="s">
        <v>98</v>
      </c>
      <c r="T199">
        <v>259.51</v>
      </c>
      <c r="U199">
        <v>251.90199999999999</v>
      </c>
      <c r="V199">
        <f>(T199+U199)/2</f>
        <v>255.70599999999999</v>
      </c>
      <c r="W199">
        <f>T199-U199</f>
        <v>7.6080000000000041</v>
      </c>
      <c r="X199">
        <v>45.349997999999999</v>
      </c>
      <c r="Y199">
        <v>-22.666668000000001</v>
      </c>
      <c r="Z199" t="s">
        <v>702</v>
      </c>
      <c r="AA199" t="s">
        <v>692</v>
      </c>
      <c r="AB199" t="s">
        <v>703</v>
      </c>
      <c r="AD199" t="s">
        <v>694</v>
      </c>
      <c r="AE199" t="s">
        <v>695</v>
      </c>
      <c r="AH199" t="s">
        <v>65</v>
      </c>
      <c r="AI199" t="s">
        <v>696</v>
      </c>
      <c r="AJ199">
        <v>1981</v>
      </c>
      <c r="AK199" t="s">
        <v>704</v>
      </c>
      <c r="AM199" t="s">
        <v>705</v>
      </c>
      <c r="AN199" t="s">
        <v>94</v>
      </c>
      <c r="AO199" t="s">
        <v>106</v>
      </c>
      <c r="AP199" t="s">
        <v>69</v>
      </c>
      <c r="AQ199" t="s">
        <v>706</v>
      </c>
      <c r="AR199" t="s">
        <v>70</v>
      </c>
      <c r="AS199">
        <v>702</v>
      </c>
      <c r="AT199" t="s">
        <v>71</v>
      </c>
      <c r="AU199">
        <v>24.64</v>
      </c>
      <c r="AV199">
        <v>-42.67</v>
      </c>
      <c r="AW199" t="s">
        <v>72</v>
      </c>
      <c r="AX199">
        <v>702</v>
      </c>
      <c r="AY199" t="s">
        <v>71</v>
      </c>
      <c r="AZ199">
        <v>26.71</v>
      </c>
      <c r="BA199">
        <v>-52.23</v>
      </c>
      <c r="BB199" t="s">
        <v>73</v>
      </c>
    </row>
    <row r="200" spans="1:54" x14ac:dyDescent="0.4">
      <c r="A200">
        <v>790114</v>
      </c>
      <c r="D200" t="s">
        <v>108</v>
      </c>
      <c r="E200" t="s">
        <v>105</v>
      </c>
      <c r="G200">
        <v>1</v>
      </c>
      <c r="H200" t="s">
        <v>56</v>
      </c>
      <c r="I200" t="s">
        <v>57</v>
      </c>
      <c r="K200" t="s">
        <v>700</v>
      </c>
      <c r="L200" t="s">
        <v>701</v>
      </c>
      <c r="M200" t="s">
        <v>59</v>
      </c>
      <c r="N200" t="s">
        <v>97</v>
      </c>
      <c r="O200" t="s">
        <v>101</v>
      </c>
      <c r="P200" t="s">
        <v>259</v>
      </c>
      <c r="Q200" t="s">
        <v>502</v>
      </c>
      <c r="R200" t="s">
        <v>260</v>
      </c>
      <c r="S200" t="s">
        <v>98</v>
      </c>
      <c r="T200">
        <v>259.51</v>
      </c>
      <c r="U200">
        <v>251.90199999999999</v>
      </c>
      <c r="V200">
        <f>(T200+U200)/2</f>
        <v>255.70599999999999</v>
      </c>
      <c r="W200">
        <f>T200-U200</f>
        <v>7.6080000000000041</v>
      </c>
      <c r="X200">
        <v>45.349997999999999</v>
      </c>
      <c r="Y200">
        <v>-22.666668000000001</v>
      </c>
      <c r="Z200" t="s">
        <v>702</v>
      </c>
      <c r="AA200" t="s">
        <v>692</v>
      </c>
      <c r="AB200" t="s">
        <v>703</v>
      </c>
      <c r="AD200" t="s">
        <v>694</v>
      </c>
      <c r="AE200" t="s">
        <v>695</v>
      </c>
      <c r="AH200" t="s">
        <v>65</v>
      </c>
      <c r="AI200" t="s">
        <v>696</v>
      </c>
      <c r="AJ200">
        <v>1981</v>
      </c>
      <c r="AK200" t="s">
        <v>704</v>
      </c>
      <c r="AM200" t="s">
        <v>705</v>
      </c>
      <c r="AN200" t="s">
        <v>94</v>
      </c>
      <c r="AO200" t="s">
        <v>106</v>
      </c>
      <c r="AP200" t="s">
        <v>69</v>
      </c>
      <c r="AQ200" t="s">
        <v>706</v>
      </c>
      <c r="AR200" t="s">
        <v>70</v>
      </c>
      <c r="AS200">
        <v>702</v>
      </c>
      <c r="AT200" t="s">
        <v>71</v>
      </c>
      <c r="AU200">
        <v>24.64</v>
      </c>
      <c r="AV200">
        <v>-42.67</v>
      </c>
      <c r="AW200" t="s">
        <v>72</v>
      </c>
      <c r="AX200">
        <v>702</v>
      </c>
      <c r="AY200" t="s">
        <v>71</v>
      </c>
      <c r="AZ200">
        <v>26.71</v>
      </c>
      <c r="BA200">
        <v>-52.23</v>
      </c>
      <c r="BB200" t="s">
        <v>73</v>
      </c>
    </row>
    <row r="201" spans="1:54" x14ac:dyDescent="0.4">
      <c r="A201">
        <v>790114</v>
      </c>
      <c r="D201" t="s">
        <v>108</v>
      </c>
      <c r="E201" t="s">
        <v>105</v>
      </c>
      <c r="G201">
        <v>1</v>
      </c>
      <c r="H201" t="s">
        <v>56</v>
      </c>
      <c r="I201" t="s">
        <v>57</v>
      </c>
      <c r="K201" t="s">
        <v>700</v>
      </c>
      <c r="L201" t="s">
        <v>701</v>
      </c>
      <c r="M201" t="s">
        <v>59</v>
      </c>
      <c r="N201" t="s">
        <v>97</v>
      </c>
      <c r="O201" t="s">
        <v>101</v>
      </c>
      <c r="P201" t="s">
        <v>259</v>
      </c>
      <c r="Q201" t="s">
        <v>502</v>
      </c>
      <c r="R201" t="s">
        <v>260</v>
      </c>
      <c r="S201" t="s">
        <v>98</v>
      </c>
      <c r="T201">
        <v>259.51</v>
      </c>
      <c r="U201">
        <v>251.90199999999999</v>
      </c>
      <c r="V201">
        <f>(T201+U201)/2</f>
        <v>255.70599999999999</v>
      </c>
      <c r="W201">
        <f>T201-U201</f>
        <v>7.6080000000000041</v>
      </c>
      <c r="X201">
        <v>45.349997999999999</v>
      </c>
      <c r="Y201">
        <v>-22.666668000000001</v>
      </c>
      <c r="Z201" t="s">
        <v>702</v>
      </c>
      <c r="AA201" t="s">
        <v>692</v>
      </c>
      <c r="AB201" t="s">
        <v>703</v>
      </c>
      <c r="AD201" t="s">
        <v>694</v>
      </c>
      <c r="AE201" t="s">
        <v>695</v>
      </c>
      <c r="AH201" t="s">
        <v>65</v>
      </c>
      <c r="AI201" t="s">
        <v>696</v>
      </c>
      <c r="AJ201">
        <v>1981</v>
      </c>
      <c r="AK201" t="s">
        <v>704</v>
      </c>
      <c r="AM201" t="s">
        <v>705</v>
      </c>
      <c r="AN201" t="s">
        <v>94</v>
      </c>
      <c r="AO201" t="s">
        <v>106</v>
      </c>
      <c r="AP201" t="s">
        <v>69</v>
      </c>
      <c r="AQ201" t="s">
        <v>706</v>
      </c>
      <c r="AR201" t="s">
        <v>70</v>
      </c>
      <c r="AS201">
        <v>702</v>
      </c>
      <c r="AT201" t="s">
        <v>71</v>
      </c>
      <c r="AU201">
        <v>24.64</v>
      </c>
      <c r="AV201">
        <v>-42.67</v>
      </c>
      <c r="AW201" t="s">
        <v>72</v>
      </c>
      <c r="AX201">
        <v>702</v>
      </c>
      <c r="AY201" t="s">
        <v>71</v>
      </c>
      <c r="AZ201">
        <v>26.71</v>
      </c>
      <c r="BA201">
        <v>-52.23</v>
      </c>
      <c r="BB201" t="s">
        <v>73</v>
      </c>
    </row>
    <row r="202" spans="1:54" x14ac:dyDescent="0.4">
      <c r="A202">
        <v>790114</v>
      </c>
      <c r="D202" t="s">
        <v>108</v>
      </c>
      <c r="E202" t="s">
        <v>105</v>
      </c>
      <c r="G202">
        <v>1</v>
      </c>
      <c r="H202" t="s">
        <v>56</v>
      </c>
      <c r="I202" t="s">
        <v>57</v>
      </c>
      <c r="K202" t="s">
        <v>700</v>
      </c>
      <c r="L202" t="s">
        <v>701</v>
      </c>
      <c r="M202" t="s">
        <v>59</v>
      </c>
      <c r="N202" t="s">
        <v>97</v>
      </c>
      <c r="O202" t="s">
        <v>101</v>
      </c>
      <c r="P202" t="s">
        <v>259</v>
      </c>
      <c r="Q202" t="s">
        <v>502</v>
      </c>
      <c r="R202" t="s">
        <v>260</v>
      </c>
      <c r="S202" t="s">
        <v>98</v>
      </c>
      <c r="T202">
        <v>259.51</v>
      </c>
      <c r="U202">
        <v>251.90199999999999</v>
      </c>
      <c r="V202">
        <f>(T202+U202)/2</f>
        <v>255.70599999999999</v>
      </c>
      <c r="W202">
        <f>T202-U202</f>
        <v>7.6080000000000041</v>
      </c>
      <c r="X202">
        <v>45.349997999999999</v>
      </c>
      <c r="Y202">
        <v>-22.666668000000001</v>
      </c>
      <c r="Z202" t="s">
        <v>702</v>
      </c>
      <c r="AA202" t="s">
        <v>692</v>
      </c>
      <c r="AB202" t="s">
        <v>703</v>
      </c>
      <c r="AD202" t="s">
        <v>694</v>
      </c>
      <c r="AE202" t="s">
        <v>695</v>
      </c>
      <c r="AH202" t="s">
        <v>65</v>
      </c>
      <c r="AI202" t="s">
        <v>696</v>
      </c>
      <c r="AJ202">
        <v>1981</v>
      </c>
      <c r="AK202" t="s">
        <v>704</v>
      </c>
      <c r="AM202" t="s">
        <v>705</v>
      </c>
      <c r="AN202" t="s">
        <v>94</v>
      </c>
      <c r="AO202" t="s">
        <v>106</v>
      </c>
      <c r="AP202" t="s">
        <v>69</v>
      </c>
      <c r="AQ202" t="s">
        <v>706</v>
      </c>
      <c r="AR202" t="s">
        <v>70</v>
      </c>
      <c r="AS202">
        <v>702</v>
      </c>
      <c r="AT202" t="s">
        <v>71</v>
      </c>
      <c r="AU202">
        <v>24.64</v>
      </c>
      <c r="AV202">
        <v>-42.67</v>
      </c>
      <c r="AW202" t="s">
        <v>72</v>
      </c>
      <c r="AX202">
        <v>702</v>
      </c>
      <c r="AY202" t="s">
        <v>71</v>
      </c>
      <c r="AZ202">
        <v>26.71</v>
      </c>
      <c r="BA202">
        <v>-52.23</v>
      </c>
      <c r="BB202" t="s">
        <v>73</v>
      </c>
    </row>
    <row r="203" spans="1:54" x14ac:dyDescent="0.4">
      <c r="A203">
        <v>790114</v>
      </c>
      <c r="D203" t="s">
        <v>108</v>
      </c>
      <c r="E203" t="s">
        <v>105</v>
      </c>
      <c r="G203">
        <v>1</v>
      </c>
      <c r="H203" t="s">
        <v>56</v>
      </c>
      <c r="I203" t="s">
        <v>57</v>
      </c>
      <c r="K203" t="s">
        <v>700</v>
      </c>
      <c r="L203" t="s">
        <v>701</v>
      </c>
      <c r="M203" t="s">
        <v>59</v>
      </c>
      <c r="N203" t="s">
        <v>97</v>
      </c>
      <c r="O203" t="s">
        <v>101</v>
      </c>
      <c r="P203" t="s">
        <v>259</v>
      </c>
      <c r="Q203" t="s">
        <v>502</v>
      </c>
      <c r="R203" t="s">
        <v>260</v>
      </c>
      <c r="S203" t="s">
        <v>98</v>
      </c>
      <c r="T203">
        <v>259.51</v>
      </c>
      <c r="U203">
        <v>251.90199999999999</v>
      </c>
      <c r="V203">
        <f>(T203+U203)/2</f>
        <v>255.70599999999999</v>
      </c>
      <c r="W203">
        <f>T203-U203</f>
        <v>7.6080000000000041</v>
      </c>
      <c r="X203">
        <v>45.349997999999999</v>
      </c>
      <c r="Y203">
        <v>-22.666668000000001</v>
      </c>
      <c r="Z203" t="s">
        <v>702</v>
      </c>
      <c r="AA203" t="s">
        <v>692</v>
      </c>
      <c r="AB203" t="s">
        <v>703</v>
      </c>
      <c r="AD203" t="s">
        <v>694</v>
      </c>
      <c r="AE203" t="s">
        <v>695</v>
      </c>
      <c r="AH203" t="s">
        <v>65</v>
      </c>
      <c r="AI203" t="s">
        <v>696</v>
      </c>
      <c r="AJ203">
        <v>1981</v>
      </c>
      <c r="AK203" t="s">
        <v>704</v>
      </c>
      <c r="AM203" t="s">
        <v>705</v>
      </c>
      <c r="AN203" t="s">
        <v>94</v>
      </c>
      <c r="AO203" t="s">
        <v>106</v>
      </c>
      <c r="AP203" t="s">
        <v>69</v>
      </c>
      <c r="AQ203" t="s">
        <v>706</v>
      </c>
      <c r="AR203" t="s">
        <v>70</v>
      </c>
      <c r="AS203">
        <v>702</v>
      </c>
      <c r="AT203" t="s">
        <v>71</v>
      </c>
      <c r="AU203">
        <v>24.64</v>
      </c>
      <c r="AV203">
        <v>-42.67</v>
      </c>
      <c r="AW203" t="s">
        <v>72</v>
      </c>
      <c r="AX203">
        <v>702</v>
      </c>
      <c r="AY203" t="s">
        <v>71</v>
      </c>
      <c r="AZ203">
        <v>26.71</v>
      </c>
      <c r="BA203">
        <v>-52.23</v>
      </c>
      <c r="BB203" t="s">
        <v>73</v>
      </c>
    </row>
    <row r="204" spans="1:54" x14ac:dyDescent="0.4">
      <c r="A204">
        <v>790114</v>
      </c>
      <c r="D204" t="s">
        <v>108</v>
      </c>
      <c r="E204" t="s">
        <v>105</v>
      </c>
      <c r="G204">
        <v>1</v>
      </c>
      <c r="H204" t="s">
        <v>56</v>
      </c>
      <c r="I204" t="s">
        <v>57</v>
      </c>
      <c r="K204" t="s">
        <v>700</v>
      </c>
      <c r="L204" t="s">
        <v>701</v>
      </c>
      <c r="M204" t="s">
        <v>59</v>
      </c>
      <c r="N204" t="s">
        <v>97</v>
      </c>
      <c r="O204" t="s">
        <v>101</v>
      </c>
      <c r="P204" t="s">
        <v>259</v>
      </c>
      <c r="Q204" t="s">
        <v>502</v>
      </c>
      <c r="R204" t="s">
        <v>260</v>
      </c>
      <c r="S204" t="s">
        <v>98</v>
      </c>
      <c r="T204">
        <v>259.51</v>
      </c>
      <c r="U204">
        <v>251.90199999999999</v>
      </c>
      <c r="V204">
        <f>(T204+U204)/2</f>
        <v>255.70599999999999</v>
      </c>
      <c r="W204">
        <f>T204-U204</f>
        <v>7.6080000000000041</v>
      </c>
      <c r="X204">
        <v>45.349997999999999</v>
      </c>
      <c r="Y204">
        <v>-22.666668000000001</v>
      </c>
      <c r="Z204" t="s">
        <v>702</v>
      </c>
      <c r="AA204" t="s">
        <v>692</v>
      </c>
      <c r="AB204" t="s">
        <v>703</v>
      </c>
      <c r="AD204" t="s">
        <v>694</v>
      </c>
      <c r="AE204" t="s">
        <v>695</v>
      </c>
      <c r="AH204" t="s">
        <v>65</v>
      </c>
      <c r="AI204" t="s">
        <v>696</v>
      </c>
      <c r="AJ204">
        <v>1981</v>
      </c>
      <c r="AK204" t="s">
        <v>704</v>
      </c>
      <c r="AM204" t="s">
        <v>705</v>
      </c>
      <c r="AN204" t="s">
        <v>94</v>
      </c>
      <c r="AO204" t="s">
        <v>106</v>
      </c>
      <c r="AP204" t="s">
        <v>69</v>
      </c>
      <c r="AQ204" t="s">
        <v>706</v>
      </c>
      <c r="AR204" t="s">
        <v>70</v>
      </c>
      <c r="AS204">
        <v>702</v>
      </c>
      <c r="AT204" t="s">
        <v>71</v>
      </c>
      <c r="AU204">
        <v>24.64</v>
      </c>
      <c r="AV204">
        <v>-42.67</v>
      </c>
      <c r="AW204" t="s">
        <v>72</v>
      </c>
      <c r="AX204">
        <v>702</v>
      </c>
      <c r="AY204" t="s">
        <v>71</v>
      </c>
      <c r="AZ204">
        <v>26.71</v>
      </c>
      <c r="BA204">
        <v>-52.23</v>
      </c>
      <c r="BB204" t="s">
        <v>73</v>
      </c>
    </row>
    <row r="205" spans="1:54" x14ac:dyDescent="0.4">
      <c r="A205">
        <v>790114</v>
      </c>
      <c r="D205" t="s">
        <v>108</v>
      </c>
      <c r="E205" t="s">
        <v>105</v>
      </c>
      <c r="G205">
        <v>1</v>
      </c>
      <c r="H205" t="s">
        <v>56</v>
      </c>
      <c r="I205" t="s">
        <v>57</v>
      </c>
      <c r="K205" t="s">
        <v>700</v>
      </c>
      <c r="L205" t="s">
        <v>701</v>
      </c>
      <c r="M205" t="s">
        <v>59</v>
      </c>
      <c r="N205" t="s">
        <v>97</v>
      </c>
      <c r="O205" t="s">
        <v>101</v>
      </c>
      <c r="P205" t="s">
        <v>259</v>
      </c>
      <c r="Q205" t="s">
        <v>502</v>
      </c>
      <c r="R205" t="s">
        <v>260</v>
      </c>
      <c r="S205" t="s">
        <v>98</v>
      </c>
      <c r="T205">
        <v>259.51</v>
      </c>
      <c r="U205">
        <v>251.90199999999999</v>
      </c>
      <c r="V205">
        <f>(T205+U205)/2</f>
        <v>255.70599999999999</v>
      </c>
      <c r="W205">
        <f>T205-U205</f>
        <v>7.6080000000000041</v>
      </c>
      <c r="X205">
        <v>45.349997999999999</v>
      </c>
      <c r="Y205">
        <v>-22.666668000000001</v>
      </c>
      <c r="Z205" t="s">
        <v>702</v>
      </c>
      <c r="AA205" t="s">
        <v>692</v>
      </c>
      <c r="AB205" t="s">
        <v>703</v>
      </c>
      <c r="AD205" t="s">
        <v>694</v>
      </c>
      <c r="AE205" t="s">
        <v>695</v>
      </c>
      <c r="AH205" t="s">
        <v>65</v>
      </c>
      <c r="AI205" t="s">
        <v>696</v>
      </c>
      <c r="AJ205">
        <v>1981</v>
      </c>
      <c r="AK205" t="s">
        <v>704</v>
      </c>
      <c r="AM205" t="s">
        <v>705</v>
      </c>
      <c r="AN205" t="s">
        <v>94</v>
      </c>
      <c r="AO205" t="s">
        <v>106</v>
      </c>
      <c r="AP205" t="s">
        <v>69</v>
      </c>
      <c r="AQ205" t="s">
        <v>706</v>
      </c>
      <c r="AR205" t="s">
        <v>70</v>
      </c>
      <c r="AS205">
        <v>702</v>
      </c>
      <c r="AT205" t="s">
        <v>71</v>
      </c>
      <c r="AU205">
        <v>24.64</v>
      </c>
      <c r="AV205">
        <v>-42.67</v>
      </c>
      <c r="AW205" t="s">
        <v>72</v>
      </c>
      <c r="AX205">
        <v>702</v>
      </c>
      <c r="AY205" t="s">
        <v>71</v>
      </c>
      <c r="AZ205">
        <v>26.71</v>
      </c>
      <c r="BA205">
        <v>-52.23</v>
      </c>
      <c r="BB205" t="s">
        <v>73</v>
      </c>
    </row>
    <row r="206" spans="1:54" x14ac:dyDescent="0.4">
      <c r="A206">
        <v>790115</v>
      </c>
      <c r="D206" t="s">
        <v>54</v>
      </c>
      <c r="G206">
        <v>9</v>
      </c>
      <c r="H206" t="s">
        <v>74</v>
      </c>
      <c r="I206" t="s">
        <v>57</v>
      </c>
      <c r="K206" t="s">
        <v>700</v>
      </c>
      <c r="L206" t="s">
        <v>701</v>
      </c>
      <c r="M206" t="s">
        <v>59</v>
      </c>
      <c r="N206" t="s">
        <v>97</v>
      </c>
      <c r="O206" t="s">
        <v>101</v>
      </c>
      <c r="P206" t="s">
        <v>259</v>
      </c>
      <c r="Q206" t="s">
        <v>502</v>
      </c>
      <c r="R206" t="s">
        <v>260</v>
      </c>
      <c r="S206" t="s">
        <v>98</v>
      </c>
      <c r="T206">
        <v>259.51</v>
      </c>
      <c r="U206">
        <v>251.90199999999999</v>
      </c>
      <c r="V206">
        <f>(T206+U206)/2</f>
        <v>255.70599999999999</v>
      </c>
      <c r="W206">
        <f>T206-U206</f>
        <v>7.6080000000000041</v>
      </c>
      <c r="X206">
        <v>45.083331999999999</v>
      </c>
      <c r="Y206">
        <v>-23.450001</v>
      </c>
      <c r="Z206" t="s">
        <v>702</v>
      </c>
      <c r="AA206" t="s">
        <v>692</v>
      </c>
      <c r="AB206" t="s">
        <v>693</v>
      </c>
      <c r="AD206" t="s">
        <v>694</v>
      </c>
      <c r="AE206" t="s">
        <v>695</v>
      </c>
      <c r="AH206" t="s">
        <v>65</v>
      </c>
      <c r="AI206" t="s">
        <v>696</v>
      </c>
      <c r="AJ206">
        <v>1981</v>
      </c>
      <c r="AK206" t="s">
        <v>707</v>
      </c>
      <c r="AM206" t="s">
        <v>705</v>
      </c>
      <c r="AN206" t="s">
        <v>94</v>
      </c>
      <c r="AO206" t="s">
        <v>106</v>
      </c>
      <c r="AP206" t="s">
        <v>69</v>
      </c>
      <c r="AQ206" t="s">
        <v>708</v>
      </c>
      <c r="AR206" t="s">
        <v>70</v>
      </c>
      <c r="AS206">
        <v>702</v>
      </c>
      <c r="AT206" t="s">
        <v>71</v>
      </c>
      <c r="AU206">
        <v>23.63</v>
      </c>
      <c r="AV206">
        <v>-43.02</v>
      </c>
      <c r="AW206" t="s">
        <v>72</v>
      </c>
      <c r="AX206">
        <v>702</v>
      </c>
      <c r="AY206" t="s">
        <v>71</v>
      </c>
      <c r="AZ206">
        <v>25.6</v>
      </c>
      <c r="BA206">
        <v>-52.69</v>
      </c>
      <c r="BB206" t="s">
        <v>73</v>
      </c>
    </row>
    <row r="207" spans="1:54" x14ac:dyDescent="0.4">
      <c r="A207">
        <v>790147</v>
      </c>
      <c r="D207" t="s">
        <v>54</v>
      </c>
      <c r="G207">
        <v>1</v>
      </c>
      <c r="H207" t="s">
        <v>56</v>
      </c>
      <c r="I207" t="s">
        <v>57</v>
      </c>
      <c r="K207" t="s">
        <v>700</v>
      </c>
      <c r="L207" t="s">
        <v>701</v>
      </c>
      <c r="M207" t="s">
        <v>59</v>
      </c>
      <c r="N207" t="s">
        <v>97</v>
      </c>
      <c r="O207" t="s">
        <v>101</v>
      </c>
      <c r="P207" t="s">
        <v>259</v>
      </c>
      <c r="Q207" t="s">
        <v>502</v>
      </c>
      <c r="R207" t="s">
        <v>260</v>
      </c>
      <c r="S207" t="s">
        <v>98</v>
      </c>
      <c r="T207">
        <v>259.51</v>
      </c>
      <c r="U207">
        <v>251.90199999999999</v>
      </c>
      <c r="V207">
        <f>(T207+U207)/2</f>
        <v>255.70599999999999</v>
      </c>
      <c r="W207">
        <f>T207-U207</f>
        <v>7.6080000000000041</v>
      </c>
      <c r="X207">
        <v>45.412497999999999</v>
      </c>
      <c r="Y207">
        <v>-22.558332</v>
      </c>
      <c r="Z207" t="s">
        <v>702</v>
      </c>
      <c r="AA207" t="s">
        <v>692</v>
      </c>
      <c r="AB207" t="s">
        <v>703</v>
      </c>
      <c r="AD207" t="s">
        <v>694</v>
      </c>
      <c r="AE207" t="s">
        <v>695</v>
      </c>
      <c r="AH207" t="s">
        <v>65</v>
      </c>
      <c r="AI207" t="s">
        <v>696</v>
      </c>
      <c r="AJ207">
        <v>1981</v>
      </c>
      <c r="AK207" t="s">
        <v>709</v>
      </c>
      <c r="AM207" t="s">
        <v>710</v>
      </c>
      <c r="AN207" t="s">
        <v>94</v>
      </c>
      <c r="AO207" t="s">
        <v>68</v>
      </c>
      <c r="AP207" t="s">
        <v>69</v>
      </c>
      <c r="AQ207" t="s">
        <v>711</v>
      </c>
      <c r="AR207" t="s">
        <v>70</v>
      </c>
      <c r="AS207">
        <v>702</v>
      </c>
      <c r="AT207" t="s">
        <v>71</v>
      </c>
      <c r="AU207">
        <v>24.81</v>
      </c>
      <c r="AV207">
        <v>-42.64</v>
      </c>
      <c r="AW207" t="s">
        <v>72</v>
      </c>
      <c r="AX207">
        <v>702</v>
      </c>
      <c r="AY207" t="s">
        <v>71</v>
      </c>
      <c r="AZ207">
        <v>26.89</v>
      </c>
      <c r="BA207">
        <v>-52.18</v>
      </c>
      <c r="BB207" t="s">
        <v>73</v>
      </c>
    </row>
    <row r="208" spans="1:54" x14ac:dyDescent="0.4">
      <c r="A208">
        <v>790203</v>
      </c>
      <c r="D208" t="s">
        <v>246</v>
      </c>
      <c r="E208" t="s">
        <v>55</v>
      </c>
      <c r="G208">
        <v>1</v>
      </c>
      <c r="H208" t="s">
        <v>56</v>
      </c>
      <c r="I208" t="s">
        <v>57</v>
      </c>
      <c r="K208" t="s">
        <v>102</v>
      </c>
      <c r="L208" t="s">
        <v>712</v>
      </c>
      <c r="M208" t="s">
        <v>59</v>
      </c>
      <c r="N208" t="s">
        <v>60</v>
      </c>
      <c r="P208" t="s">
        <v>259</v>
      </c>
      <c r="Q208" t="s">
        <v>502</v>
      </c>
      <c r="R208" t="s">
        <v>260</v>
      </c>
      <c r="S208" t="s">
        <v>98</v>
      </c>
      <c r="T208">
        <v>259.51</v>
      </c>
      <c r="U208">
        <v>251.90199999999999</v>
      </c>
      <c r="V208">
        <f>(T208+U208)/2</f>
        <v>255.70599999999999</v>
      </c>
      <c r="W208">
        <f>T208-U208</f>
        <v>7.6080000000000041</v>
      </c>
      <c r="X208">
        <v>44.416668000000001</v>
      </c>
      <c r="Y208">
        <v>-24</v>
      </c>
      <c r="Z208" t="s">
        <v>99</v>
      </c>
      <c r="AA208" t="s">
        <v>692</v>
      </c>
      <c r="AB208" t="s">
        <v>693</v>
      </c>
      <c r="AD208" t="s">
        <v>694</v>
      </c>
      <c r="AE208" t="s">
        <v>695</v>
      </c>
      <c r="AH208" t="s">
        <v>65</v>
      </c>
      <c r="AI208" t="s">
        <v>696</v>
      </c>
      <c r="AJ208">
        <v>1978</v>
      </c>
      <c r="AK208" t="s">
        <v>697</v>
      </c>
      <c r="AM208" t="s">
        <v>698</v>
      </c>
      <c r="AN208" t="s">
        <v>121</v>
      </c>
      <c r="AO208" t="s">
        <v>330</v>
      </c>
      <c r="AP208" t="s">
        <v>182</v>
      </c>
      <c r="AQ208" t="s">
        <v>699</v>
      </c>
      <c r="AR208" t="s">
        <v>70</v>
      </c>
      <c r="AS208">
        <v>702</v>
      </c>
      <c r="AT208" t="s">
        <v>71</v>
      </c>
      <c r="AU208">
        <v>22.51</v>
      </c>
      <c r="AV208">
        <v>-42.93</v>
      </c>
      <c r="AW208" t="s">
        <v>72</v>
      </c>
      <c r="AX208">
        <v>702</v>
      </c>
      <c r="AY208" t="s">
        <v>71</v>
      </c>
      <c r="AZ208">
        <v>24.25</v>
      </c>
      <c r="BA208">
        <v>-52.74</v>
      </c>
      <c r="BB208" t="s">
        <v>73</v>
      </c>
    </row>
    <row r="209" spans="1:54" x14ac:dyDescent="0.4">
      <c r="A209">
        <v>790204</v>
      </c>
      <c r="D209" t="s">
        <v>246</v>
      </c>
      <c r="E209" t="s">
        <v>55</v>
      </c>
      <c r="G209">
        <v>1</v>
      </c>
      <c r="H209" t="s">
        <v>56</v>
      </c>
      <c r="I209" t="s">
        <v>57</v>
      </c>
      <c r="K209" t="s">
        <v>102</v>
      </c>
      <c r="L209" t="s">
        <v>712</v>
      </c>
      <c r="M209" t="s">
        <v>59</v>
      </c>
      <c r="N209" t="s">
        <v>60</v>
      </c>
      <c r="P209" t="s">
        <v>259</v>
      </c>
      <c r="Q209" t="s">
        <v>502</v>
      </c>
      <c r="R209" t="s">
        <v>260</v>
      </c>
      <c r="S209" t="s">
        <v>98</v>
      </c>
      <c r="T209">
        <v>259.51</v>
      </c>
      <c r="U209">
        <v>251.90199999999999</v>
      </c>
      <c r="V209">
        <f>(T209+U209)/2</f>
        <v>255.70599999999999</v>
      </c>
      <c r="W209">
        <f>T209-U209</f>
        <v>7.6080000000000041</v>
      </c>
      <c r="X209">
        <v>44.416668000000001</v>
      </c>
      <c r="Y209">
        <v>-24</v>
      </c>
      <c r="Z209" t="s">
        <v>99</v>
      </c>
      <c r="AA209" t="s">
        <v>692</v>
      </c>
      <c r="AB209" t="s">
        <v>693</v>
      </c>
      <c r="AD209" t="s">
        <v>694</v>
      </c>
      <c r="AE209" t="s">
        <v>695</v>
      </c>
      <c r="AH209" t="s">
        <v>65</v>
      </c>
      <c r="AI209" t="s">
        <v>696</v>
      </c>
      <c r="AJ209">
        <v>1978</v>
      </c>
      <c r="AK209" t="s">
        <v>697</v>
      </c>
      <c r="AM209" t="s">
        <v>698</v>
      </c>
      <c r="AN209" t="s">
        <v>121</v>
      </c>
      <c r="AO209" t="s">
        <v>330</v>
      </c>
      <c r="AP209" t="s">
        <v>182</v>
      </c>
      <c r="AQ209" t="s">
        <v>699</v>
      </c>
      <c r="AR209" t="s">
        <v>70</v>
      </c>
      <c r="AS209">
        <v>702</v>
      </c>
      <c r="AT209" t="s">
        <v>71</v>
      </c>
      <c r="AU209">
        <v>22.51</v>
      </c>
      <c r="AV209">
        <v>-42.93</v>
      </c>
      <c r="AW209" t="s">
        <v>72</v>
      </c>
      <c r="AX209">
        <v>702</v>
      </c>
      <c r="AY209" t="s">
        <v>71</v>
      </c>
      <c r="AZ209">
        <v>24.25</v>
      </c>
      <c r="BA209">
        <v>-52.74</v>
      </c>
      <c r="BB209" t="s">
        <v>73</v>
      </c>
    </row>
    <row r="210" spans="1:54" x14ac:dyDescent="0.4">
      <c r="A210">
        <v>790204</v>
      </c>
      <c r="D210" t="s">
        <v>246</v>
      </c>
      <c r="E210" t="s">
        <v>55</v>
      </c>
      <c r="G210">
        <v>1</v>
      </c>
      <c r="H210" t="s">
        <v>56</v>
      </c>
      <c r="I210" t="s">
        <v>57</v>
      </c>
      <c r="K210" t="s">
        <v>102</v>
      </c>
      <c r="L210" t="s">
        <v>712</v>
      </c>
      <c r="M210" t="s">
        <v>59</v>
      </c>
      <c r="N210" t="s">
        <v>60</v>
      </c>
      <c r="P210" t="s">
        <v>259</v>
      </c>
      <c r="Q210" t="s">
        <v>502</v>
      </c>
      <c r="R210" t="s">
        <v>260</v>
      </c>
      <c r="S210" t="s">
        <v>98</v>
      </c>
      <c r="T210">
        <v>259.51</v>
      </c>
      <c r="U210">
        <v>251.90199999999999</v>
      </c>
      <c r="V210">
        <f>(T210+U210)/2</f>
        <v>255.70599999999999</v>
      </c>
      <c r="W210">
        <f>T210-U210</f>
        <v>7.6080000000000041</v>
      </c>
      <c r="X210">
        <v>44.416668000000001</v>
      </c>
      <c r="Y210">
        <v>-24</v>
      </c>
      <c r="Z210" t="s">
        <v>99</v>
      </c>
      <c r="AA210" t="s">
        <v>692</v>
      </c>
      <c r="AB210" t="s">
        <v>693</v>
      </c>
      <c r="AD210" t="s">
        <v>694</v>
      </c>
      <c r="AE210" t="s">
        <v>695</v>
      </c>
      <c r="AH210" t="s">
        <v>65</v>
      </c>
      <c r="AI210" t="s">
        <v>696</v>
      </c>
      <c r="AJ210">
        <v>1978</v>
      </c>
      <c r="AK210" t="s">
        <v>697</v>
      </c>
      <c r="AM210" t="s">
        <v>698</v>
      </c>
      <c r="AN210" t="s">
        <v>121</v>
      </c>
      <c r="AO210" t="s">
        <v>330</v>
      </c>
      <c r="AP210" t="s">
        <v>182</v>
      </c>
      <c r="AQ210" t="s">
        <v>699</v>
      </c>
      <c r="AR210" t="s">
        <v>70</v>
      </c>
      <c r="AS210">
        <v>702</v>
      </c>
      <c r="AT210" t="s">
        <v>71</v>
      </c>
      <c r="AU210">
        <v>22.51</v>
      </c>
      <c r="AV210">
        <v>-42.93</v>
      </c>
      <c r="AW210" t="s">
        <v>72</v>
      </c>
      <c r="AX210">
        <v>702</v>
      </c>
      <c r="AY210" t="s">
        <v>71</v>
      </c>
      <c r="AZ210">
        <v>24.25</v>
      </c>
      <c r="BA210">
        <v>-52.74</v>
      </c>
      <c r="BB210" t="s">
        <v>73</v>
      </c>
    </row>
    <row r="211" spans="1:54" x14ac:dyDescent="0.4">
      <c r="A211">
        <v>807814</v>
      </c>
      <c r="D211" t="s">
        <v>566</v>
      </c>
      <c r="G211">
        <v>1</v>
      </c>
      <c r="H211" t="s">
        <v>56</v>
      </c>
      <c r="I211" t="s">
        <v>57</v>
      </c>
      <c r="K211" t="s">
        <v>690</v>
      </c>
      <c r="L211" t="s">
        <v>895</v>
      </c>
      <c r="M211" t="s">
        <v>59</v>
      </c>
      <c r="P211" t="s">
        <v>259</v>
      </c>
      <c r="Q211" t="s">
        <v>502</v>
      </c>
      <c r="R211" t="s">
        <v>260</v>
      </c>
      <c r="S211" t="s">
        <v>98</v>
      </c>
      <c r="T211">
        <v>259.51</v>
      </c>
      <c r="U211">
        <v>251.90199999999999</v>
      </c>
      <c r="V211">
        <f>(T211+U211)/2</f>
        <v>255.70599999999999</v>
      </c>
      <c r="W211">
        <f>T211-U211</f>
        <v>7.6080000000000041</v>
      </c>
      <c r="X211">
        <v>24.549999</v>
      </c>
      <c r="Y211">
        <v>-31.866667</v>
      </c>
      <c r="Z211" t="s">
        <v>99</v>
      </c>
      <c r="AA211" t="s">
        <v>86</v>
      </c>
      <c r="AB211" t="s">
        <v>87</v>
      </c>
      <c r="AC211" t="s">
        <v>562</v>
      </c>
      <c r="AD211" t="s">
        <v>540</v>
      </c>
      <c r="AE211" t="s">
        <v>90</v>
      </c>
      <c r="AG211" t="s">
        <v>567</v>
      </c>
      <c r="AH211" t="s">
        <v>65</v>
      </c>
      <c r="AI211" t="s">
        <v>91</v>
      </c>
      <c r="AJ211">
        <v>1924</v>
      </c>
      <c r="AK211" t="s">
        <v>568</v>
      </c>
      <c r="AM211" t="s">
        <v>569</v>
      </c>
      <c r="AN211" t="s">
        <v>94</v>
      </c>
      <c r="AO211" t="s">
        <v>106</v>
      </c>
      <c r="AP211" t="s">
        <v>182</v>
      </c>
      <c r="AQ211" t="s">
        <v>570</v>
      </c>
      <c r="AR211" t="s">
        <v>70</v>
      </c>
      <c r="AS211">
        <v>701</v>
      </c>
      <c r="AT211" t="s">
        <v>71</v>
      </c>
      <c r="AU211">
        <v>-17.98</v>
      </c>
      <c r="AV211">
        <v>-51.75</v>
      </c>
      <c r="AW211" t="s">
        <v>72</v>
      </c>
      <c r="AX211">
        <v>701</v>
      </c>
      <c r="AY211" t="s">
        <v>71</v>
      </c>
      <c r="AZ211">
        <v>-28.21</v>
      </c>
      <c r="BA211">
        <v>-61.88</v>
      </c>
      <c r="BB211" t="s">
        <v>73</v>
      </c>
    </row>
    <row r="212" spans="1:54" x14ac:dyDescent="0.4">
      <c r="A212">
        <v>807814</v>
      </c>
      <c r="D212" t="s">
        <v>566</v>
      </c>
      <c r="G212">
        <v>1</v>
      </c>
      <c r="H212" t="s">
        <v>56</v>
      </c>
      <c r="I212" t="s">
        <v>57</v>
      </c>
      <c r="K212" t="s">
        <v>690</v>
      </c>
      <c r="L212" t="s">
        <v>895</v>
      </c>
      <c r="M212" t="s">
        <v>59</v>
      </c>
      <c r="P212" t="s">
        <v>259</v>
      </c>
      <c r="Q212" t="s">
        <v>502</v>
      </c>
      <c r="R212" t="s">
        <v>260</v>
      </c>
      <c r="S212" t="s">
        <v>98</v>
      </c>
      <c r="T212">
        <v>259.51</v>
      </c>
      <c r="U212">
        <v>251.90199999999999</v>
      </c>
      <c r="V212">
        <f>(T212+U212)/2</f>
        <v>255.70599999999999</v>
      </c>
      <c r="W212">
        <f>T212-U212</f>
        <v>7.6080000000000041</v>
      </c>
      <c r="X212">
        <v>24.549999</v>
      </c>
      <c r="Y212">
        <v>-31.866667</v>
      </c>
      <c r="Z212" t="s">
        <v>99</v>
      </c>
      <c r="AA212" t="s">
        <v>86</v>
      </c>
      <c r="AB212" t="s">
        <v>87</v>
      </c>
      <c r="AC212" t="s">
        <v>562</v>
      </c>
      <c r="AD212" t="s">
        <v>540</v>
      </c>
      <c r="AE212" t="s">
        <v>90</v>
      </c>
      <c r="AG212" t="s">
        <v>567</v>
      </c>
      <c r="AH212" t="s">
        <v>65</v>
      </c>
      <c r="AI212" t="s">
        <v>91</v>
      </c>
      <c r="AJ212">
        <v>1924</v>
      </c>
      <c r="AK212" t="s">
        <v>568</v>
      </c>
      <c r="AM212" t="s">
        <v>569</v>
      </c>
      <c r="AN212" t="s">
        <v>94</v>
      </c>
      <c r="AO212" t="s">
        <v>106</v>
      </c>
      <c r="AP212" t="s">
        <v>182</v>
      </c>
      <c r="AQ212" t="s">
        <v>570</v>
      </c>
      <c r="AR212" t="s">
        <v>70</v>
      </c>
      <c r="AS212">
        <v>701</v>
      </c>
      <c r="AT212" t="s">
        <v>71</v>
      </c>
      <c r="AU212">
        <v>-17.98</v>
      </c>
      <c r="AV212">
        <v>-51.75</v>
      </c>
      <c r="AW212" t="s">
        <v>72</v>
      </c>
      <c r="AX212">
        <v>701</v>
      </c>
      <c r="AY212" t="s">
        <v>71</v>
      </c>
      <c r="AZ212">
        <v>-28.21</v>
      </c>
      <c r="BA212">
        <v>-61.88</v>
      </c>
      <c r="BB212" t="s">
        <v>73</v>
      </c>
    </row>
    <row r="213" spans="1:54" x14ac:dyDescent="0.4">
      <c r="A213">
        <v>808133</v>
      </c>
      <c r="D213" t="s">
        <v>54</v>
      </c>
      <c r="E213" t="s">
        <v>153</v>
      </c>
      <c r="G213">
        <v>1</v>
      </c>
      <c r="H213" t="s">
        <v>56</v>
      </c>
      <c r="I213" t="s">
        <v>57</v>
      </c>
      <c r="K213" t="s">
        <v>690</v>
      </c>
      <c r="L213" t="s">
        <v>895</v>
      </c>
      <c r="M213" t="s">
        <v>59</v>
      </c>
      <c r="P213" t="s">
        <v>259</v>
      </c>
      <c r="Q213" t="s">
        <v>502</v>
      </c>
      <c r="R213" t="s">
        <v>260</v>
      </c>
      <c r="S213" t="s">
        <v>98</v>
      </c>
      <c r="T213">
        <v>259.51</v>
      </c>
      <c r="U213">
        <v>251.90199999999999</v>
      </c>
      <c r="V213">
        <f>(T213+U213)/2</f>
        <v>255.70599999999999</v>
      </c>
      <c r="W213">
        <f>T213-U213</f>
        <v>7.6080000000000041</v>
      </c>
      <c r="X213">
        <v>23.863333000000001</v>
      </c>
      <c r="Y213">
        <v>-32.104168000000001</v>
      </c>
      <c r="Z213" t="s">
        <v>126</v>
      </c>
      <c r="AA213" t="s">
        <v>86</v>
      </c>
      <c r="AB213" t="s">
        <v>170</v>
      </c>
      <c r="AC213" t="s">
        <v>559</v>
      </c>
      <c r="AD213" t="s">
        <v>540</v>
      </c>
      <c r="AE213" t="s">
        <v>90</v>
      </c>
      <c r="AG213" t="s">
        <v>896</v>
      </c>
      <c r="AH213" t="s">
        <v>65</v>
      </c>
      <c r="AI213" t="s">
        <v>897</v>
      </c>
      <c r="AJ213">
        <v>1937</v>
      </c>
      <c r="AK213" t="s">
        <v>898</v>
      </c>
      <c r="AM213" t="s">
        <v>899</v>
      </c>
      <c r="AN213" t="s">
        <v>177</v>
      </c>
      <c r="AO213" t="s">
        <v>68</v>
      </c>
      <c r="AP213" t="s">
        <v>69</v>
      </c>
      <c r="AQ213" t="s">
        <v>900</v>
      </c>
      <c r="AR213" t="s">
        <v>70</v>
      </c>
      <c r="AS213">
        <v>701</v>
      </c>
      <c r="AT213" t="s">
        <v>71</v>
      </c>
      <c r="AU213">
        <v>-18.78</v>
      </c>
      <c r="AV213">
        <v>-51.37</v>
      </c>
      <c r="AW213" t="s">
        <v>72</v>
      </c>
      <c r="AX213">
        <v>701</v>
      </c>
      <c r="AY213" t="s">
        <v>71</v>
      </c>
      <c r="AZ213">
        <v>-29.16</v>
      </c>
      <c r="BA213">
        <v>-61.44</v>
      </c>
      <c r="BB213" t="s">
        <v>73</v>
      </c>
    </row>
    <row r="214" spans="1:54" x14ac:dyDescent="0.4">
      <c r="A214">
        <v>816641</v>
      </c>
      <c r="D214" t="s">
        <v>54</v>
      </c>
      <c r="G214">
        <v>1</v>
      </c>
      <c r="H214" t="s">
        <v>56</v>
      </c>
      <c r="I214" t="s">
        <v>57</v>
      </c>
      <c r="K214" t="s">
        <v>551</v>
      </c>
      <c r="L214" t="s">
        <v>571</v>
      </c>
      <c r="M214" t="s">
        <v>59</v>
      </c>
      <c r="P214" t="s">
        <v>259</v>
      </c>
      <c r="Q214" t="s">
        <v>502</v>
      </c>
      <c r="R214" t="s">
        <v>260</v>
      </c>
      <c r="S214" t="s">
        <v>98</v>
      </c>
      <c r="T214">
        <v>259.51</v>
      </c>
      <c r="U214">
        <v>251.90199999999999</v>
      </c>
      <c r="V214">
        <f>(T214+U214)/2</f>
        <v>255.70599999999999</v>
      </c>
      <c r="W214">
        <f>T214-U214</f>
        <v>7.6080000000000041</v>
      </c>
      <c r="X214">
        <v>23.766666000000001</v>
      </c>
      <c r="Y214">
        <v>-31.950001</v>
      </c>
      <c r="Z214" t="s">
        <v>99</v>
      </c>
      <c r="AA214" t="s">
        <v>86</v>
      </c>
      <c r="AB214" t="s">
        <v>170</v>
      </c>
      <c r="AC214" t="s">
        <v>559</v>
      </c>
      <c r="AD214" t="s">
        <v>540</v>
      </c>
      <c r="AE214" t="s">
        <v>90</v>
      </c>
      <c r="AG214" t="s">
        <v>553</v>
      </c>
      <c r="AH214" t="s">
        <v>11</v>
      </c>
      <c r="AI214" t="s">
        <v>554</v>
      </c>
      <c r="AJ214">
        <v>1972</v>
      </c>
      <c r="AK214" t="s">
        <v>560</v>
      </c>
      <c r="AN214" t="s">
        <v>94</v>
      </c>
      <c r="AO214" t="s">
        <v>106</v>
      </c>
      <c r="AP214" t="s">
        <v>69</v>
      </c>
      <c r="AQ214" t="s">
        <v>561</v>
      </c>
      <c r="AR214" t="s">
        <v>70</v>
      </c>
      <c r="AS214">
        <v>701</v>
      </c>
      <c r="AT214" t="s">
        <v>71</v>
      </c>
      <c r="AU214">
        <v>-18.63</v>
      </c>
      <c r="AV214">
        <v>-51.22</v>
      </c>
      <c r="AW214" t="s">
        <v>72</v>
      </c>
      <c r="AX214">
        <v>701</v>
      </c>
      <c r="AY214" t="s">
        <v>71</v>
      </c>
      <c r="AZ214">
        <v>-28.93</v>
      </c>
      <c r="BA214">
        <v>-61.3</v>
      </c>
      <c r="BB214" t="s">
        <v>73</v>
      </c>
    </row>
    <row r="215" spans="1:54" x14ac:dyDescent="0.4">
      <c r="A215">
        <v>816651</v>
      </c>
      <c r="D215" t="s">
        <v>108</v>
      </c>
      <c r="G215">
        <v>1</v>
      </c>
      <c r="H215" t="s">
        <v>56</v>
      </c>
      <c r="I215" t="s">
        <v>57</v>
      </c>
      <c r="K215" t="s">
        <v>551</v>
      </c>
      <c r="L215" t="s">
        <v>558</v>
      </c>
      <c r="M215" t="s">
        <v>59</v>
      </c>
      <c r="P215" t="s">
        <v>259</v>
      </c>
      <c r="Q215" t="s">
        <v>502</v>
      </c>
      <c r="R215" t="s">
        <v>260</v>
      </c>
      <c r="S215" t="s">
        <v>98</v>
      </c>
      <c r="T215">
        <v>259.51</v>
      </c>
      <c r="U215">
        <v>251.90199999999999</v>
      </c>
      <c r="V215">
        <f>(T215+U215)/2</f>
        <v>255.70599999999999</v>
      </c>
      <c r="W215">
        <f>T215-U215</f>
        <v>7.6080000000000041</v>
      </c>
      <c r="X215">
        <v>23.894444</v>
      </c>
      <c r="Y215">
        <v>-32.152779000000002</v>
      </c>
      <c r="Z215" t="s">
        <v>99</v>
      </c>
      <c r="AA215" t="s">
        <v>86</v>
      </c>
      <c r="AB215" t="s">
        <v>170</v>
      </c>
      <c r="AC215" t="s">
        <v>559</v>
      </c>
      <c r="AD215" t="s">
        <v>540</v>
      </c>
      <c r="AE215" t="s">
        <v>90</v>
      </c>
      <c r="AG215" t="s">
        <v>553</v>
      </c>
      <c r="AH215" t="s">
        <v>65</v>
      </c>
      <c r="AI215" t="s">
        <v>554</v>
      </c>
      <c r="AJ215">
        <v>1972</v>
      </c>
      <c r="AK215" t="s">
        <v>985</v>
      </c>
      <c r="AN215" t="s">
        <v>94</v>
      </c>
      <c r="AO215" t="s">
        <v>68</v>
      </c>
      <c r="AP215" t="s">
        <v>69</v>
      </c>
      <c r="AQ215" t="s">
        <v>986</v>
      </c>
      <c r="AR215" t="s">
        <v>70</v>
      </c>
      <c r="AS215">
        <v>701</v>
      </c>
      <c r="AT215" t="s">
        <v>71</v>
      </c>
      <c r="AU215">
        <v>-18.829999999999998</v>
      </c>
      <c r="AV215">
        <v>-51.42</v>
      </c>
      <c r="AW215" t="s">
        <v>72</v>
      </c>
      <c r="AX215">
        <v>701</v>
      </c>
      <c r="AY215" t="s">
        <v>71</v>
      </c>
      <c r="AZ215">
        <v>-29.23</v>
      </c>
      <c r="BA215">
        <v>-61.48</v>
      </c>
      <c r="BB215" t="s">
        <v>73</v>
      </c>
    </row>
    <row r="216" spans="1:54" x14ac:dyDescent="0.4">
      <c r="A216">
        <v>816682</v>
      </c>
      <c r="D216" t="s">
        <v>54</v>
      </c>
      <c r="E216" t="s">
        <v>55</v>
      </c>
      <c r="G216">
        <v>1</v>
      </c>
      <c r="H216" t="s">
        <v>56</v>
      </c>
      <c r="I216" t="s">
        <v>57</v>
      </c>
      <c r="K216" t="s">
        <v>551</v>
      </c>
      <c r="L216" t="s">
        <v>571</v>
      </c>
      <c r="M216" t="s">
        <v>59</v>
      </c>
      <c r="P216" t="s">
        <v>259</v>
      </c>
      <c r="Q216" t="s">
        <v>502</v>
      </c>
      <c r="R216" t="s">
        <v>260</v>
      </c>
      <c r="S216" t="s">
        <v>98</v>
      </c>
      <c r="T216">
        <v>259.51</v>
      </c>
      <c r="U216">
        <v>251.90199999999999</v>
      </c>
      <c r="V216">
        <f>(T216+U216)/2</f>
        <v>255.70599999999999</v>
      </c>
      <c r="W216">
        <f>T216-U216</f>
        <v>7.6080000000000041</v>
      </c>
      <c r="X216">
        <v>24.192778000000001</v>
      </c>
      <c r="Y216">
        <v>-32.060833000000002</v>
      </c>
      <c r="Z216" t="s">
        <v>99</v>
      </c>
      <c r="AA216" t="s">
        <v>86</v>
      </c>
      <c r="AB216" t="s">
        <v>87</v>
      </c>
      <c r="AC216" t="s">
        <v>562</v>
      </c>
      <c r="AD216" t="s">
        <v>540</v>
      </c>
      <c r="AE216" t="s">
        <v>90</v>
      </c>
      <c r="AG216" t="s">
        <v>553</v>
      </c>
      <c r="AH216" t="s">
        <v>65</v>
      </c>
      <c r="AI216" t="s">
        <v>554</v>
      </c>
      <c r="AJ216">
        <v>1972</v>
      </c>
      <c r="AK216" t="s">
        <v>987</v>
      </c>
      <c r="AM216" t="s">
        <v>988</v>
      </c>
      <c r="AN216" t="s">
        <v>94</v>
      </c>
      <c r="AO216" t="s">
        <v>68</v>
      </c>
      <c r="AP216" t="s">
        <v>69</v>
      </c>
      <c r="AQ216" t="s">
        <v>989</v>
      </c>
      <c r="AR216" t="s">
        <v>70</v>
      </c>
      <c r="AS216">
        <v>701</v>
      </c>
      <c r="AT216" t="s">
        <v>71</v>
      </c>
      <c r="AU216">
        <v>-18.5</v>
      </c>
      <c r="AV216">
        <v>-51.59</v>
      </c>
      <c r="AW216" t="s">
        <v>72</v>
      </c>
      <c r="AX216">
        <v>701</v>
      </c>
      <c r="AY216" t="s">
        <v>71</v>
      </c>
      <c r="AZ216">
        <v>-28.84</v>
      </c>
      <c r="BA216">
        <v>-61.68</v>
      </c>
      <c r="BB216" t="s">
        <v>73</v>
      </c>
    </row>
    <row r="217" spans="1:54" x14ac:dyDescent="0.4">
      <c r="A217">
        <v>833324</v>
      </c>
      <c r="D217" t="s">
        <v>54</v>
      </c>
      <c r="G217">
        <v>1</v>
      </c>
      <c r="H217" t="s">
        <v>228</v>
      </c>
      <c r="I217" t="s">
        <v>57</v>
      </c>
      <c r="K217" t="s">
        <v>102</v>
      </c>
      <c r="L217" t="s">
        <v>712</v>
      </c>
      <c r="M217" t="s">
        <v>59</v>
      </c>
      <c r="N217" t="s">
        <v>60</v>
      </c>
      <c r="P217" t="s">
        <v>259</v>
      </c>
      <c r="Q217" t="s">
        <v>502</v>
      </c>
      <c r="R217" t="s">
        <v>260</v>
      </c>
      <c r="S217" t="s">
        <v>98</v>
      </c>
      <c r="T217">
        <v>259.51</v>
      </c>
      <c r="U217">
        <v>251.90199999999999</v>
      </c>
      <c r="V217">
        <f>(T217+U217)/2</f>
        <v>255.70599999999999</v>
      </c>
      <c r="W217">
        <f>T217-U217</f>
        <v>7.6080000000000041</v>
      </c>
      <c r="X217">
        <v>45.412497999999999</v>
      </c>
      <c r="Y217">
        <v>-22.558332</v>
      </c>
      <c r="Z217" t="s">
        <v>702</v>
      </c>
      <c r="AA217" t="s">
        <v>692</v>
      </c>
      <c r="AB217" t="s">
        <v>703</v>
      </c>
      <c r="AD217" t="s">
        <v>694</v>
      </c>
      <c r="AE217" t="s">
        <v>695</v>
      </c>
      <c r="AH217" t="s">
        <v>11</v>
      </c>
      <c r="AI217" t="s">
        <v>696</v>
      </c>
      <c r="AJ217">
        <v>1981</v>
      </c>
      <c r="AK217" t="s">
        <v>709</v>
      </c>
      <c r="AM217" t="s">
        <v>710</v>
      </c>
      <c r="AN217" t="s">
        <v>94</v>
      </c>
      <c r="AO217" t="s">
        <v>68</v>
      </c>
      <c r="AP217" t="s">
        <v>69</v>
      </c>
      <c r="AQ217" t="s">
        <v>711</v>
      </c>
      <c r="AR217" t="s">
        <v>70</v>
      </c>
      <c r="AS217">
        <v>702</v>
      </c>
      <c r="AT217" t="s">
        <v>71</v>
      </c>
      <c r="AU217">
        <v>24.81</v>
      </c>
      <c r="AV217">
        <v>-42.64</v>
      </c>
      <c r="AW217" t="s">
        <v>72</v>
      </c>
      <c r="AX217">
        <v>702</v>
      </c>
      <c r="AY217" t="s">
        <v>71</v>
      </c>
      <c r="AZ217">
        <v>26.89</v>
      </c>
      <c r="BA217">
        <v>-52.18</v>
      </c>
      <c r="BB217" t="s">
        <v>73</v>
      </c>
    </row>
    <row r="218" spans="1:54" x14ac:dyDescent="0.4">
      <c r="A218">
        <v>833385</v>
      </c>
      <c r="D218" t="s">
        <v>246</v>
      </c>
      <c r="G218">
        <v>1</v>
      </c>
      <c r="H218" t="s">
        <v>56</v>
      </c>
      <c r="I218" t="s">
        <v>57</v>
      </c>
      <c r="K218" t="s">
        <v>537</v>
      </c>
      <c r="L218" t="s">
        <v>1062</v>
      </c>
      <c r="M218" t="s">
        <v>59</v>
      </c>
      <c r="P218" t="s">
        <v>259</v>
      </c>
      <c r="Q218" t="s">
        <v>502</v>
      </c>
      <c r="R218" t="s">
        <v>260</v>
      </c>
      <c r="S218" t="s">
        <v>98</v>
      </c>
      <c r="T218">
        <v>259.51</v>
      </c>
      <c r="U218">
        <v>251.90199999999999</v>
      </c>
      <c r="V218">
        <f>(T218+U218)/2</f>
        <v>255.70599999999999</v>
      </c>
      <c r="W218">
        <f>T218-U218</f>
        <v>7.6080000000000041</v>
      </c>
      <c r="X218">
        <v>45.412497999999999</v>
      </c>
      <c r="Y218">
        <v>-22.558332</v>
      </c>
      <c r="Z218" t="s">
        <v>702</v>
      </c>
      <c r="AA218" t="s">
        <v>692</v>
      </c>
      <c r="AB218" t="s">
        <v>703</v>
      </c>
      <c r="AD218" t="s">
        <v>694</v>
      </c>
      <c r="AE218" t="s">
        <v>695</v>
      </c>
      <c r="AH218" t="s">
        <v>65</v>
      </c>
      <c r="AI218" t="s">
        <v>1063</v>
      </c>
      <c r="AJ218">
        <v>1955</v>
      </c>
      <c r="AK218" t="s">
        <v>1064</v>
      </c>
      <c r="AM218" t="s">
        <v>1065</v>
      </c>
      <c r="AN218" t="s">
        <v>94</v>
      </c>
      <c r="AO218" t="s">
        <v>68</v>
      </c>
      <c r="AP218" t="s">
        <v>95</v>
      </c>
      <c r="AQ218" t="s">
        <v>1066</v>
      </c>
      <c r="AR218" t="s">
        <v>70</v>
      </c>
      <c r="AS218">
        <v>702</v>
      </c>
      <c r="AT218" t="s">
        <v>71</v>
      </c>
      <c r="AU218">
        <v>24.81</v>
      </c>
      <c r="AV218">
        <v>-42.64</v>
      </c>
      <c r="AW218" t="s">
        <v>72</v>
      </c>
      <c r="AX218">
        <v>702</v>
      </c>
      <c r="AY218" t="s">
        <v>71</v>
      </c>
      <c r="AZ218">
        <v>26.89</v>
      </c>
      <c r="BA218">
        <v>-52.18</v>
      </c>
      <c r="BB218" t="s">
        <v>73</v>
      </c>
    </row>
    <row r="219" spans="1:54" x14ac:dyDescent="0.4">
      <c r="A219">
        <v>833385</v>
      </c>
      <c r="D219" t="s">
        <v>246</v>
      </c>
      <c r="G219">
        <v>1</v>
      </c>
      <c r="H219" t="s">
        <v>56</v>
      </c>
      <c r="I219" t="s">
        <v>57</v>
      </c>
      <c r="K219" t="s">
        <v>537</v>
      </c>
      <c r="L219" t="s">
        <v>1062</v>
      </c>
      <c r="M219" t="s">
        <v>59</v>
      </c>
      <c r="P219" t="s">
        <v>259</v>
      </c>
      <c r="Q219" t="s">
        <v>502</v>
      </c>
      <c r="R219" t="s">
        <v>260</v>
      </c>
      <c r="S219" t="s">
        <v>98</v>
      </c>
      <c r="T219">
        <v>259.51</v>
      </c>
      <c r="U219">
        <v>251.90199999999999</v>
      </c>
      <c r="V219">
        <f>(T219+U219)/2</f>
        <v>255.70599999999999</v>
      </c>
      <c r="W219">
        <f>T219-U219</f>
        <v>7.6080000000000041</v>
      </c>
      <c r="X219">
        <v>45.412497999999999</v>
      </c>
      <c r="Y219">
        <v>-22.558332</v>
      </c>
      <c r="Z219" t="s">
        <v>702</v>
      </c>
      <c r="AA219" t="s">
        <v>692</v>
      </c>
      <c r="AB219" t="s">
        <v>703</v>
      </c>
      <c r="AD219" t="s">
        <v>694</v>
      </c>
      <c r="AE219" t="s">
        <v>695</v>
      </c>
      <c r="AH219" t="s">
        <v>65</v>
      </c>
      <c r="AI219" t="s">
        <v>1063</v>
      </c>
      <c r="AJ219">
        <v>1955</v>
      </c>
      <c r="AK219" t="s">
        <v>1064</v>
      </c>
      <c r="AM219" t="s">
        <v>1065</v>
      </c>
      <c r="AN219" t="s">
        <v>94</v>
      </c>
      <c r="AO219" t="s">
        <v>68</v>
      </c>
      <c r="AP219" t="s">
        <v>95</v>
      </c>
      <c r="AQ219" t="s">
        <v>1066</v>
      </c>
      <c r="AR219" t="s">
        <v>70</v>
      </c>
      <c r="AS219">
        <v>702</v>
      </c>
      <c r="AT219" t="s">
        <v>71</v>
      </c>
      <c r="AU219">
        <v>24.81</v>
      </c>
      <c r="AV219">
        <v>-42.64</v>
      </c>
      <c r="AW219" t="s">
        <v>72</v>
      </c>
      <c r="AX219">
        <v>702</v>
      </c>
      <c r="AY219" t="s">
        <v>71</v>
      </c>
      <c r="AZ219">
        <v>26.89</v>
      </c>
      <c r="BA219">
        <v>-52.18</v>
      </c>
      <c r="BB219" t="s">
        <v>73</v>
      </c>
    </row>
    <row r="220" spans="1:54" x14ac:dyDescent="0.4">
      <c r="A220">
        <v>833385</v>
      </c>
      <c r="D220" t="s">
        <v>246</v>
      </c>
      <c r="G220">
        <v>1</v>
      </c>
      <c r="H220" t="s">
        <v>56</v>
      </c>
      <c r="I220" t="s">
        <v>57</v>
      </c>
      <c r="K220" t="s">
        <v>537</v>
      </c>
      <c r="L220" t="s">
        <v>1062</v>
      </c>
      <c r="M220" t="s">
        <v>59</v>
      </c>
      <c r="P220" t="s">
        <v>259</v>
      </c>
      <c r="Q220" t="s">
        <v>502</v>
      </c>
      <c r="R220" t="s">
        <v>260</v>
      </c>
      <c r="S220" t="s">
        <v>98</v>
      </c>
      <c r="T220">
        <v>259.51</v>
      </c>
      <c r="U220">
        <v>251.90199999999999</v>
      </c>
      <c r="V220">
        <f>(T220+U220)/2</f>
        <v>255.70599999999999</v>
      </c>
      <c r="W220">
        <f>T220-U220</f>
        <v>7.6080000000000041</v>
      </c>
      <c r="X220">
        <v>45.412497999999999</v>
      </c>
      <c r="Y220">
        <v>-22.558332</v>
      </c>
      <c r="Z220" t="s">
        <v>702</v>
      </c>
      <c r="AA220" t="s">
        <v>692</v>
      </c>
      <c r="AB220" t="s">
        <v>703</v>
      </c>
      <c r="AD220" t="s">
        <v>694</v>
      </c>
      <c r="AE220" t="s">
        <v>695</v>
      </c>
      <c r="AH220" t="s">
        <v>65</v>
      </c>
      <c r="AI220" t="s">
        <v>1063</v>
      </c>
      <c r="AJ220">
        <v>1955</v>
      </c>
      <c r="AK220" t="s">
        <v>1064</v>
      </c>
      <c r="AM220" t="s">
        <v>1065</v>
      </c>
      <c r="AN220" t="s">
        <v>94</v>
      </c>
      <c r="AO220" t="s">
        <v>68</v>
      </c>
      <c r="AP220" t="s">
        <v>95</v>
      </c>
      <c r="AQ220" t="s">
        <v>1066</v>
      </c>
      <c r="AR220" t="s">
        <v>70</v>
      </c>
      <c r="AS220">
        <v>702</v>
      </c>
      <c r="AT220" t="s">
        <v>71</v>
      </c>
      <c r="AU220">
        <v>24.81</v>
      </c>
      <c r="AV220">
        <v>-42.64</v>
      </c>
      <c r="AW220" t="s">
        <v>72</v>
      </c>
      <c r="AX220">
        <v>702</v>
      </c>
      <c r="AY220" t="s">
        <v>71</v>
      </c>
      <c r="AZ220">
        <v>26.89</v>
      </c>
      <c r="BA220">
        <v>-52.18</v>
      </c>
      <c r="BB220" t="s">
        <v>73</v>
      </c>
    </row>
    <row r="221" spans="1:54" x14ac:dyDescent="0.4">
      <c r="A221">
        <v>833385</v>
      </c>
      <c r="D221" t="s">
        <v>246</v>
      </c>
      <c r="G221">
        <v>1</v>
      </c>
      <c r="H221" t="s">
        <v>56</v>
      </c>
      <c r="I221" t="s">
        <v>57</v>
      </c>
      <c r="K221" t="s">
        <v>537</v>
      </c>
      <c r="L221" t="s">
        <v>1062</v>
      </c>
      <c r="M221" t="s">
        <v>59</v>
      </c>
      <c r="P221" t="s">
        <v>259</v>
      </c>
      <c r="Q221" t="s">
        <v>502</v>
      </c>
      <c r="R221" t="s">
        <v>260</v>
      </c>
      <c r="S221" t="s">
        <v>98</v>
      </c>
      <c r="T221">
        <v>259.51</v>
      </c>
      <c r="U221">
        <v>251.90199999999999</v>
      </c>
      <c r="V221">
        <f>(T221+U221)/2</f>
        <v>255.70599999999999</v>
      </c>
      <c r="W221">
        <f>T221-U221</f>
        <v>7.6080000000000041</v>
      </c>
      <c r="X221">
        <v>45.412497999999999</v>
      </c>
      <c r="Y221">
        <v>-22.558332</v>
      </c>
      <c r="Z221" t="s">
        <v>702</v>
      </c>
      <c r="AA221" t="s">
        <v>692</v>
      </c>
      <c r="AB221" t="s">
        <v>703</v>
      </c>
      <c r="AD221" t="s">
        <v>694</v>
      </c>
      <c r="AE221" t="s">
        <v>695</v>
      </c>
      <c r="AH221" t="s">
        <v>65</v>
      </c>
      <c r="AI221" t="s">
        <v>1063</v>
      </c>
      <c r="AJ221">
        <v>1955</v>
      </c>
      <c r="AK221" t="s">
        <v>1064</v>
      </c>
      <c r="AM221" t="s">
        <v>1065</v>
      </c>
      <c r="AN221" t="s">
        <v>94</v>
      </c>
      <c r="AO221" t="s">
        <v>68</v>
      </c>
      <c r="AP221" t="s">
        <v>95</v>
      </c>
      <c r="AQ221" t="s">
        <v>1066</v>
      </c>
      <c r="AR221" t="s">
        <v>70</v>
      </c>
      <c r="AS221">
        <v>702</v>
      </c>
      <c r="AT221" t="s">
        <v>71</v>
      </c>
      <c r="AU221">
        <v>24.81</v>
      </c>
      <c r="AV221">
        <v>-42.64</v>
      </c>
      <c r="AW221" t="s">
        <v>72</v>
      </c>
      <c r="AX221">
        <v>702</v>
      </c>
      <c r="AY221" t="s">
        <v>71</v>
      </c>
      <c r="AZ221">
        <v>26.89</v>
      </c>
      <c r="BA221">
        <v>-52.18</v>
      </c>
      <c r="BB221" t="s">
        <v>73</v>
      </c>
    </row>
    <row r="222" spans="1:54" x14ac:dyDescent="0.4">
      <c r="A222">
        <v>833385</v>
      </c>
      <c r="D222" t="s">
        <v>246</v>
      </c>
      <c r="G222">
        <v>1</v>
      </c>
      <c r="H222" t="s">
        <v>56</v>
      </c>
      <c r="I222" t="s">
        <v>57</v>
      </c>
      <c r="K222" t="s">
        <v>537</v>
      </c>
      <c r="L222" t="s">
        <v>1062</v>
      </c>
      <c r="M222" t="s">
        <v>59</v>
      </c>
      <c r="P222" t="s">
        <v>259</v>
      </c>
      <c r="Q222" t="s">
        <v>502</v>
      </c>
      <c r="R222" t="s">
        <v>260</v>
      </c>
      <c r="S222" t="s">
        <v>98</v>
      </c>
      <c r="T222">
        <v>259.51</v>
      </c>
      <c r="U222">
        <v>251.90199999999999</v>
      </c>
      <c r="V222">
        <f>(T222+U222)/2</f>
        <v>255.70599999999999</v>
      </c>
      <c r="W222">
        <f>T222-U222</f>
        <v>7.6080000000000041</v>
      </c>
      <c r="X222">
        <v>45.412497999999999</v>
      </c>
      <c r="Y222">
        <v>-22.558332</v>
      </c>
      <c r="Z222" t="s">
        <v>702</v>
      </c>
      <c r="AA222" t="s">
        <v>692</v>
      </c>
      <c r="AB222" t="s">
        <v>703</v>
      </c>
      <c r="AD222" t="s">
        <v>694</v>
      </c>
      <c r="AE222" t="s">
        <v>695</v>
      </c>
      <c r="AH222" t="s">
        <v>65</v>
      </c>
      <c r="AI222" t="s">
        <v>1063</v>
      </c>
      <c r="AJ222">
        <v>1955</v>
      </c>
      <c r="AK222" t="s">
        <v>1064</v>
      </c>
      <c r="AM222" t="s">
        <v>1065</v>
      </c>
      <c r="AN222" t="s">
        <v>94</v>
      </c>
      <c r="AO222" t="s">
        <v>68</v>
      </c>
      <c r="AP222" t="s">
        <v>95</v>
      </c>
      <c r="AQ222" t="s">
        <v>1066</v>
      </c>
      <c r="AR222" t="s">
        <v>70</v>
      </c>
      <c r="AS222">
        <v>702</v>
      </c>
      <c r="AT222" t="s">
        <v>71</v>
      </c>
      <c r="AU222">
        <v>24.81</v>
      </c>
      <c r="AV222">
        <v>-42.64</v>
      </c>
      <c r="AW222" t="s">
        <v>72</v>
      </c>
      <c r="AX222">
        <v>702</v>
      </c>
      <c r="AY222" t="s">
        <v>71</v>
      </c>
      <c r="AZ222">
        <v>26.89</v>
      </c>
      <c r="BA222">
        <v>-52.18</v>
      </c>
      <c r="BB222" t="s">
        <v>73</v>
      </c>
    </row>
    <row r="223" spans="1:54" x14ac:dyDescent="0.4">
      <c r="A223">
        <v>833385</v>
      </c>
      <c r="D223" t="s">
        <v>246</v>
      </c>
      <c r="G223">
        <v>1</v>
      </c>
      <c r="H223" t="s">
        <v>56</v>
      </c>
      <c r="I223" t="s">
        <v>57</v>
      </c>
      <c r="K223" t="s">
        <v>537</v>
      </c>
      <c r="L223" t="s">
        <v>1062</v>
      </c>
      <c r="M223" t="s">
        <v>59</v>
      </c>
      <c r="P223" t="s">
        <v>259</v>
      </c>
      <c r="Q223" t="s">
        <v>502</v>
      </c>
      <c r="R223" t="s">
        <v>260</v>
      </c>
      <c r="S223" t="s">
        <v>98</v>
      </c>
      <c r="T223">
        <v>259.51</v>
      </c>
      <c r="U223">
        <v>251.90199999999999</v>
      </c>
      <c r="V223">
        <f>(T223+U223)/2</f>
        <v>255.70599999999999</v>
      </c>
      <c r="W223">
        <f>T223-U223</f>
        <v>7.6080000000000041</v>
      </c>
      <c r="X223">
        <v>45.412497999999999</v>
      </c>
      <c r="Y223">
        <v>-22.558332</v>
      </c>
      <c r="Z223" t="s">
        <v>702</v>
      </c>
      <c r="AA223" t="s">
        <v>692</v>
      </c>
      <c r="AB223" t="s">
        <v>703</v>
      </c>
      <c r="AD223" t="s">
        <v>694</v>
      </c>
      <c r="AE223" t="s">
        <v>695</v>
      </c>
      <c r="AH223" t="s">
        <v>65</v>
      </c>
      <c r="AI223" t="s">
        <v>1063</v>
      </c>
      <c r="AJ223">
        <v>1955</v>
      </c>
      <c r="AK223" t="s">
        <v>1064</v>
      </c>
      <c r="AM223" t="s">
        <v>1065</v>
      </c>
      <c r="AN223" t="s">
        <v>94</v>
      </c>
      <c r="AO223" t="s">
        <v>68</v>
      </c>
      <c r="AP223" t="s">
        <v>95</v>
      </c>
      <c r="AQ223" t="s">
        <v>1066</v>
      </c>
      <c r="AR223" t="s">
        <v>70</v>
      </c>
      <c r="AS223">
        <v>702</v>
      </c>
      <c r="AT223" t="s">
        <v>71</v>
      </c>
      <c r="AU223">
        <v>24.81</v>
      </c>
      <c r="AV223">
        <v>-42.64</v>
      </c>
      <c r="AW223" t="s">
        <v>72</v>
      </c>
      <c r="AX223">
        <v>702</v>
      </c>
      <c r="AY223" t="s">
        <v>71</v>
      </c>
      <c r="AZ223">
        <v>26.89</v>
      </c>
      <c r="BA223">
        <v>-52.18</v>
      </c>
      <c r="BB223" t="s">
        <v>73</v>
      </c>
    </row>
    <row r="224" spans="1:54" x14ac:dyDescent="0.4">
      <c r="A224">
        <v>833385</v>
      </c>
      <c r="D224" t="s">
        <v>246</v>
      </c>
      <c r="G224">
        <v>1</v>
      </c>
      <c r="H224" t="s">
        <v>56</v>
      </c>
      <c r="I224" t="s">
        <v>57</v>
      </c>
      <c r="K224" t="s">
        <v>537</v>
      </c>
      <c r="L224" t="s">
        <v>1062</v>
      </c>
      <c r="M224" t="s">
        <v>59</v>
      </c>
      <c r="P224" t="s">
        <v>259</v>
      </c>
      <c r="Q224" t="s">
        <v>502</v>
      </c>
      <c r="R224" t="s">
        <v>260</v>
      </c>
      <c r="S224" t="s">
        <v>98</v>
      </c>
      <c r="T224">
        <v>259.51</v>
      </c>
      <c r="U224">
        <v>251.90199999999999</v>
      </c>
      <c r="V224">
        <f>(T224+U224)/2</f>
        <v>255.70599999999999</v>
      </c>
      <c r="W224">
        <f>T224-U224</f>
        <v>7.6080000000000041</v>
      </c>
      <c r="X224">
        <v>45.412497999999999</v>
      </c>
      <c r="Y224">
        <v>-22.558332</v>
      </c>
      <c r="Z224" t="s">
        <v>702</v>
      </c>
      <c r="AA224" t="s">
        <v>692</v>
      </c>
      <c r="AB224" t="s">
        <v>703</v>
      </c>
      <c r="AD224" t="s">
        <v>694</v>
      </c>
      <c r="AE224" t="s">
        <v>695</v>
      </c>
      <c r="AH224" t="s">
        <v>65</v>
      </c>
      <c r="AI224" t="s">
        <v>1063</v>
      </c>
      <c r="AJ224">
        <v>1955</v>
      </c>
      <c r="AK224" t="s">
        <v>1064</v>
      </c>
      <c r="AM224" t="s">
        <v>1065</v>
      </c>
      <c r="AN224" t="s">
        <v>94</v>
      </c>
      <c r="AO224" t="s">
        <v>68</v>
      </c>
      <c r="AP224" t="s">
        <v>95</v>
      </c>
      <c r="AQ224" t="s">
        <v>1066</v>
      </c>
      <c r="AR224" t="s">
        <v>70</v>
      </c>
      <c r="AS224">
        <v>702</v>
      </c>
      <c r="AT224" t="s">
        <v>71</v>
      </c>
      <c r="AU224">
        <v>24.81</v>
      </c>
      <c r="AV224">
        <v>-42.64</v>
      </c>
      <c r="AW224" t="s">
        <v>72</v>
      </c>
      <c r="AX224">
        <v>702</v>
      </c>
      <c r="AY224" t="s">
        <v>71</v>
      </c>
      <c r="AZ224">
        <v>26.89</v>
      </c>
      <c r="BA224">
        <v>-52.18</v>
      </c>
      <c r="BB224" t="s">
        <v>73</v>
      </c>
    </row>
    <row r="225" spans="1:54" x14ac:dyDescent="0.4">
      <c r="A225">
        <v>833385</v>
      </c>
      <c r="D225" t="s">
        <v>246</v>
      </c>
      <c r="G225">
        <v>1</v>
      </c>
      <c r="H225" t="s">
        <v>56</v>
      </c>
      <c r="I225" t="s">
        <v>57</v>
      </c>
      <c r="K225" t="s">
        <v>537</v>
      </c>
      <c r="L225" t="s">
        <v>1062</v>
      </c>
      <c r="M225" t="s">
        <v>59</v>
      </c>
      <c r="P225" t="s">
        <v>259</v>
      </c>
      <c r="Q225" t="s">
        <v>502</v>
      </c>
      <c r="R225" t="s">
        <v>260</v>
      </c>
      <c r="S225" t="s">
        <v>98</v>
      </c>
      <c r="T225">
        <v>259.51</v>
      </c>
      <c r="U225">
        <v>251.90199999999999</v>
      </c>
      <c r="V225">
        <f>(T225+U225)/2</f>
        <v>255.70599999999999</v>
      </c>
      <c r="W225">
        <f>T225-U225</f>
        <v>7.6080000000000041</v>
      </c>
      <c r="X225">
        <v>45.412497999999999</v>
      </c>
      <c r="Y225">
        <v>-22.558332</v>
      </c>
      <c r="Z225" t="s">
        <v>702</v>
      </c>
      <c r="AA225" t="s">
        <v>692</v>
      </c>
      <c r="AB225" t="s">
        <v>703</v>
      </c>
      <c r="AD225" t="s">
        <v>694</v>
      </c>
      <c r="AE225" t="s">
        <v>695</v>
      </c>
      <c r="AH225" t="s">
        <v>65</v>
      </c>
      <c r="AI225" t="s">
        <v>1063</v>
      </c>
      <c r="AJ225">
        <v>1955</v>
      </c>
      <c r="AK225" t="s">
        <v>1064</v>
      </c>
      <c r="AM225" t="s">
        <v>1065</v>
      </c>
      <c r="AN225" t="s">
        <v>94</v>
      </c>
      <c r="AO225" t="s">
        <v>68</v>
      </c>
      <c r="AP225" t="s">
        <v>95</v>
      </c>
      <c r="AQ225" t="s">
        <v>1066</v>
      </c>
      <c r="AR225" t="s">
        <v>70</v>
      </c>
      <c r="AS225">
        <v>702</v>
      </c>
      <c r="AT225" t="s">
        <v>71</v>
      </c>
      <c r="AU225">
        <v>24.81</v>
      </c>
      <c r="AV225">
        <v>-42.64</v>
      </c>
      <c r="AW225" t="s">
        <v>72</v>
      </c>
      <c r="AX225">
        <v>702</v>
      </c>
      <c r="AY225" t="s">
        <v>71</v>
      </c>
      <c r="AZ225">
        <v>26.89</v>
      </c>
      <c r="BA225">
        <v>-52.18</v>
      </c>
      <c r="BB225" t="s">
        <v>73</v>
      </c>
    </row>
    <row r="226" spans="1:54" x14ac:dyDescent="0.4">
      <c r="A226">
        <v>833385</v>
      </c>
      <c r="D226" t="s">
        <v>246</v>
      </c>
      <c r="G226">
        <v>1</v>
      </c>
      <c r="H226" t="s">
        <v>56</v>
      </c>
      <c r="I226" t="s">
        <v>57</v>
      </c>
      <c r="K226" t="s">
        <v>537</v>
      </c>
      <c r="L226" t="s">
        <v>1062</v>
      </c>
      <c r="M226" t="s">
        <v>59</v>
      </c>
      <c r="P226" t="s">
        <v>259</v>
      </c>
      <c r="Q226" t="s">
        <v>502</v>
      </c>
      <c r="R226" t="s">
        <v>260</v>
      </c>
      <c r="S226" t="s">
        <v>98</v>
      </c>
      <c r="T226">
        <v>259.51</v>
      </c>
      <c r="U226">
        <v>251.90199999999999</v>
      </c>
      <c r="V226">
        <f>(T226+U226)/2</f>
        <v>255.70599999999999</v>
      </c>
      <c r="W226">
        <f>T226-U226</f>
        <v>7.6080000000000041</v>
      </c>
      <c r="X226">
        <v>45.412497999999999</v>
      </c>
      <c r="Y226">
        <v>-22.558332</v>
      </c>
      <c r="Z226" t="s">
        <v>702</v>
      </c>
      <c r="AA226" t="s">
        <v>692</v>
      </c>
      <c r="AB226" t="s">
        <v>703</v>
      </c>
      <c r="AD226" t="s">
        <v>694</v>
      </c>
      <c r="AE226" t="s">
        <v>695</v>
      </c>
      <c r="AH226" t="s">
        <v>65</v>
      </c>
      <c r="AI226" t="s">
        <v>1063</v>
      </c>
      <c r="AJ226">
        <v>1955</v>
      </c>
      <c r="AK226" t="s">
        <v>1064</v>
      </c>
      <c r="AM226" t="s">
        <v>1065</v>
      </c>
      <c r="AN226" t="s">
        <v>94</v>
      </c>
      <c r="AO226" t="s">
        <v>68</v>
      </c>
      <c r="AP226" t="s">
        <v>95</v>
      </c>
      <c r="AQ226" t="s">
        <v>1066</v>
      </c>
      <c r="AR226" t="s">
        <v>70</v>
      </c>
      <c r="AS226">
        <v>702</v>
      </c>
      <c r="AT226" t="s">
        <v>71</v>
      </c>
      <c r="AU226">
        <v>24.81</v>
      </c>
      <c r="AV226">
        <v>-42.64</v>
      </c>
      <c r="AW226" t="s">
        <v>72</v>
      </c>
      <c r="AX226">
        <v>702</v>
      </c>
      <c r="AY226" t="s">
        <v>71</v>
      </c>
      <c r="AZ226">
        <v>26.89</v>
      </c>
      <c r="BA226">
        <v>-52.18</v>
      </c>
      <c r="BB226" t="s">
        <v>73</v>
      </c>
    </row>
    <row r="227" spans="1:54" x14ac:dyDescent="0.4">
      <c r="A227">
        <v>833385</v>
      </c>
      <c r="D227" t="s">
        <v>246</v>
      </c>
      <c r="G227">
        <v>1</v>
      </c>
      <c r="H227" t="s">
        <v>56</v>
      </c>
      <c r="I227" t="s">
        <v>57</v>
      </c>
      <c r="K227" t="s">
        <v>537</v>
      </c>
      <c r="L227" t="s">
        <v>1062</v>
      </c>
      <c r="M227" t="s">
        <v>59</v>
      </c>
      <c r="P227" t="s">
        <v>259</v>
      </c>
      <c r="Q227" t="s">
        <v>502</v>
      </c>
      <c r="R227" t="s">
        <v>260</v>
      </c>
      <c r="S227" t="s">
        <v>98</v>
      </c>
      <c r="T227">
        <v>259.51</v>
      </c>
      <c r="U227">
        <v>251.90199999999999</v>
      </c>
      <c r="V227">
        <f>(T227+U227)/2</f>
        <v>255.70599999999999</v>
      </c>
      <c r="W227">
        <f>T227-U227</f>
        <v>7.6080000000000041</v>
      </c>
      <c r="X227">
        <v>45.412497999999999</v>
      </c>
      <c r="Y227">
        <v>-22.558332</v>
      </c>
      <c r="Z227" t="s">
        <v>702</v>
      </c>
      <c r="AA227" t="s">
        <v>692</v>
      </c>
      <c r="AB227" t="s">
        <v>703</v>
      </c>
      <c r="AD227" t="s">
        <v>694</v>
      </c>
      <c r="AE227" t="s">
        <v>695</v>
      </c>
      <c r="AH227" t="s">
        <v>65</v>
      </c>
      <c r="AI227" t="s">
        <v>1063</v>
      </c>
      <c r="AJ227">
        <v>1955</v>
      </c>
      <c r="AK227" t="s">
        <v>1064</v>
      </c>
      <c r="AM227" t="s">
        <v>1065</v>
      </c>
      <c r="AN227" t="s">
        <v>94</v>
      </c>
      <c r="AO227" t="s">
        <v>68</v>
      </c>
      <c r="AP227" t="s">
        <v>95</v>
      </c>
      <c r="AQ227" t="s">
        <v>1066</v>
      </c>
      <c r="AR227" t="s">
        <v>70</v>
      </c>
      <c r="AS227">
        <v>702</v>
      </c>
      <c r="AT227" t="s">
        <v>71</v>
      </c>
      <c r="AU227">
        <v>24.81</v>
      </c>
      <c r="AV227">
        <v>-42.64</v>
      </c>
      <c r="AW227" t="s">
        <v>72</v>
      </c>
      <c r="AX227">
        <v>702</v>
      </c>
      <c r="AY227" t="s">
        <v>71</v>
      </c>
      <c r="AZ227">
        <v>26.89</v>
      </c>
      <c r="BA227">
        <v>-52.18</v>
      </c>
      <c r="BB227" t="s">
        <v>73</v>
      </c>
    </row>
    <row r="228" spans="1:54" x14ac:dyDescent="0.4">
      <c r="A228">
        <v>833493</v>
      </c>
      <c r="D228" t="s">
        <v>246</v>
      </c>
      <c r="E228" t="s">
        <v>55</v>
      </c>
      <c r="G228">
        <v>1</v>
      </c>
      <c r="H228" t="s">
        <v>56</v>
      </c>
      <c r="I228" t="s">
        <v>57</v>
      </c>
      <c r="K228" t="s">
        <v>102</v>
      </c>
      <c r="L228" t="s">
        <v>1075</v>
      </c>
      <c r="M228" t="s">
        <v>59</v>
      </c>
      <c r="P228" t="s">
        <v>259</v>
      </c>
      <c r="Q228" t="s">
        <v>502</v>
      </c>
      <c r="R228" t="s">
        <v>260</v>
      </c>
      <c r="S228" t="s">
        <v>98</v>
      </c>
      <c r="T228">
        <v>259.51</v>
      </c>
      <c r="U228">
        <v>251.90199999999999</v>
      </c>
      <c r="V228">
        <f>(T228+U228)/2</f>
        <v>255.70599999999999</v>
      </c>
      <c r="W228">
        <f>T228-U228</f>
        <v>7.6080000000000041</v>
      </c>
      <c r="X228">
        <v>44.416668000000001</v>
      </c>
      <c r="Y228">
        <v>-24</v>
      </c>
      <c r="Z228" t="s">
        <v>99</v>
      </c>
      <c r="AA228" t="s">
        <v>692</v>
      </c>
      <c r="AB228" t="s">
        <v>693</v>
      </c>
      <c r="AD228" t="s">
        <v>694</v>
      </c>
      <c r="AE228" t="s">
        <v>695</v>
      </c>
      <c r="AH228" t="s">
        <v>65</v>
      </c>
      <c r="AI228" t="s">
        <v>1076</v>
      </c>
      <c r="AJ228">
        <v>1980</v>
      </c>
      <c r="AK228" t="s">
        <v>697</v>
      </c>
      <c r="AM228" t="s">
        <v>698</v>
      </c>
      <c r="AN228" t="s">
        <v>121</v>
      </c>
      <c r="AO228" t="s">
        <v>330</v>
      </c>
      <c r="AP228" t="s">
        <v>182</v>
      </c>
      <c r="AQ228" t="s">
        <v>699</v>
      </c>
      <c r="AR228" t="s">
        <v>70</v>
      </c>
      <c r="AS228">
        <v>702</v>
      </c>
      <c r="AT228" t="s">
        <v>71</v>
      </c>
      <c r="AU228">
        <v>22.51</v>
      </c>
      <c r="AV228">
        <v>-42.93</v>
      </c>
      <c r="AW228" t="s">
        <v>72</v>
      </c>
      <c r="AX228">
        <v>702</v>
      </c>
      <c r="AY228" t="s">
        <v>71</v>
      </c>
      <c r="AZ228">
        <v>24.25</v>
      </c>
      <c r="BA228">
        <v>-52.74</v>
      </c>
      <c r="BB228" t="s">
        <v>73</v>
      </c>
    </row>
    <row r="229" spans="1:54" x14ac:dyDescent="0.4">
      <c r="A229">
        <v>833588</v>
      </c>
      <c r="D229" t="s">
        <v>54</v>
      </c>
      <c r="E229" t="s">
        <v>55</v>
      </c>
      <c r="I229" t="s">
        <v>57</v>
      </c>
      <c r="K229" t="s">
        <v>537</v>
      </c>
      <c r="L229" t="s">
        <v>1077</v>
      </c>
      <c r="M229" t="s">
        <v>59</v>
      </c>
      <c r="P229" t="s">
        <v>259</v>
      </c>
      <c r="Q229" t="s">
        <v>502</v>
      </c>
      <c r="R229" t="s">
        <v>260</v>
      </c>
      <c r="S229" t="s">
        <v>98</v>
      </c>
      <c r="T229">
        <v>259.51</v>
      </c>
      <c r="U229">
        <v>251.90199999999999</v>
      </c>
      <c r="V229">
        <f>(T229+U229)/2</f>
        <v>255.70599999999999</v>
      </c>
      <c r="W229">
        <f>T229-U229</f>
        <v>7.6080000000000041</v>
      </c>
      <c r="X229">
        <v>24.192778000000001</v>
      </c>
      <c r="Y229">
        <v>-32.060833000000002</v>
      </c>
      <c r="Z229" t="s">
        <v>99</v>
      </c>
      <c r="AA229" t="s">
        <v>86</v>
      </c>
      <c r="AB229" t="s">
        <v>87</v>
      </c>
      <c r="AC229" t="s">
        <v>562</v>
      </c>
      <c r="AD229" t="s">
        <v>540</v>
      </c>
      <c r="AE229" t="s">
        <v>90</v>
      </c>
      <c r="AG229" t="s">
        <v>553</v>
      </c>
      <c r="AH229" t="s">
        <v>65</v>
      </c>
      <c r="AI229" t="s">
        <v>548</v>
      </c>
      <c r="AJ229">
        <v>2002</v>
      </c>
      <c r="AK229" t="s">
        <v>987</v>
      </c>
      <c r="AM229" t="s">
        <v>988</v>
      </c>
      <c r="AN229" t="s">
        <v>94</v>
      </c>
      <c r="AO229" t="s">
        <v>68</v>
      </c>
      <c r="AP229" t="s">
        <v>69</v>
      </c>
      <c r="AQ229" t="s">
        <v>989</v>
      </c>
      <c r="AR229" t="s">
        <v>70</v>
      </c>
      <c r="AS229">
        <v>701</v>
      </c>
      <c r="AT229" t="s">
        <v>71</v>
      </c>
      <c r="AU229">
        <v>-18.5</v>
      </c>
      <c r="AV229">
        <v>-51.59</v>
      </c>
      <c r="AW229" t="s">
        <v>72</v>
      </c>
      <c r="AX229">
        <v>701</v>
      </c>
      <c r="AY229" t="s">
        <v>71</v>
      </c>
      <c r="AZ229">
        <v>-28.84</v>
      </c>
      <c r="BA229">
        <v>-61.68</v>
      </c>
      <c r="BB229" t="s">
        <v>73</v>
      </c>
    </row>
    <row r="230" spans="1:54" x14ac:dyDescent="0.4">
      <c r="A230">
        <v>854902</v>
      </c>
      <c r="D230" t="s">
        <v>54</v>
      </c>
      <c r="E230" t="s">
        <v>55</v>
      </c>
      <c r="G230">
        <v>1</v>
      </c>
      <c r="H230" t="s">
        <v>56</v>
      </c>
      <c r="I230" t="s">
        <v>57</v>
      </c>
      <c r="K230" t="s">
        <v>690</v>
      </c>
      <c r="L230" t="s">
        <v>895</v>
      </c>
      <c r="M230" t="s">
        <v>59</v>
      </c>
      <c r="P230" t="s">
        <v>259</v>
      </c>
      <c r="Q230" t="s">
        <v>502</v>
      </c>
      <c r="R230" t="s">
        <v>260</v>
      </c>
      <c r="S230" t="s">
        <v>98</v>
      </c>
      <c r="T230">
        <v>259.51</v>
      </c>
      <c r="U230">
        <v>251.90199999999999</v>
      </c>
      <c r="V230">
        <f>(T230+U230)/2</f>
        <v>255.70599999999999</v>
      </c>
      <c r="W230">
        <f>T230-U230</f>
        <v>7.6080000000000041</v>
      </c>
      <c r="X230">
        <v>24.288889000000001</v>
      </c>
      <c r="Y230">
        <v>-32.053333000000002</v>
      </c>
      <c r="Z230" t="s">
        <v>99</v>
      </c>
      <c r="AA230" t="s">
        <v>86</v>
      </c>
      <c r="AB230" t="s">
        <v>87</v>
      </c>
      <c r="AC230" t="s">
        <v>562</v>
      </c>
      <c r="AD230" t="s">
        <v>540</v>
      </c>
      <c r="AE230" t="s">
        <v>90</v>
      </c>
      <c r="AG230" t="s">
        <v>553</v>
      </c>
      <c r="AH230" t="s">
        <v>65</v>
      </c>
      <c r="AI230" t="s">
        <v>1298</v>
      </c>
      <c r="AJ230">
        <v>1987</v>
      </c>
      <c r="AK230" t="s">
        <v>563</v>
      </c>
      <c r="AM230" t="s">
        <v>564</v>
      </c>
      <c r="AN230" t="s">
        <v>94</v>
      </c>
      <c r="AO230" t="s">
        <v>68</v>
      </c>
      <c r="AP230" t="s">
        <v>69</v>
      </c>
      <c r="AQ230" t="s">
        <v>565</v>
      </c>
      <c r="AR230" t="s">
        <v>70</v>
      </c>
      <c r="AS230">
        <v>701</v>
      </c>
      <c r="AT230" t="s">
        <v>71</v>
      </c>
      <c r="AU230">
        <v>-18.420000000000002</v>
      </c>
      <c r="AV230">
        <v>-51.66</v>
      </c>
      <c r="AW230" t="s">
        <v>72</v>
      </c>
      <c r="AX230">
        <v>701</v>
      </c>
      <c r="AY230" t="s">
        <v>71</v>
      </c>
      <c r="AZ230">
        <v>-28.76</v>
      </c>
      <c r="BA230">
        <v>-61.75</v>
      </c>
      <c r="BB230" t="s">
        <v>73</v>
      </c>
    </row>
    <row r="231" spans="1:54" x14ac:dyDescent="0.4">
      <c r="A231">
        <v>990462</v>
      </c>
      <c r="D231" t="s">
        <v>54</v>
      </c>
      <c r="G231">
        <v>1</v>
      </c>
      <c r="H231" t="s">
        <v>56</v>
      </c>
      <c r="I231" t="s">
        <v>57</v>
      </c>
      <c r="K231" t="s">
        <v>148</v>
      </c>
      <c r="L231" t="s">
        <v>1681</v>
      </c>
      <c r="M231" t="s">
        <v>59</v>
      </c>
      <c r="N231" t="s">
        <v>97</v>
      </c>
      <c r="O231" t="s">
        <v>101</v>
      </c>
      <c r="P231" t="s">
        <v>259</v>
      </c>
      <c r="Q231" t="s">
        <v>502</v>
      </c>
      <c r="R231" t="s">
        <v>260</v>
      </c>
      <c r="S231" t="s">
        <v>98</v>
      </c>
      <c r="T231">
        <v>259.51</v>
      </c>
      <c r="U231">
        <v>251.90199999999999</v>
      </c>
      <c r="V231">
        <f>(T231+U231)/2</f>
        <v>255.70599999999999</v>
      </c>
      <c r="W231">
        <f>T231-U231</f>
        <v>7.6080000000000041</v>
      </c>
      <c r="X231">
        <v>110.44027699999999</v>
      </c>
      <c r="Y231">
        <v>40.674999</v>
      </c>
      <c r="Z231" t="s">
        <v>99</v>
      </c>
      <c r="AA231" t="s">
        <v>186</v>
      </c>
      <c r="AB231" t="s">
        <v>187</v>
      </c>
      <c r="AD231" t="s">
        <v>1682</v>
      </c>
      <c r="AH231" t="s">
        <v>65</v>
      </c>
      <c r="AI231" t="s">
        <v>464</v>
      </c>
      <c r="AJ231">
        <v>2011</v>
      </c>
      <c r="AK231" t="s">
        <v>1683</v>
      </c>
      <c r="AN231" t="s">
        <v>121</v>
      </c>
      <c r="AO231" t="s">
        <v>68</v>
      </c>
      <c r="AP231" t="s">
        <v>95</v>
      </c>
      <c r="AQ231" t="s">
        <v>1684</v>
      </c>
      <c r="AR231" t="s">
        <v>70</v>
      </c>
      <c r="AS231">
        <v>604</v>
      </c>
      <c r="AT231" t="s">
        <v>71</v>
      </c>
      <c r="AU231">
        <v>114.71</v>
      </c>
      <c r="AV231">
        <v>13.87</v>
      </c>
      <c r="AW231" t="s">
        <v>72</v>
      </c>
      <c r="AX231">
        <v>604</v>
      </c>
      <c r="AY231" t="s">
        <v>71</v>
      </c>
      <c r="AZ231">
        <v>92.28</v>
      </c>
      <c r="BA231">
        <v>32.76</v>
      </c>
      <c r="BB231" t="s">
        <v>73</v>
      </c>
    </row>
    <row r="232" spans="1:54" x14ac:dyDescent="0.4">
      <c r="A232">
        <v>1285176</v>
      </c>
      <c r="D232" t="s">
        <v>566</v>
      </c>
      <c r="G232">
        <v>1</v>
      </c>
      <c r="H232" t="s">
        <v>56</v>
      </c>
      <c r="I232" t="s">
        <v>57</v>
      </c>
      <c r="K232" t="s">
        <v>80</v>
      </c>
      <c r="L232" t="s">
        <v>1818</v>
      </c>
      <c r="M232" t="s">
        <v>59</v>
      </c>
      <c r="P232" t="s">
        <v>259</v>
      </c>
      <c r="Q232" t="s">
        <v>502</v>
      </c>
      <c r="R232" t="s">
        <v>260</v>
      </c>
      <c r="S232" t="s">
        <v>98</v>
      </c>
      <c r="T232">
        <v>259.51</v>
      </c>
      <c r="U232">
        <v>251.90199999999999</v>
      </c>
      <c r="V232">
        <f>(T232+U232)/2</f>
        <v>255.70599999999999</v>
      </c>
      <c r="W232">
        <f>T232-U232</f>
        <v>7.6080000000000041</v>
      </c>
      <c r="X232">
        <v>24.549999</v>
      </c>
      <c r="Y232">
        <v>-31.866667</v>
      </c>
      <c r="Z232" t="s">
        <v>99</v>
      </c>
      <c r="AA232" t="s">
        <v>86</v>
      </c>
      <c r="AB232" t="s">
        <v>87</v>
      </c>
      <c r="AC232" t="s">
        <v>562</v>
      </c>
      <c r="AD232" t="s">
        <v>540</v>
      </c>
      <c r="AE232" t="s">
        <v>90</v>
      </c>
      <c r="AG232" t="s">
        <v>567</v>
      </c>
      <c r="AH232" t="s">
        <v>65</v>
      </c>
      <c r="AI232" t="s">
        <v>91</v>
      </c>
      <c r="AJ232">
        <v>1937</v>
      </c>
      <c r="AK232" t="s">
        <v>568</v>
      </c>
      <c r="AM232" t="s">
        <v>569</v>
      </c>
      <c r="AN232" t="s">
        <v>94</v>
      </c>
      <c r="AO232" t="s">
        <v>106</v>
      </c>
      <c r="AP232" t="s">
        <v>182</v>
      </c>
      <c r="AQ232" t="s">
        <v>570</v>
      </c>
      <c r="AR232" t="s">
        <v>70</v>
      </c>
      <c r="AS232">
        <v>701</v>
      </c>
      <c r="AT232" t="s">
        <v>71</v>
      </c>
      <c r="AU232">
        <v>-17.98</v>
      </c>
      <c r="AV232">
        <v>-51.75</v>
      </c>
      <c r="AW232" t="s">
        <v>72</v>
      </c>
      <c r="AX232">
        <v>701</v>
      </c>
      <c r="AY232" t="s">
        <v>71</v>
      </c>
      <c r="AZ232">
        <v>-28.21</v>
      </c>
      <c r="BA232">
        <v>-61.88</v>
      </c>
      <c r="BB232" t="s">
        <v>73</v>
      </c>
    </row>
    <row r="233" spans="1:54" x14ac:dyDescent="0.4">
      <c r="A233">
        <v>1285177</v>
      </c>
      <c r="D233" t="s">
        <v>566</v>
      </c>
      <c r="G233">
        <v>1</v>
      </c>
      <c r="H233" t="s">
        <v>56</v>
      </c>
      <c r="I233" t="s">
        <v>57</v>
      </c>
      <c r="K233" t="s">
        <v>690</v>
      </c>
      <c r="L233" t="s">
        <v>895</v>
      </c>
      <c r="M233" t="s">
        <v>59</v>
      </c>
      <c r="P233" t="s">
        <v>259</v>
      </c>
      <c r="Q233" t="s">
        <v>502</v>
      </c>
      <c r="R233" t="s">
        <v>260</v>
      </c>
      <c r="S233" t="s">
        <v>98</v>
      </c>
      <c r="T233">
        <v>259.51</v>
      </c>
      <c r="U233">
        <v>251.90199999999999</v>
      </c>
      <c r="V233">
        <f>(T233+U233)/2</f>
        <v>255.70599999999999</v>
      </c>
      <c r="W233">
        <f>T233-U233</f>
        <v>7.6080000000000041</v>
      </c>
      <c r="X233">
        <v>24.549999</v>
      </c>
      <c r="Y233">
        <v>-31.866667</v>
      </c>
      <c r="Z233" t="s">
        <v>99</v>
      </c>
      <c r="AA233" t="s">
        <v>86</v>
      </c>
      <c r="AB233" t="s">
        <v>87</v>
      </c>
      <c r="AC233" t="s">
        <v>562</v>
      </c>
      <c r="AD233" t="s">
        <v>540</v>
      </c>
      <c r="AE233" t="s">
        <v>90</v>
      </c>
      <c r="AG233" t="s">
        <v>567</v>
      </c>
      <c r="AH233" t="s">
        <v>65</v>
      </c>
      <c r="AI233" t="s">
        <v>91</v>
      </c>
      <c r="AJ233">
        <v>1937</v>
      </c>
      <c r="AK233" t="s">
        <v>568</v>
      </c>
      <c r="AM233" t="s">
        <v>569</v>
      </c>
      <c r="AN233" t="s">
        <v>94</v>
      </c>
      <c r="AO233" t="s">
        <v>106</v>
      </c>
      <c r="AP233" t="s">
        <v>182</v>
      </c>
      <c r="AQ233" t="s">
        <v>570</v>
      </c>
      <c r="AR233" t="s">
        <v>70</v>
      </c>
      <c r="AS233">
        <v>701</v>
      </c>
      <c r="AT233" t="s">
        <v>71</v>
      </c>
      <c r="AU233">
        <v>-17.98</v>
      </c>
      <c r="AV233">
        <v>-51.75</v>
      </c>
      <c r="AW233" t="s">
        <v>72</v>
      </c>
      <c r="AX233">
        <v>701</v>
      </c>
      <c r="AY233" t="s">
        <v>71</v>
      </c>
      <c r="AZ233">
        <v>-28.21</v>
      </c>
      <c r="BA233">
        <v>-61.88</v>
      </c>
      <c r="BB233" t="s">
        <v>73</v>
      </c>
    </row>
    <row r="234" spans="1:54" x14ac:dyDescent="0.4">
      <c r="A234">
        <v>1285178</v>
      </c>
      <c r="D234" t="s">
        <v>54</v>
      </c>
      <c r="G234">
        <v>1</v>
      </c>
      <c r="H234" t="s">
        <v>56</v>
      </c>
      <c r="I234" t="s">
        <v>57</v>
      </c>
      <c r="K234" t="s">
        <v>690</v>
      </c>
      <c r="L234" t="s">
        <v>895</v>
      </c>
      <c r="M234" t="s">
        <v>59</v>
      </c>
      <c r="P234" t="s">
        <v>259</v>
      </c>
      <c r="Q234" t="s">
        <v>502</v>
      </c>
      <c r="R234" t="s">
        <v>260</v>
      </c>
      <c r="S234" t="s">
        <v>98</v>
      </c>
      <c r="T234">
        <v>259.51</v>
      </c>
      <c r="U234">
        <v>251.90199999999999</v>
      </c>
      <c r="V234">
        <f>(T234+U234)/2</f>
        <v>255.70599999999999</v>
      </c>
      <c r="W234">
        <f>T234-U234</f>
        <v>7.6080000000000041</v>
      </c>
      <c r="X234">
        <v>24.703333000000001</v>
      </c>
      <c r="Y234">
        <v>-32.011944</v>
      </c>
      <c r="Z234" t="s">
        <v>99</v>
      </c>
      <c r="AA234" t="s">
        <v>86</v>
      </c>
      <c r="AB234" t="s">
        <v>87</v>
      </c>
      <c r="AC234" t="s">
        <v>1819</v>
      </c>
      <c r="AE234" t="s">
        <v>90</v>
      </c>
      <c r="AG234" t="s">
        <v>1820</v>
      </c>
      <c r="AH234" t="s">
        <v>65</v>
      </c>
      <c r="AI234" t="s">
        <v>1531</v>
      </c>
      <c r="AJ234">
        <v>1948</v>
      </c>
      <c r="AK234" t="s">
        <v>1821</v>
      </c>
      <c r="AM234" t="s">
        <v>1822</v>
      </c>
      <c r="AN234" t="s">
        <v>94</v>
      </c>
      <c r="AO234" t="s">
        <v>68</v>
      </c>
      <c r="AP234" t="s">
        <v>182</v>
      </c>
      <c r="AQ234" t="s">
        <v>1823</v>
      </c>
      <c r="AR234" t="s">
        <v>70</v>
      </c>
      <c r="AS234">
        <v>701</v>
      </c>
      <c r="AT234" t="s">
        <v>71</v>
      </c>
      <c r="AU234">
        <v>-18.079999999999998</v>
      </c>
      <c r="AV234">
        <v>-51.94</v>
      </c>
      <c r="AW234" t="s">
        <v>72</v>
      </c>
      <c r="AX234">
        <v>701</v>
      </c>
      <c r="AY234" t="s">
        <v>71</v>
      </c>
      <c r="AZ234">
        <v>-28.39</v>
      </c>
      <c r="BA234">
        <v>-62.06</v>
      </c>
      <c r="BB234" t="s">
        <v>73</v>
      </c>
    </row>
    <row r="235" spans="1:54" x14ac:dyDescent="0.4">
      <c r="A235">
        <v>1285182</v>
      </c>
      <c r="D235" t="s">
        <v>566</v>
      </c>
      <c r="G235">
        <v>1</v>
      </c>
      <c r="H235" t="s">
        <v>56</v>
      </c>
      <c r="I235" t="s">
        <v>57</v>
      </c>
      <c r="K235" t="s">
        <v>690</v>
      </c>
      <c r="L235" t="s">
        <v>895</v>
      </c>
      <c r="M235" t="s">
        <v>59</v>
      </c>
      <c r="P235" t="s">
        <v>259</v>
      </c>
      <c r="Q235" t="s">
        <v>502</v>
      </c>
      <c r="R235" t="s">
        <v>260</v>
      </c>
      <c r="S235" t="s">
        <v>98</v>
      </c>
      <c r="T235">
        <v>259.51</v>
      </c>
      <c r="U235">
        <v>251.90199999999999</v>
      </c>
      <c r="V235">
        <f>(T235+U235)/2</f>
        <v>255.70599999999999</v>
      </c>
      <c r="W235">
        <f>T235-U235</f>
        <v>7.6080000000000041</v>
      </c>
      <c r="X235">
        <v>24.549999</v>
      </c>
      <c r="Y235">
        <v>-31.866667</v>
      </c>
      <c r="Z235" t="s">
        <v>99</v>
      </c>
      <c r="AA235" t="s">
        <v>86</v>
      </c>
      <c r="AB235" t="s">
        <v>87</v>
      </c>
      <c r="AC235" t="s">
        <v>562</v>
      </c>
      <c r="AD235" t="s">
        <v>540</v>
      </c>
      <c r="AE235" t="s">
        <v>90</v>
      </c>
      <c r="AG235" t="s">
        <v>567</v>
      </c>
      <c r="AH235" t="s">
        <v>65</v>
      </c>
      <c r="AI235" t="s">
        <v>1531</v>
      </c>
      <c r="AJ235">
        <v>1948</v>
      </c>
      <c r="AK235" t="s">
        <v>568</v>
      </c>
      <c r="AM235" t="s">
        <v>569</v>
      </c>
      <c r="AN235" t="s">
        <v>94</v>
      </c>
      <c r="AO235" t="s">
        <v>106</v>
      </c>
      <c r="AP235" t="s">
        <v>182</v>
      </c>
      <c r="AQ235" t="s">
        <v>570</v>
      </c>
      <c r="AR235" t="s">
        <v>70</v>
      </c>
      <c r="AS235">
        <v>701</v>
      </c>
      <c r="AT235" t="s">
        <v>71</v>
      </c>
      <c r="AU235">
        <v>-17.98</v>
      </c>
      <c r="AV235">
        <v>-51.75</v>
      </c>
      <c r="AW235" t="s">
        <v>72</v>
      </c>
      <c r="AX235">
        <v>701</v>
      </c>
      <c r="AY235" t="s">
        <v>71</v>
      </c>
      <c r="AZ235">
        <v>-28.21</v>
      </c>
      <c r="BA235">
        <v>-61.88</v>
      </c>
      <c r="BB235" t="s">
        <v>73</v>
      </c>
    </row>
    <row r="236" spans="1:54" x14ac:dyDescent="0.4">
      <c r="A236">
        <v>1285184</v>
      </c>
      <c r="D236" t="s">
        <v>54</v>
      </c>
      <c r="E236" t="s">
        <v>55</v>
      </c>
      <c r="G236">
        <v>1</v>
      </c>
      <c r="H236" t="s">
        <v>56</v>
      </c>
      <c r="I236" t="s">
        <v>57</v>
      </c>
      <c r="K236" t="s">
        <v>690</v>
      </c>
      <c r="L236" t="s">
        <v>895</v>
      </c>
      <c r="M236" t="s">
        <v>59</v>
      </c>
      <c r="P236" t="s">
        <v>259</v>
      </c>
      <c r="Q236" t="s">
        <v>502</v>
      </c>
      <c r="R236" t="s">
        <v>260</v>
      </c>
      <c r="S236" t="s">
        <v>98</v>
      </c>
      <c r="T236">
        <v>259.51</v>
      </c>
      <c r="U236">
        <v>251.90199999999999</v>
      </c>
      <c r="V236">
        <f>(T236+U236)/2</f>
        <v>255.70599999999999</v>
      </c>
      <c r="W236">
        <f>T236-U236</f>
        <v>7.6080000000000041</v>
      </c>
      <c r="X236">
        <v>24.288889000000001</v>
      </c>
      <c r="Y236">
        <v>-32.053333000000002</v>
      </c>
      <c r="Z236" t="s">
        <v>99</v>
      </c>
      <c r="AA236" t="s">
        <v>86</v>
      </c>
      <c r="AB236" t="s">
        <v>87</v>
      </c>
      <c r="AC236" t="s">
        <v>562</v>
      </c>
      <c r="AD236" t="s">
        <v>540</v>
      </c>
      <c r="AE236" t="s">
        <v>90</v>
      </c>
      <c r="AG236" t="s">
        <v>553</v>
      </c>
      <c r="AH236" t="s">
        <v>65</v>
      </c>
      <c r="AI236" t="s">
        <v>554</v>
      </c>
      <c r="AJ236">
        <v>1975</v>
      </c>
      <c r="AK236" t="s">
        <v>563</v>
      </c>
      <c r="AM236" t="s">
        <v>564</v>
      </c>
      <c r="AN236" t="s">
        <v>94</v>
      </c>
      <c r="AO236" t="s">
        <v>68</v>
      </c>
      <c r="AP236" t="s">
        <v>69</v>
      </c>
      <c r="AQ236" t="s">
        <v>565</v>
      </c>
      <c r="AR236" t="s">
        <v>70</v>
      </c>
      <c r="AS236">
        <v>701</v>
      </c>
      <c r="AT236" t="s">
        <v>71</v>
      </c>
      <c r="AU236">
        <v>-18.420000000000002</v>
      </c>
      <c r="AV236">
        <v>-51.66</v>
      </c>
      <c r="AW236" t="s">
        <v>72</v>
      </c>
      <c r="AX236">
        <v>701</v>
      </c>
      <c r="AY236" t="s">
        <v>71</v>
      </c>
      <c r="AZ236">
        <v>-28.76</v>
      </c>
      <c r="BA236">
        <v>-61.75</v>
      </c>
      <c r="BB236" t="s">
        <v>73</v>
      </c>
    </row>
    <row r="237" spans="1:54" x14ac:dyDescent="0.4">
      <c r="A237">
        <v>1285185</v>
      </c>
      <c r="D237" t="s">
        <v>108</v>
      </c>
      <c r="G237">
        <v>1</v>
      </c>
      <c r="H237" t="s">
        <v>56</v>
      </c>
      <c r="I237" t="s">
        <v>57</v>
      </c>
      <c r="K237" t="s">
        <v>690</v>
      </c>
      <c r="L237" t="s">
        <v>895</v>
      </c>
      <c r="M237" t="s">
        <v>59</v>
      </c>
      <c r="P237" t="s">
        <v>259</v>
      </c>
      <c r="Q237" t="s">
        <v>502</v>
      </c>
      <c r="R237" t="s">
        <v>260</v>
      </c>
      <c r="S237" t="s">
        <v>98</v>
      </c>
      <c r="T237">
        <v>259.51</v>
      </c>
      <c r="U237">
        <v>251.90199999999999</v>
      </c>
      <c r="V237">
        <f>(T237+U237)/2</f>
        <v>255.70599999999999</v>
      </c>
      <c r="W237">
        <f>T237-U237</f>
        <v>7.6080000000000041</v>
      </c>
      <c r="X237">
        <v>23.894444</v>
      </c>
      <c r="Y237">
        <v>-32.152779000000002</v>
      </c>
      <c r="Z237" t="s">
        <v>99</v>
      </c>
      <c r="AA237" t="s">
        <v>86</v>
      </c>
      <c r="AB237" t="s">
        <v>170</v>
      </c>
      <c r="AC237" t="s">
        <v>559</v>
      </c>
      <c r="AD237" t="s">
        <v>540</v>
      </c>
      <c r="AE237" t="s">
        <v>90</v>
      </c>
      <c r="AG237" t="s">
        <v>553</v>
      </c>
      <c r="AH237" t="s">
        <v>65</v>
      </c>
      <c r="AI237" t="s">
        <v>554</v>
      </c>
      <c r="AJ237">
        <v>1975</v>
      </c>
      <c r="AK237" t="s">
        <v>985</v>
      </c>
      <c r="AN237" t="s">
        <v>94</v>
      </c>
      <c r="AO237" t="s">
        <v>68</v>
      </c>
      <c r="AP237" t="s">
        <v>69</v>
      </c>
      <c r="AQ237" t="s">
        <v>986</v>
      </c>
      <c r="AR237" t="s">
        <v>70</v>
      </c>
      <c r="AS237">
        <v>701</v>
      </c>
      <c r="AT237" t="s">
        <v>71</v>
      </c>
      <c r="AU237">
        <v>-18.829999999999998</v>
      </c>
      <c r="AV237">
        <v>-51.42</v>
      </c>
      <c r="AW237" t="s">
        <v>72</v>
      </c>
      <c r="AX237">
        <v>701</v>
      </c>
      <c r="AY237" t="s">
        <v>71</v>
      </c>
      <c r="AZ237">
        <v>-29.23</v>
      </c>
      <c r="BA237">
        <v>-61.48</v>
      </c>
      <c r="BB237" t="s">
        <v>73</v>
      </c>
    </row>
    <row r="238" spans="1:54" x14ac:dyDescent="0.4">
      <c r="A238">
        <v>1285186</v>
      </c>
      <c r="D238" t="s">
        <v>108</v>
      </c>
      <c r="I238" t="s">
        <v>57</v>
      </c>
      <c r="K238" t="s">
        <v>102</v>
      </c>
      <c r="L238" t="s">
        <v>1824</v>
      </c>
      <c r="M238" t="s">
        <v>59</v>
      </c>
      <c r="O238" t="s">
        <v>107</v>
      </c>
      <c r="P238" t="s">
        <v>259</v>
      </c>
      <c r="Q238" t="s">
        <v>502</v>
      </c>
      <c r="R238" t="s">
        <v>260</v>
      </c>
      <c r="S238" t="s">
        <v>98</v>
      </c>
      <c r="T238">
        <v>259.51</v>
      </c>
      <c r="U238">
        <v>251.90199999999999</v>
      </c>
      <c r="V238">
        <f>(T238+U238)/2</f>
        <v>255.70599999999999</v>
      </c>
      <c r="W238">
        <f>T238-U238</f>
        <v>7.6080000000000041</v>
      </c>
      <c r="X238">
        <v>23.894444</v>
      </c>
      <c r="Y238">
        <v>-32.152779000000002</v>
      </c>
      <c r="Z238" t="s">
        <v>99</v>
      </c>
      <c r="AA238" t="s">
        <v>86</v>
      </c>
      <c r="AB238" t="s">
        <v>170</v>
      </c>
      <c r="AC238" t="s">
        <v>559</v>
      </c>
      <c r="AD238" t="s">
        <v>540</v>
      </c>
      <c r="AE238" t="s">
        <v>90</v>
      </c>
      <c r="AG238" t="s">
        <v>553</v>
      </c>
      <c r="AH238" t="s">
        <v>65</v>
      </c>
      <c r="AI238" t="s">
        <v>1514</v>
      </c>
      <c r="AJ238">
        <v>1977</v>
      </c>
      <c r="AK238" t="s">
        <v>985</v>
      </c>
      <c r="AN238" t="s">
        <v>94</v>
      </c>
      <c r="AO238" t="s">
        <v>68</v>
      </c>
      <c r="AP238" t="s">
        <v>69</v>
      </c>
      <c r="AQ238" t="s">
        <v>986</v>
      </c>
      <c r="AR238" t="s">
        <v>70</v>
      </c>
      <c r="AS238">
        <v>701</v>
      </c>
      <c r="AT238" t="s">
        <v>71</v>
      </c>
      <c r="AU238">
        <v>-18.829999999999998</v>
      </c>
      <c r="AV238">
        <v>-51.42</v>
      </c>
      <c r="AW238" t="s">
        <v>72</v>
      </c>
      <c r="AX238">
        <v>701</v>
      </c>
      <c r="AY238" t="s">
        <v>71</v>
      </c>
      <c r="AZ238">
        <v>-29.23</v>
      </c>
      <c r="BA238">
        <v>-61.48</v>
      </c>
      <c r="BB238" t="s">
        <v>73</v>
      </c>
    </row>
    <row r="239" spans="1:54" x14ac:dyDescent="0.4">
      <c r="A239">
        <v>1285191</v>
      </c>
      <c r="D239" t="s">
        <v>54</v>
      </c>
      <c r="G239">
        <v>1</v>
      </c>
      <c r="H239" t="s">
        <v>74</v>
      </c>
      <c r="I239" t="s">
        <v>57</v>
      </c>
      <c r="K239" t="s">
        <v>690</v>
      </c>
      <c r="L239" t="s">
        <v>895</v>
      </c>
      <c r="M239" t="s">
        <v>59</v>
      </c>
      <c r="P239" t="s">
        <v>259</v>
      </c>
      <c r="Q239" t="s">
        <v>502</v>
      </c>
      <c r="R239" t="s">
        <v>260</v>
      </c>
      <c r="S239" t="s">
        <v>98</v>
      </c>
      <c r="T239">
        <v>259.51</v>
      </c>
      <c r="U239">
        <v>251.90199999999999</v>
      </c>
      <c r="V239">
        <f>(T239+U239)/2</f>
        <v>255.70599999999999</v>
      </c>
      <c r="W239">
        <f>T239-U239</f>
        <v>7.6080000000000041</v>
      </c>
      <c r="X239">
        <v>23.933332</v>
      </c>
      <c r="Y239">
        <v>-31.416668000000001</v>
      </c>
      <c r="Z239" t="s">
        <v>99</v>
      </c>
      <c r="AA239" t="s">
        <v>86</v>
      </c>
      <c r="AB239" t="s">
        <v>87</v>
      </c>
      <c r="AD239" t="s">
        <v>540</v>
      </c>
      <c r="AE239" t="s">
        <v>90</v>
      </c>
      <c r="AG239" t="s">
        <v>553</v>
      </c>
      <c r="AH239" t="s">
        <v>65</v>
      </c>
      <c r="AI239" t="s">
        <v>554</v>
      </c>
      <c r="AJ239">
        <v>1975</v>
      </c>
      <c r="AK239" t="s">
        <v>1825</v>
      </c>
      <c r="AN239" t="s">
        <v>94</v>
      </c>
      <c r="AO239" t="s">
        <v>68</v>
      </c>
      <c r="AP239" t="s">
        <v>182</v>
      </c>
      <c r="AR239" t="s">
        <v>70</v>
      </c>
      <c r="AS239">
        <v>701</v>
      </c>
      <c r="AT239" t="s">
        <v>71</v>
      </c>
      <c r="AU239">
        <v>-17.79</v>
      </c>
      <c r="AV239">
        <v>-51.07</v>
      </c>
      <c r="AW239" t="s">
        <v>72</v>
      </c>
      <c r="AX239">
        <v>701</v>
      </c>
      <c r="AY239" t="s">
        <v>71</v>
      </c>
      <c r="AZ239">
        <v>-27.79</v>
      </c>
      <c r="BA239">
        <v>-61.22</v>
      </c>
      <c r="BB239" t="s">
        <v>73</v>
      </c>
    </row>
    <row r="240" spans="1:54" x14ac:dyDescent="0.4">
      <c r="A240">
        <v>1285194</v>
      </c>
      <c r="D240" t="s">
        <v>54</v>
      </c>
      <c r="G240">
        <v>1</v>
      </c>
      <c r="H240" t="s">
        <v>56</v>
      </c>
      <c r="I240" t="s">
        <v>57</v>
      </c>
      <c r="K240" t="s">
        <v>690</v>
      </c>
      <c r="L240" t="s">
        <v>895</v>
      </c>
      <c r="M240" t="s">
        <v>59</v>
      </c>
      <c r="P240" t="s">
        <v>259</v>
      </c>
      <c r="Q240" t="s">
        <v>502</v>
      </c>
      <c r="R240" t="s">
        <v>260</v>
      </c>
      <c r="S240" t="s">
        <v>98</v>
      </c>
      <c r="T240">
        <v>259.51</v>
      </c>
      <c r="U240">
        <v>251.90199999999999</v>
      </c>
      <c r="V240">
        <f>(T240+U240)/2</f>
        <v>255.70599999999999</v>
      </c>
      <c r="W240">
        <f>T240-U240</f>
        <v>7.6080000000000041</v>
      </c>
      <c r="X240">
        <v>24.573609999999999</v>
      </c>
      <c r="Y240">
        <v>-31.958331999999999</v>
      </c>
      <c r="Z240" t="s">
        <v>99</v>
      </c>
      <c r="AA240" t="s">
        <v>86</v>
      </c>
      <c r="AB240" t="s">
        <v>87</v>
      </c>
      <c r="AC240" t="s">
        <v>562</v>
      </c>
      <c r="AD240" t="s">
        <v>540</v>
      </c>
      <c r="AE240" t="s">
        <v>90</v>
      </c>
      <c r="AG240" t="s">
        <v>567</v>
      </c>
      <c r="AH240" t="s">
        <v>65</v>
      </c>
      <c r="AI240" t="s">
        <v>554</v>
      </c>
      <c r="AJ240">
        <v>1975</v>
      </c>
      <c r="AK240" t="s">
        <v>584</v>
      </c>
      <c r="AN240" t="s">
        <v>94</v>
      </c>
      <c r="AO240" t="s">
        <v>68</v>
      </c>
      <c r="AP240" t="s">
        <v>182</v>
      </c>
      <c r="AQ240" t="s">
        <v>585</v>
      </c>
      <c r="AR240" t="s">
        <v>70</v>
      </c>
      <c r="AS240">
        <v>701</v>
      </c>
      <c r="AT240" t="s">
        <v>71</v>
      </c>
      <c r="AU240">
        <v>-18.09</v>
      </c>
      <c r="AV240">
        <v>-51.82</v>
      </c>
      <c r="AW240" t="s">
        <v>72</v>
      </c>
      <c r="AX240">
        <v>701</v>
      </c>
      <c r="AY240" t="s">
        <v>71</v>
      </c>
      <c r="AZ240">
        <v>-28.37</v>
      </c>
      <c r="BA240">
        <v>-61.93</v>
      </c>
      <c r="BB240" t="s">
        <v>73</v>
      </c>
    </row>
    <row r="241" spans="1:54" x14ac:dyDescent="0.4">
      <c r="A241">
        <v>1285194</v>
      </c>
      <c r="D241" t="s">
        <v>54</v>
      </c>
      <c r="G241">
        <v>1</v>
      </c>
      <c r="H241" t="s">
        <v>56</v>
      </c>
      <c r="I241" t="s">
        <v>57</v>
      </c>
      <c r="K241" t="s">
        <v>690</v>
      </c>
      <c r="L241" t="s">
        <v>895</v>
      </c>
      <c r="M241" t="s">
        <v>59</v>
      </c>
      <c r="P241" t="s">
        <v>259</v>
      </c>
      <c r="Q241" t="s">
        <v>502</v>
      </c>
      <c r="R241" t="s">
        <v>260</v>
      </c>
      <c r="S241" t="s">
        <v>98</v>
      </c>
      <c r="T241">
        <v>259.51</v>
      </c>
      <c r="U241">
        <v>251.90199999999999</v>
      </c>
      <c r="V241">
        <f>(T241+U241)/2</f>
        <v>255.70599999999999</v>
      </c>
      <c r="W241">
        <f>T241-U241</f>
        <v>7.6080000000000041</v>
      </c>
      <c r="X241">
        <v>24.573609999999999</v>
      </c>
      <c r="Y241">
        <v>-31.958331999999999</v>
      </c>
      <c r="Z241" t="s">
        <v>99</v>
      </c>
      <c r="AA241" t="s">
        <v>86</v>
      </c>
      <c r="AB241" t="s">
        <v>87</v>
      </c>
      <c r="AC241" t="s">
        <v>562</v>
      </c>
      <c r="AD241" t="s">
        <v>540</v>
      </c>
      <c r="AE241" t="s">
        <v>90</v>
      </c>
      <c r="AG241" t="s">
        <v>567</v>
      </c>
      <c r="AH241" t="s">
        <v>65</v>
      </c>
      <c r="AI241" t="s">
        <v>554</v>
      </c>
      <c r="AJ241">
        <v>1975</v>
      </c>
      <c r="AK241" t="s">
        <v>584</v>
      </c>
      <c r="AN241" t="s">
        <v>94</v>
      </c>
      <c r="AO241" t="s">
        <v>68</v>
      </c>
      <c r="AP241" t="s">
        <v>182</v>
      </c>
      <c r="AQ241" t="s">
        <v>585</v>
      </c>
      <c r="AR241" t="s">
        <v>70</v>
      </c>
      <c r="AS241">
        <v>701</v>
      </c>
      <c r="AT241" t="s">
        <v>71</v>
      </c>
      <c r="AU241">
        <v>-18.09</v>
      </c>
      <c r="AV241">
        <v>-51.82</v>
      </c>
      <c r="AW241" t="s">
        <v>72</v>
      </c>
      <c r="AX241">
        <v>701</v>
      </c>
      <c r="AY241" t="s">
        <v>71</v>
      </c>
      <c r="AZ241">
        <v>-28.37</v>
      </c>
      <c r="BA241">
        <v>-61.93</v>
      </c>
      <c r="BB241" t="s">
        <v>73</v>
      </c>
    </row>
    <row r="242" spans="1:54" x14ac:dyDescent="0.4">
      <c r="A242">
        <v>1285822</v>
      </c>
      <c r="D242" t="s">
        <v>54</v>
      </c>
      <c r="F242" t="s">
        <v>352</v>
      </c>
      <c r="G242">
        <v>1</v>
      </c>
      <c r="H242" t="s">
        <v>56</v>
      </c>
      <c r="I242" t="s">
        <v>57</v>
      </c>
      <c r="K242" t="s">
        <v>102</v>
      </c>
      <c r="L242" t="s">
        <v>1827</v>
      </c>
      <c r="M242" t="s">
        <v>59</v>
      </c>
      <c r="P242" t="s">
        <v>259</v>
      </c>
      <c r="Q242" t="s">
        <v>502</v>
      </c>
      <c r="R242" t="s">
        <v>260</v>
      </c>
      <c r="S242" t="s">
        <v>98</v>
      </c>
      <c r="T242">
        <v>259.51</v>
      </c>
      <c r="U242">
        <v>251.90199999999999</v>
      </c>
      <c r="V242">
        <f>(T242+U242)/2</f>
        <v>255.70599999999999</v>
      </c>
      <c r="W242">
        <f>T242-U242</f>
        <v>7.6080000000000041</v>
      </c>
      <c r="X242">
        <v>24.516701000000001</v>
      </c>
      <c r="Y242">
        <v>-31.950001</v>
      </c>
      <c r="Z242" t="s">
        <v>99</v>
      </c>
      <c r="AA242" t="s">
        <v>86</v>
      </c>
      <c r="AB242" t="s">
        <v>87</v>
      </c>
      <c r="AE242" t="s">
        <v>90</v>
      </c>
      <c r="AG242" t="s">
        <v>1828</v>
      </c>
      <c r="AH242" t="s">
        <v>65</v>
      </c>
      <c r="AI242" t="s">
        <v>1310</v>
      </c>
      <c r="AJ242">
        <v>1868</v>
      </c>
      <c r="AK242" t="s">
        <v>1829</v>
      </c>
      <c r="AM242" t="s">
        <v>1830</v>
      </c>
      <c r="AN242" t="s">
        <v>94</v>
      </c>
      <c r="AO242">
        <v>4</v>
      </c>
      <c r="AP242" t="s">
        <v>69</v>
      </c>
      <c r="AR242" t="s">
        <v>70</v>
      </c>
      <c r="AS242">
        <v>701</v>
      </c>
      <c r="AT242" t="s">
        <v>71</v>
      </c>
      <c r="AU242">
        <v>-18.12</v>
      </c>
      <c r="AV242">
        <v>-51.77</v>
      </c>
      <c r="AW242" t="s">
        <v>72</v>
      </c>
      <c r="AX242">
        <v>701</v>
      </c>
      <c r="AY242" t="s">
        <v>71</v>
      </c>
      <c r="AZ242">
        <v>-28.4</v>
      </c>
      <c r="BA242">
        <v>-61.89</v>
      </c>
      <c r="BB242" t="s">
        <v>73</v>
      </c>
    </row>
    <row r="243" spans="1:54" x14ac:dyDescent="0.4">
      <c r="A243">
        <v>1285964</v>
      </c>
      <c r="D243" t="s">
        <v>246</v>
      </c>
      <c r="E243" t="s">
        <v>55</v>
      </c>
      <c r="G243">
        <v>1</v>
      </c>
      <c r="H243" t="s">
        <v>56</v>
      </c>
      <c r="I243" t="s">
        <v>57</v>
      </c>
      <c r="K243" t="s">
        <v>856</v>
      </c>
      <c r="L243" t="s">
        <v>1074</v>
      </c>
      <c r="M243" t="s">
        <v>59</v>
      </c>
      <c r="P243" t="s">
        <v>259</v>
      </c>
      <c r="Q243" t="s">
        <v>502</v>
      </c>
      <c r="R243" t="s">
        <v>260</v>
      </c>
      <c r="S243" t="s">
        <v>98</v>
      </c>
      <c r="T243">
        <v>259.51</v>
      </c>
      <c r="U243">
        <v>251.90199999999999</v>
      </c>
      <c r="V243">
        <f>(T243+U243)/2</f>
        <v>255.70599999999999</v>
      </c>
      <c r="W243">
        <f>T243-U243</f>
        <v>7.6080000000000041</v>
      </c>
      <c r="X243">
        <v>44.416668000000001</v>
      </c>
      <c r="Y243">
        <v>-24</v>
      </c>
      <c r="Z243" t="s">
        <v>99</v>
      </c>
      <c r="AA243" t="s">
        <v>692</v>
      </c>
      <c r="AB243" t="s">
        <v>693</v>
      </c>
      <c r="AD243" t="s">
        <v>694</v>
      </c>
      <c r="AE243" t="s">
        <v>695</v>
      </c>
      <c r="AH243" t="s">
        <v>65</v>
      </c>
      <c r="AI243" t="s">
        <v>1063</v>
      </c>
      <c r="AJ243">
        <v>1926</v>
      </c>
      <c r="AK243" t="s">
        <v>697</v>
      </c>
      <c r="AM243" t="s">
        <v>698</v>
      </c>
      <c r="AN243" t="s">
        <v>121</v>
      </c>
      <c r="AO243" t="s">
        <v>330</v>
      </c>
      <c r="AP243" t="s">
        <v>182</v>
      </c>
      <c r="AQ243" t="s">
        <v>699</v>
      </c>
      <c r="AR243" t="s">
        <v>70</v>
      </c>
      <c r="AS243">
        <v>702</v>
      </c>
      <c r="AT243" t="s">
        <v>71</v>
      </c>
      <c r="AU243">
        <v>22.51</v>
      </c>
      <c r="AV243">
        <v>-42.93</v>
      </c>
      <c r="AW243" t="s">
        <v>72</v>
      </c>
      <c r="AX243">
        <v>702</v>
      </c>
      <c r="AY243" t="s">
        <v>71</v>
      </c>
      <c r="AZ243">
        <v>24.25</v>
      </c>
      <c r="BA243">
        <v>-52.74</v>
      </c>
      <c r="BB243" t="s">
        <v>73</v>
      </c>
    </row>
    <row r="244" spans="1:54" x14ac:dyDescent="0.4">
      <c r="A244">
        <v>1285964</v>
      </c>
      <c r="D244" t="s">
        <v>246</v>
      </c>
      <c r="E244" t="s">
        <v>55</v>
      </c>
      <c r="G244">
        <v>1</v>
      </c>
      <c r="H244" t="s">
        <v>56</v>
      </c>
      <c r="I244" t="s">
        <v>57</v>
      </c>
      <c r="K244" t="s">
        <v>856</v>
      </c>
      <c r="L244" t="s">
        <v>1074</v>
      </c>
      <c r="M244" t="s">
        <v>59</v>
      </c>
      <c r="P244" t="s">
        <v>259</v>
      </c>
      <c r="Q244" t="s">
        <v>502</v>
      </c>
      <c r="R244" t="s">
        <v>260</v>
      </c>
      <c r="S244" t="s">
        <v>98</v>
      </c>
      <c r="T244">
        <v>259.51</v>
      </c>
      <c r="U244">
        <v>251.90199999999999</v>
      </c>
      <c r="V244">
        <f>(T244+U244)/2</f>
        <v>255.70599999999999</v>
      </c>
      <c r="W244">
        <f>T244-U244</f>
        <v>7.6080000000000041</v>
      </c>
      <c r="X244">
        <v>44.416668000000001</v>
      </c>
      <c r="Y244">
        <v>-24</v>
      </c>
      <c r="Z244" t="s">
        <v>99</v>
      </c>
      <c r="AA244" t="s">
        <v>692</v>
      </c>
      <c r="AB244" t="s">
        <v>693</v>
      </c>
      <c r="AD244" t="s">
        <v>694</v>
      </c>
      <c r="AE244" t="s">
        <v>695</v>
      </c>
      <c r="AH244" t="s">
        <v>65</v>
      </c>
      <c r="AI244" t="s">
        <v>1063</v>
      </c>
      <c r="AJ244">
        <v>1926</v>
      </c>
      <c r="AK244" t="s">
        <v>697</v>
      </c>
      <c r="AM244" t="s">
        <v>698</v>
      </c>
      <c r="AN244" t="s">
        <v>121</v>
      </c>
      <c r="AO244" t="s">
        <v>330</v>
      </c>
      <c r="AP244" t="s">
        <v>182</v>
      </c>
      <c r="AQ244" t="s">
        <v>699</v>
      </c>
      <c r="AR244" t="s">
        <v>70</v>
      </c>
      <c r="AS244">
        <v>702</v>
      </c>
      <c r="AT244" t="s">
        <v>71</v>
      </c>
      <c r="AU244">
        <v>22.51</v>
      </c>
      <c r="AV244">
        <v>-42.93</v>
      </c>
      <c r="AW244" t="s">
        <v>72</v>
      </c>
      <c r="AX244">
        <v>702</v>
      </c>
      <c r="AY244" t="s">
        <v>71</v>
      </c>
      <c r="AZ244">
        <v>24.25</v>
      </c>
      <c r="BA244">
        <v>-52.74</v>
      </c>
      <c r="BB244" t="s">
        <v>73</v>
      </c>
    </row>
    <row r="245" spans="1:54" x14ac:dyDescent="0.4">
      <c r="A245">
        <v>1285964</v>
      </c>
      <c r="D245" t="s">
        <v>246</v>
      </c>
      <c r="E245" t="s">
        <v>55</v>
      </c>
      <c r="G245">
        <v>1</v>
      </c>
      <c r="H245" t="s">
        <v>56</v>
      </c>
      <c r="I245" t="s">
        <v>57</v>
      </c>
      <c r="K245" t="s">
        <v>856</v>
      </c>
      <c r="L245" t="s">
        <v>1074</v>
      </c>
      <c r="M245" t="s">
        <v>59</v>
      </c>
      <c r="P245" t="s">
        <v>259</v>
      </c>
      <c r="Q245" t="s">
        <v>502</v>
      </c>
      <c r="R245" t="s">
        <v>260</v>
      </c>
      <c r="S245" t="s">
        <v>98</v>
      </c>
      <c r="T245">
        <v>259.51</v>
      </c>
      <c r="U245">
        <v>251.90199999999999</v>
      </c>
      <c r="V245">
        <f>(T245+U245)/2</f>
        <v>255.70599999999999</v>
      </c>
      <c r="W245">
        <f>T245-U245</f>
        <v>7.6080000000000041</v>
      </c>
      <c r="X245">
        <v>44.416668000000001</v>
      </c>
      <c r="Y245">
        <v>-24</v>
      </c>
      <c r="Z245" t="s">
        <v>99</v>
      </c>
      <c r="AA245" t="s">
        <v>692</v>
      </c>
      <c r="AB245" t="s">
        <v>693</v>
      </c>
      <c r="AD245" t="s">
        <v>694</v>
      </c>
      <c r="AE245" t="s">
        <v>695</v>
      </c>
      <c r="AH245" t="s">
        <v>65</v>
      </c>
      <c r="AI245" t="s">
        <v>1063</v>
      </c>
      <c r="AJ245">
        <v>1926</v>
      </c>
      <c r="AK245" t="s">
        <v>697</v>
      </c>
      <c r="AM245" t="s">
        <v>698</v>
      </c>
      <c r="AN245" t="s">
        <v>121</v>
      </c>
      <c r="AO245" t="s">
        <v>330</v>
      </c>
      <c r="AP245" t="s">
        <v>182</v>
      </c>
      <c r="AQ245" t="s">
        <v>699</v>
      </c>
      <c r="AR245" t="s">
        <v>70</v>
      </c>
      <c r="AS245">
        <v>702</v>
      </c>
      <c r="AT245" t="s">
        <v>71</v>
      </c>
      <c r="AU245">
        <v>22.51</v>
      </c>
      <c r="AV245">
        <v>-42.93</v>
      </c>
      <c r="AW245" t="s">
        <v>72</v>
      </c>
      <c r="AX245">
        <v>702</v>
      </c>
      <c r="AY245" t="s">
        <v>71</v>
      </c>
      <c r="AZ245">
        <v>24.25</v>
      </c>
      <c r="BA245">
        <v>-52.74</v>
      </c>
      <c r="BB245" t="s">
        <v>73</v>
      </c>
    </row>
    <row r="246" spans="1:54" x14ac:dyDescent="0.4">
      <c r="A246">
        <v>1285964</v>
      </c>
      <c r="D246" t="s">
        <v>246</v>
      </c>
      <c r="E246" t="s">
        <v>55</v>
      </c>
      <c r="G246">
        <v>1</v>
      </c>
      <c r="H246" t="s">
        <v>56</v>
      </c>
      <c r="I246" t="s">
        <v>57</v>
      </c>
      <c r="K246" t="s">
        <v>856</v>
      </c>
      <c r="L246" t="s">
        <v>1074</v>
      </c>
      <c r="M246" t="s">
        <v>59</v>
      </c>
      <c r="P246" t="s">
        <v>259</v>
      </c>
      <c r="Q246" t="s">
        <v>502</v>
      </c>
      <c r="R246" t="s">
        <v>260</v>
      </c>
      <c r="S246" t="s">
        <v>98</v>
      </c>
      <c r="T246">
        <v>259.51</v>
      </c>
      <c r="U246">
        <v>251.90199999999999</v>
      </c>
      <c r="V246">
        <f>(T246+U246)/2</f>
        <v>255.70599999999999</v>
      </c>
      <c r="W246">
        <f>T246-U246</f>
        <v>7.6080000000000041</v>
      </c>
      <c r="X246">
        <v>44.416668000000001</v>
      </c>
      <c r="Y246">
        <v>-24</v>
      </c>
      <c r="Z246" t="s">
        <v>99</v>
      </c>
      <c r="AA246" t="s">
        <v>692</v>
      </c>
      <c r="AB246" t="s">
        <v>693</v>
      </c>
      <c r="AD246" t="s">
        <v>694</v>
      </c>
      <c r="AE246" t="s">
        <v>695</v>
      </c>
      <c r="AH246" t="s">
        <v>65</v>
      </c>
      <c r="AI246" t="s">
        <v>1063</v>
      </c>
      <c r="AJ246">
        <v>1926</v>
      </c>
      <c r="AK246" t="s">
        <v>697</v>
      </c>
      <c r="AM246" t="s">
        <v>698</v>
      </c>
      <c r="AN246" t="s">
        <v>121</v>
      </c>
      <c r="AO246" t="s">
        <v>330</v>
      </c>
      <c r="AP246" t="s">
        <v>182</v>
      </c>
      <c r="AQ246" t="s">
        <v>699</v>
      </c>
      <c r="AR246" t="s">
        <v>70</v>
      </c>
      <c r="AS246">
        <v>702</v>
      </c>
      <c r="AT246" t="s">
        <v>71</v>
      </c>
      <c r="AU246">
        <v>22.51</v>
      </c>
      <c r="AV246">
        <v>-42.93</v>
      </c>
      <c r="AW246" t="s">
        <v>72</v>
      </c>
      <c r="AX246">
        <v>702</v>
      </c>
      <c r="AY246" t="s">
        <v>71</v>
      </c>
      <c r="AZ246">
        <v>24.25</v>
      </c>
      <c r="BA246">
        <v>-52.74</v>
      </c>
      <c r="BB246" t="s">
        <v>73</v>
      </c>
    </row>
    <row r="247" spans="1:54" x14ac:dyDescent="0.4">
      <c r="A247">
        <v>1285964</v>
      </c>
      <c r="D247" t="s">
        <v>246</v>
      </c>
      <c r="E247" t="s">
        <v>55</v>
      </c>
      <c r="G247">
        <v>1</v>
      </c>
      <c r="H247" t="s">
        <v>56</v>
      </c>
      <c r="I247" t="s">
        <v>57</v>
      </c>
      <c r="K247" t="s">
        <v>856</v>
      </c>
      <c r="L247" t="s">
        <v>1074</v>
      </c>
      <c r="M247" t="s">
        <v>59</v>
      </c>
      <c r="P247" t="s">
        <v>259</v>
      </c>
      <c r="Q247" t="s">
        <v>502</v>
      </c>
      <c r="R247" t="s">
        <v>260</v>
      </c>
      <c r="S247" t="s">
        <v>98</v>
      </c>
      <c r="T247">
        <v>259.51</v>
      </c>
      <c r="U247">
        <v>251.90199999999999</v>
      </c>
      <c r="V247">
        <f>(T247+U247)/2</f>
        <v>255.70599999999999</v>
      </c>
      <c r="W247">
        <f>T247-U247</f>
        <v>7.6080000000000041</v>
      </c>
      <c r="X247">
        <v>44.416668000000001</v>
      </c>
      <c r="Y247">
        <v>-24</v>
      </c>
      <c r="Z247" t="s">
        <v>99</v>
      </c>
      <c r="AA247" t="s">
        <v>692</v>
      </c>
      <c r="AB247" t="s">
        <v>693</v>
      </c>
      <c r="AD247" t="s">
        <v>694</v>
      </c>
      <c r="AE247" t="s">
        <v>695</v>
      </c>
      <c r="AH247" t="s">
        <v>65</v>
      </c>
      <c r="AI247" t="s">
        <v>1063</v>
      </c>
      <c r="AJ247">
        <v>1926</v>
      </c>
      <c r="AK247" t="s">
        <v>697</v>
      </c>
      <c r="AM247" t="s">
        <v>698</v>
      </c>
      <c r="AN247" t="s">
        <v>121</v>
      </c>
      <c r="AO247" t="s">
        <v>330</v>
      </c>
      <c r="AP247" t="s">
        <v>182</v>
      </c>
      <c r="AQ247" t="s">
        <v>699</v>
      </c>
      <c r="AR247" t="s">
        <v>70</v>
      </c>
      <c r="AS247">
        <v>702</v>
      </c>
      <c r="AT247" t="s">
        <v>71</v>
      </c>
      <c r="AU247">
        <v>22.51</v>
      </c>
      <c r="AV247">
        <v>-42.93</v>
      </c>
      <c r="AW247" t="s">
        <v>72</v>
      </c>
      <c r="AX247">
        <v>702</v>
      </c>
      <c r="AY247" t="s">
        <v>71</v>
      </c>
      <c r="AZ247">
        <v>24.25</v>
      </c>
      <c r="BA247">
        <v>-52.74</v>
      </c>
      <c r="BB247" t="s">
        <v>73</v>
      </c>
    </row>
    <row r="248" spans="1:54" x14ac:dyDescent="0.4">
      <c r="A248">
        <v>1285964</v>
      </c>
      <c r="D248" t="s">
        <v>246</v>
      </c>
      <c r="E248" t="s">
        <v>55</v>
      </c>
      <c r="G248">
        <v>1</v>
      </c>
      <c r="H248" t="s">
        <v>56</v>
      </c>
      <c r="I248" t="s">
        <v>57</v>
      </c>
      <c r="K248" t="s">
        <v>856</v>
      </c>
      <c r="L248" t="s">
        <v>1074</v>
      </c>
      <c r="M248" t="s">
        <v>59</v>
      </c>
      <c r="P248" t="s">
        <v>259</v>
      </c>
      <c r="Q248" t="s">
        <v>502</v>
      </c>
      <c r="R248" t="s">
        <v>260</v>
      </c>
      <c r="S248" t="s">
        <v>98</v>
      </c>
      <c r="T248">
        <v>259.51</v>
      </c>
      <c r="U248">
        <v>251.90199999999999</v>
      </c>
      <c r="V248">
        <f>(T248+U248)/2</f>
        <v>255.70599999999999</v>
      </c>
      <c r="W248">
        <f>T248-U248</f>
        <v>7.6080000000000041</v>
      </c>
      <c r="X248">
        <v>44.416668000000001</v>
      </c>
      <c r="Y248">
        <v>-24</v>
      </c>
      <c r="Z248" t="s">
        <v>99</v>
      </c>
      <c r="AA248" t="s">
        <v>692</v>
      </c>
      <c r="AB248" t="s">
        <v>693</v>
      </c>
      <c r="AD248" t="s">
        <v>694</v>
      </c>
      <c r="AE248" t="s">
        <v>695</v>
      </c>
      <c r="AH248" t="s">
        <v>65</v>
      </c>
      <c r="AI248" t="s">
        <v>1063</v>
      </c>
      <c r="AJ248">
        <v>1926</v>
      </c>
      <c r="AK248" t="s">
        <v>697</v>
      </c>
      <c r="AM248" t="s">
        <v>698</v>
      </c>
      <c r="AN248" t="s">
        <v>121</v>
      </c>
      <c r="AO248" t="s">
        <v>330</v>
      </c>
      <c r="AP248" t="s">
        <v>182</v>
      </c>
      <c r="AQ248" t="s">
        <v>699</v>
      </c>
      <c r="AR248" t="s">
        <v>70</v>
      </c>
      <c r="AS248">
        <v>702</v>
      </c>
      <c r="AT248" t="s">
        <v>71</v>
      </c>
      <c r="AU248">
        <v>22.51</v>
      </c>
      <c r="AV248">
        <v>-42.93</v>
      </c>
      <c r="AW248" t="s">
        <v>72</v>
      </c>
      <c r="AX248">
        <v>702</v>
      </c>
      <c r="AY248" t="s">
        <v>71</v>
      </c>
      <c r="AZ248">
        <v>24.25</v>
      </c>
      <c r="BA248">
        <v>-52.74</v>
      </c>
      <c r="BB248" t="s">
        <v>73</v>
      </c>
    </row>
    <row r="249" spans="1:54" x14ac:dyDescent="0.4">
      <c r="A249">
        <v>1285964</v>
      </c>
      <c r="D249" t="s">
        <v>246</v>
      </c>
      <c r="E249" t="s">
        <v>55</v>
      </c>
      <c r="G249">
        <v>1</v>
      </c>
      <c r="H249" t="s">
        <v>56</v>
      </c>
      <c r="I249" t="s">
        <v>57</v>
      </c>
      <c r="K249" t="s">
        <v>856</v>
      </c>
      <c r="L249" t="s">
        <v>1074</v>
      </c>
      <c r="M249" t="s">
        <v>59</v>
      </c>
      <c r="P249" t="s">
        <v>259</v>
      </c>
      <c r="Q249" t="s">
        <v>502</v>
      </c>
      <c r="R249" t="s">
        <v>260</v>
      </c>
      <c r="S249" t="s">
        <v>98</v>
      </c>
      <c r="T249">
        <v>259.51</v>
      </c>
      <c r="U249">
        <v>251.90199999999999</v>
      </c>
      <c r="V249">
        <f>(T249+U249)/2</f>
        <v>255.70599999999999</v>
      </c>
      <c r="W249">
        <f>T249-U249</f>
        <v>7.6080000000000041</v>
      </c>
      <c r="X249">
        <v>44.416668000000001</v>
      </c>
      <c r="Y249">
        <v>-24</v>
      </c>
      <c r="Z249" t="s">
        <v>99</v>
      </c>
      <c r="AA249" t="s">
        <v>692</v>
      </c>
      <c r="AB249" t="s">
        <v>693</v>
      </c>
      <c r="AD249" t="s">
        <v>694</v>
      </c>
      <c r="AE249" t="s">
        <v>695</v>
      </c>
      <c r="AH249" t="s">
        <v>65</v>
      </c>
      <c r="AI249" t="s">
        <v>1063</v>
      </c>
      <c r="AJ249">
        <v>1926</v>
      </c>
      <c r="AK249" t="s">
        <v>697</v>
      </c>
      <c r="AM249" t="s">
        <v>698</v>
      </c>
      <c r="AN249" t="s">
        <v>121</v>
      </c>
      <c r="AO249" t="s">
        <v>330</v>
      </c>
      <c r="AP249" t="s">
        <v>182</v>
      </c>
      <c r="AQ249" t="s">
        <v>699</v>
      </c>
      <c r="AR249" t="s">
        <v>70</v>
      </c>
      <c r="AS249">
        <v>702</v>
      </c>
      <c r="AT249" t="s">
        <v>71</v>
      </c>
      <c r="AU249">
        <v>22.51</v>
      </c>
      <c r="AV249">
        <v>-42.93</v>
      </c>
      <c r="AW249" t="s">
        <v>72</v>
      </c>
      <c r="AX249">
        <v>702</v>
      </c>
      <c r="AY249" t="s">
        <v>71</v>
      </c>
      <c r="AZ249">
        <v>24.25</v>
      </c>
      <c r="BA249">
        <v>-52.74</v>
      </c>
      <c r="BB249" t="s">
        <v>73</v>
      </c>
    </row>
    <row r="250" spans="1:54" x14ac:dyDescent="0.4">
      <c r="A250">
        <v>1285964</v>
      </c>
      <c r="D250" t="s">
        <v>246</v>
      </c>
      <c r="E250" t="s">
        <v>55</v>
      </c>
      <c r="G250">
        <v>1</v>
      </c>
      <c r="H250" t="s">
        <v>56</v>
      </c>
      <c r="I250" t="s">
        <v>57</v>
      </c>
      <c r="K250" t="s">
        <v>856</v>
      </c>
      <c r="L250" t="s">
        <v>1074</v>
      </c>
      <c r="M250" t="s">
        <v>59</v>
      </c>
      <c r="P250" t="s">
        <v>259</v>
      </c>
      <c r="Q250" t="s">
        <v>502</v>
      </c>
      <c r="R250" t="s">
        <v>260</v>
      </c>
      <c r="S250" t="s">
        <v>98</v>
      </c>
      <c r="T250">
        <v>259.51</v>
      </c>
      <c r="U250">
        <v>251.90199999999999</v>
      </c>
      <c r="V250">
        <f>(T250+U250)/2</f>
        <v>255.70599999999999</v>
      </c>
      <c r="W250">
        <f>T250-U250</f>
        <v>7.6080000000000041</v>
      </c>
      <c r="X250">
        <v>44.416668000000001</v>
      </c>
      <c r="Y250">
        <v>-24</v>
      </c>
      <c r="Z250" t="s">
        <v>99</v>
      </c>
      <c r="AA250" t="s">
        <v>692</v>
      </c>
      <c r="AB250" t="s">
        <v>693</v>
      </c>
      <c r="AD250" t="s">
        <v>694</v>
      </c>
      <c r="AE250" t="s">
        <v>695</v>
      </c>
      <c r="AH250" t="s">
        <v>65</v>
      </c>
      <c r="AI250" t="s">
        <v>1063</v>
      </c>
      <c r="AJ250">
        <v>1926</v>
      </c>
      <c r="AK250" t="s">
        <v>697</v>
      </c>
      <c r="AM250" t="s">
        <v>698</v>
      </c>
      <c r="AN250" t="s">
        <v>121</v>
      </c>
      <c r="AO250" t="s">
        <v>330</v>
      </c>
      <c r="AP250" t="s">
        <v>182</v>
      </c>
      <c r="AQ250" t="s">
        <v>699</v>
      </c>
      <c r="AR250" t="s">
        <v>70</v>
      </c>
      <c r="AS250">
        <v>702</v>
      </c>
      <c r="AT250" t="s">
        <v>71</v>
      </c>
      <c r="AU250">
        <v>22.51</v>
      </c>
      <c r="AV250">
        <v>-42.93</v>
      </c>
      <c r="AW250" t="s">
        <v>72</v>
      </c>
      <c r="AX250">
        <v>702</v>
      </c>
      <c r="AY250" t="s">
        <v>71</v>
      </c>
      <c r="AZ250">
        <v>24.25</v>
      </c>
      <c r="BA250">
        <v>-52.74</v>
      </c>
      <c r="BB250" t="s">
        <v>73</v>
      </c>
    </row>
    <row r="251" spans="1:54" x14ac:dyDescent="0.4">
      <c r="A251">
        <v>1285964</v>
      </c>
      <c r="D251" t="s">
        <v>246</v>
      </c>
      <c r="E251" t="s">
        <v>55</v>
      </c>
      <c r="G251">
        <v>1</v>
      </c>
      <c r="H251" t="s">
        <v>56</v>
      </c>
      <c r="I251" t="s">
        <v>57</v>
      </c>
      <c r="K251" t="s">
        <v>856</v>
      </c>
      <c r="L251" t="s">
        <v>1074</v>
      </c>
      <c r="M251" t="s">
        <v>59</v>
      </c>
      <c r="P251" t="s">
        <v>259</v>
      </c>
      <c r="Q251" t="s">
        <v>502</v>
      </c>
      <c r="R251" t="s">
        <v>260</v>
      </c>
      <c r="S251" t="s">
        <v>98</v>
      </c>
      <c r="T251">
        <v>259.51</v>
      </c>
      <c r="U251">
        <v>251.90199999999999</v>
      </c>
      <c r="V251">
        <f>(T251+U251)/2</f>
        <v>255.70599999999999</v>
      </c>
      <c r="W251">
        <f>T251-U251</f>
        <v>7.6080000000000041</v>
      </c>
      <c r="X251">
        <v>44.416668000000001</v>
      </c>
      <c r="Y251">
        <v>-24</v>
      </c>
      <c r="Z251" t="s">
        <v>99</v>
      </c>
      <c r="AA251" t="s">
        <v>692</v>
      </c>
      <c r="AB251" t="s">
        <v>693</v>
      </c>
      <c r="AD251" t="s">
        <v>694</v>
      </c>
      <c r="AE251" t="s">
        <v>695</v>
      </c>
      <c r="AH251" t="s">
        <v>65</v>
      </c>
      <c r="AI251" t="s">
        <v>1063</v>
      </c>
      <c r="AJ251">
        <v>1926</v>
      </c>
      <c r="AK251" t="s">
        <v>697</v>
      </c>
      <c r="AM251" t="s">
        <v>698</v>
      </c>
      <c r="AN251" t="s">
        <v>121</v>
      </c>
      <c r="AO251" t="s">
        <v>330</v>
      </c>
      <c r="AP251" t="s">
        <v>182</v>
      </c>
      <c r="AQ251" t="s">
        <v>699</v>
      </c>
      <c r="AR251" t="s">
        <v>70</v>
      </c>
      <c r="AS251">
        <v>702</v>
      </c>
      <c r="AT251" t="s">
        <v>71</v>
      </c>
      <c r="AU251">
        <v>22.51</v>
      </c>
      <c r="AV251">
        <v>-42.93</v>
      </c>
      <c r="AW251" t="s">
        <v>72</v>
      </c>
      <c r="AX251">
        <v>702</v>
      </c>
      <c r="AY251" t="s">
        <v>71</v>
      </c>
      <c r="AZ251">
        <v>24.25</v>
      </c>
      <c r="BA251">
        <v>-52.74</v>
      </c>
      <c r="BB251" t="s">
        <v>73</v>
      </c>
    </row>
    <row r="252" spans="1:54" x14ac:dyDescent="0.4">
      <c r="A252">
        <v>1285964</v>
      </c>
      <c r="D252" t="s">
        <v>246</v>
      </c>
      <c r="E252" t="s">
        <v>55</v>
      </c>
      <c r="G252">
        <v>1</v>
      </c>
      <c r="H252" t="s">
        <v>56</v>
      </c>
      <c r="I252" t="s">
        <v>57</v>
      </c>
      <c r="K252" t="s">
        <v>856</v>
      </c>
      <c r="L252" t="s">
        <v>1074</v>
      </c>
      <c r="M252" t="s">
        <v>59</v>
      </c>
      <c r="P252" t="s">
        <v>259</v>
      </c>
      <c r="Q252" t="s">
        <v>502</v>
      </c>
      <c r="R252" t="s">
        <v>260</v>
      </c>
      <c r="S252" t="s">
        <v>98</v>
      </c>
      <c r="T252">
        <v>259.51</v>
      </c>
      <c r="U252">
        <v>251.90199999999999</v>
      </c>
      <c r="V252">
        <f>(T252+U252)/2</f>
        <v>255.70599999999999</v>
      </c>
      <c r="W252">
        <f>T252-U252</f>
        <v>7.6080000000000041</v>
      </c>
      <c r="X252">
        <v>44.416668000000001</v>
      </c>
      <c r="Y252">
        <v>-24</v>
      </c>
      <c r="Z252" t="s">
        <v>99</v>
      </c>
      <c r="AA252" t="s">
        <v>692</v>
      </c>
      <c r="AB252" t="s">
        <v>693</v>
      </c>
      <c r="AD252" t="s">
        <v>694</v>
      </c>
      <c r="AE252" t="s">
        <v>695</v>
      </c>
      <c r="AH252" t="s">
        <v>65</v>
      </c>
      <c r="AI252" t="s">
        <v>1063</v>
      </c>
      <c r="AJ252">
        <v>1926</v>
      </c>
      <c r="AK252" t="s">
        <v>697</v>
      </c>
      <c r="AM252" t="s">
        <v>698</v>
      </c>
      <c r="AN252" t="s">
        <v>121</v>
      </c>
      <c r="AO252" t="s">
        <v>330</v>
      </c>
      <c r="AP252" t="s">
        <v>182</v>
      </c>
      <c r="AQ252" t="s">
        <v>699</v>
      </c>
      <c r="AR252" t="s">
        <v>70</v>
      </c>
      <c r="AS252">
        <v>702</v>
      </c>
      <c r="AT252" t="s">
        <v>71</v>
      </c>
      <c r="AU252">
        <v>22.51</v>
      </c>
      <c r="AV252">
        <v>-42.93</v>
      </c>
      <c r="AW252" t="s">
        <v>72</v>
      </c>
      <c r="AX252">
        <v>702</v>
      </c>
      <c r="AY252" t="s">
        <v>71</v>
      </c>
      <c r="AZ252">
        <v>24.25</v>
      </c>
      <c r="BA252">
        <v>-52.74</v>
      </c>
      <c r="BB252" t="s">
        <v>73</v>
      </c>
    </row>
    <row r="253" spans="1:54" x14ac:dyDescent="0.4">
      <c r="A253">
        <v>1285964</v>
      </c>
      <c r="D253" t="s">
        <v>246</v>
      </c>
      <c r="E253" t="s">
        <v>55</v>
      </c>
      <c r="G253">
        <v>1</v>
      </c>
      <c r="H253" t="s">
        <v>56</v>
      </c>
      <c r="I253" t="s">
        <v>57</v>
      </c>
      <c r="K253" t="s">
        <v>856</v>
      </c>
      <c r="L253" t="s">
        <v>1074</v>
      </c>
      <c r="M253" t="s">
        <v>59</v>
      </c>
      <c r="P253" t="s">
        <v>259</v>
      </c>
      <c r="Q253" t="s">
        <v>502</v>
      </c>
      <c r="R253" t="s">
        <v>260</v>
      </c>
      <c r="S253" t="s">
        <v>98</v>
      </c>
      <c r="T253">
        <v>259.51</v>
      </c>
      <c r="U253">
        <v>251.90199999999999</v>
      </c>
      <c r="V253">
        <f>(T253+U253)/2</f>
        <v>255.70599999999999</v>
      </c>
      <c r="W253">
        <f>T253-U253</f>
        <v>7.6080000000000041</v>
      </c>
      <c r="X253">
        <v>44.416668000000001</v>
      </c>
      <c r="Y253">
        <v>-24</v>
      </c>
      <c r="Z253" t="s">
        <v>99</v>
      </c>
      <c r="AA253" t="s">
        <v>692</v>
      </c>
      <c r="AB253" t="s">
        <v>693</v>
      </c>
      <c r="AD253" t="s">
        <v>694</v>
      </c>
      <c r="AE253" t="s">
        <v>695</v>
      </c>
      <c r="AH253" t="s">
        <v>65</v>
      </c>
      <c r="AI253" t="s">
        <v>1063</v>
      </c>
      <c r="AJ253">
        <v>1926</v>
      </c>
      <c r="AK253" t="s">
        <v>697</v>
      </c>
      <c r="AM253" t="s">
        <v>698</v>
      </c>
      <c r="AN253" t="s">
        <v>121</v>
      </c>
      <c r="AO253" t="s">
        <v>330</v>
      </c>
      <c r="AP253" t="s">
        <v>182</v>
      </c>
      <c r="AQ253" t="s">
        <v>699</v>
      </c>
      <c r="AR253" t="s">
        <v>70</v>
      </c>
      <c r="AS253">
        <v>702</v>
      </c>
      <c r="AT253" t="s">
        <v>71</v>
      </c>
      <c r="AU253">
        <v>22.51</v>
      </c>
      <c r="AV253">
        <v>-42.93</v>
      </c>
      <c r="AW253" t="s">
        <v>72</v>
      </c>
      <c r="AX253">
        <v>702</v>
      </c>
      <c r="AY253" t="s">
        <v>71</v>
      </c>
      <c r="AZ253">
        <v>24.25</v>
      </c>
      <c r="BA253">
        <v>-52.74</v>
      </c>
      <c r="BB253" t="s">
        <v>73</v>
      </c>
    </row>
    <row r="254" spans="1:54" x14ac:dyDescent="0.4">
      <c r="A254">
        <v>1285964</v>
      </c>
      <c r="D254" t="s">
        <v>246</v>
      </c>
      <c r="E254" t="s">
        <v>55</v>
      </c>
      <c r="G254">
        <v>1</v>
      </c>
      <c r="H254" t="s">
        <v>56</v>
      </c>
      <c r="I254" t="s">
        <v>57</v>
      </c>
      <c r="K254" t="s">
        <v>856</v>
      </c>
      <c r="L254" t="s">
        <v>1074</v>
      </c>
      <c r="M254" t="s">
        <v>59</v>
      </c>
      <c r="P254" t="s">
        <v>259</v>
      </c>
      <c r="Q254" t="s">
        <v>502</v>
      </c>
      <c r="R254" t="s">
        <v>260</v>
      </c>
      <c r="S254" t="s">
        <v>98</v>
      </c>
      <c r="T254">
        <v>259.51</v>
      </c>
      <c r="U254">
        <v>251.90199999999999</v>
      </c>
      <c r="V254">
        <f>(T254+U254)/2</f>
        <v>255.70599999999999</v>
      </c>
      <c r="W254">
        <f>T254-U254</f>
        <v>7.6080000000000041</v>
      </c>
      <c r="X254">
        <v>44.416668000000001</v>
      </c>
      <c r="Y254">
        <v>-24</v>
      </c>
      <c r="Z254" t="s">
        <v>99</v>
      </c>
      <c r="AA254" t="s">
        <v>692</v>
      </c>
      <c r="AB254" t="s">
        <v>693</v>
      </c>
      <c r="AD254" t="s">
        <v>694</v>
      </c>
      <c r="AE254" t="s">
        <v>695</v>
      </c>
      <c r="AH254" t="s">
        <v>65</v>
      </c>
      <c r="AI254" t="s">
        <v>1063</v>
      </c>
      <c r="AJ254">
        <v>1926</v>
      </c>
      <c r="AK254" t="s">
        <v>697</v>
      </c>
      <c r="AM254" t="s">
        <v>698</v>
      </c>
      <c r="AN254" t="s">
        <v>121</v>
      </c>
      <c r="AO254" t="s">
        <v>330</v>
      </c>
      <c r="AP254" t="s">
        <v>182</v>
      </c>
      <c r="AQ254" t="s">
        <v>699</v>
      </c>
      <c r="AR254" t="s">
        <v>70</v>
      </c>
      <c r="AS254">
        <v>702</v>
      </c>
      <c r="AT254" t="s">
        <v>71</v>
      </c>
      <c r="AU254">
        <v>22.51</v>
      </c>
      <c r="AV254">
        <v>-42.93</v>
      </c>
      <c r="AW254" t="s">
        <v>72</v>
      </c>
      <c r="AX254">
        <v>702</v>
      </c>
      <c r="AY254" t="s">
        <v>71</v>
      </c>
      <c r="AZ254">
        <v>24.25</v>
      </c>
      <c r="BA254">
        <v>-52.74</v>
      </c>
      <c r="BB254" t="s">
        <v>73</v>
      </c>
    </row>
    <row r="255" spans="1:54" x14ac:dyDescent="0.4">
      <c r="A255">
        <v>1285964</v>
      </c>
      <c r="D255" t="s">
        <v>246</v>
      </c>
      <c r="E255" t="s">
        <v>55</v>
      </c>
      <c r="G255">
        <v>1</v>
      </c>
      <c r="H255" t="s">
        <v>56</v>
      </c>
      <c r="I255" t="s">
        <v>57</v>
      </c>
      <c r="K255" t="s">
        <v>856</v>
      </c>
      <c r="L255" t="s">
        <v>1074</v>
      </c>
      <c r="M255" t="s">
        <v>59</v>
      </c>
      <c r="P255" t="s">
        <v>259</v>
      </c>
      <c r="Q255" t="s">
        <v>502</v>
      </c>
      <c r="R255" t="s">
        <v>260</v>
      </c>
      <c r="S255" t="s">
        <v>98</v>
      </c>
      <c r="T255">
        <v>259.51</v>
      </c>
      <c r="U255">
        <v>251.90199999999999</v>
      </c>
      <c r="V255">
        <f>(T255+U255)/2</f>
        <v>255.70599999999999</v>
      </c>
      <c r="W255">
        <f>T255-U255</f>
        <v>7.6080000000000041</v>
      </c>
      <c r="X255">
        <v>44.416668000000001</v>
      </c>
      <c r="Y255">
        <v>-24</v>
      </c>
      <c r="Z255" t="s">
        <v>99</v>
      </c>
      <c r="AA255" t="s">
        <v>692</v>
      </c>
      <c r="AB255" t="s">
        <v>693</v>
      </c>
      <c r="AD255" t="s">
        <v>694</v>
      </c>
      <c r="AE255" t="s">
        <v>695</v>
      </c>
      <c r="AH255" t="s">
        <v>65</v>
      </c>
      <c r="AI255" t="s">
        <v>1063</v>
      </c>
      <c r="AJ255">
        <v>1926</v>
      </c>
      <c r="AK255" t="s">
        <v>697</v>
      </c>
      <c r="AM255" t="s">
        <v>698</v>
      </c>
      <c r="AN255" t="s">
        <v>121</v>
      </c>
      <c r="AO255" t="s">
        <v>330</v>
      </c>
      <c r="AP255" t="s">
        <v>182</v>
      </c>
      <c r="AQ255" t="s">
        <v>699</v>
      </c>
      <c r="AR255" t="s">
        <v>70</v>
      </c>
      <c r="AS255">
        <v>702</v>
      </c>
      <c r="AT255" t="s">
        <v>71</v>
      </c>
      <c r="AU255">
        <v>22.51</v>
      </c>
      <c r="AV255">
        <v>-42.93</v>
      </c>
      <c r="AW255" t="s">
        <v>72</v>
      </c>
      <c r="AX255">
        <v>702</v>
      </c>
      <c r="AY255" t="s">
        <v>71</v>
      </c>
      <c r="AZ255">
        <v>24.25</v>
      </c>
      <c r="BA255">
        <v>-52.74</v>
      </c>
      <c r="BB255" t="s">
        <v>73</v>
      </c>
    </row>
    <row r="256" spans="1:54" x14ac:dyDescent="0.4">
      <c r="A256">
        <v>1285964</v>
      </c>
      <c r="D256" t="s">
        <v>246</v>
      </c>
      <c r="E256" t="s">
        <v>55</v>
      </c>
      <c r="G256">
        <v>1</v>
      </c>
      <c r="H256" t="s">
        <v>56</v>
      </c>
      <c r="I256" t="s">
        <v>57</v>
      </c>
      <c r="K256" t="s">
        <v>856</v>
      </c>
      <c r="L256" t="s">
        <v>1074</v>
      </c>
      <c r="M256" t="s">
        <v>59</v>
      </c>
      <c r="P256" t="s">
        <v>259</v>
      </c>
      <c r="Q256" t="s">
        <v>502</v>
      </c>
      <c r="R256" t="s">
        <v>260</v>
      </c>
      <c r="S256" t="s">
        <v>98</v>
      </c>
      <c r="T256">
        <v>259.51</v>
      </c>
      <c r="U256">
        <v>251.90199999999999</v>
      </c>
      <c r="V256">
        <f>(T256+U256)/2</f>
        <v>255.70599999999999</v>
      </c>
      <c r="W256">
        <f>T256-U256</f>
        <v>7.6080000000000041</v>
      </c>
      <c r="X256">
        <v>44.416668000000001</v>
      </c>
      <c r="Y256">
        <v>-24</v>
      </c>
      <c r="Z256" t="s">
        <v>99</v>
      </c>
      <c r="AA256" t="s">
        <v>692</v>
      </c>
      <c r="AB256" t="s">
        <v>693</v>
      </c>
      <c r="AD256" t="s">
        <v>694</v>
      </c>
      <c r="AE256" t="s">
        <v>695</v>
      </c>
      <c r="AH256" t="s">
        <v>65</v>
      </c>
      <c r="AI256" t="s">
        <v>1063</v>
      </c>
      <c r="AJ256">
        <v>1926</v>
      </c>
      <c r="AK256" t="s">
        <v>697</v>
      </c>
      <c r="AM256" t="s">
        <v>698</v>
      </c>
      <c r="AN256" t="s">
        <v>121</v>
      </c>
      <c r="AO256" t="s">
        <v>330</v>
      </c>
      <c r="AP256" t="s">
        <v>182</v>
      </c>
      <c r="AQ256" t="s">
        <v>699</v>
      </c>
      <c r="AR256" t="s">
        <v>70</v>
      </c>
      <c r="AS256">
        <v>702</v>
      </c>
      <c r="AT256" t="s">
        <v>71</v>
      </c>
      <c r="AU256">
        <v>22.51</v>
      </c>
      <c r="AV256">
        <v>-42.93</v>
      </c>
      <c r="AW256" t="s">
        <v>72</v>
      </c>
      <c r="AX256">
        <v>702</v>
      </c>
      <c r="AY256" t="s">
        <v>71</v>
      </c>
      <c r="AZ256">
        <v>24.25</v>
      </c>
      <c r="BA256">
        <v>-52.74</v>
      </c>
      <c r="BB256" t="s">
        <v>73</v>
      </c>
    </row>
    <row r="257" spans="1:54" x14ac:dyDescent="0.4">
      <c r="A257">
        <v>1285964</v>
      </c>
      <c r="D257" t="s">
        <v>246</v>
      </c>
      <c r="E257" t="s">
        <v>55</v>
      </c>
      <c r="G257">
        <v>1</v>
      </c>
      <c r="H257" t="s">
        <v>56</v>
      </c>
      <c r="I257" t="s">
        <v>57</v>
      </c>
      <c r="K257" t="s">
        <v>856</v>
      </c>
      <c r="L257" t="s">
        <v>1074</v>
      </c>
      <c r="M257" t="s">
        <v>59</v>
      </c>
      <c r="P257" t="s">
        <v>259</v>
      </c>
      <c r="Q257" t="s">
        <v>502</v>
      </c>
      <c r="R257" t="s">
        <v>260</v>
      </c>
      <c r="S257" t="s">
        <v>98</v>
      </c>
      <c r="T257">
        <v>259.51</v>
      </c>
      <c r="U257">
        <v>251.90199999999999</v>
      </c>
      <c r="V257">
        <f>(T257+U257)/2</f>
        <v>255.70599999999999</v>
      </c>
      <c r="W257">
        <f>T257-U257</f>
        <v>7.6080000000000041</v>
      </c>
      <c r="X257">
        <v>44.416668000000001</v>
      </c>
      <c r="Y257">
        <v>-24</v>
      </c>
      <c r="Z257" t="s">
        <v>99</v>
      </c>
      <c r="AA257" t="s">
        <v>692</v>
      </c>
      <c r="AB257" t="s">
        <v>693</v>
      </c>
      <c r="AD257" t="s">
        <v>694</v>
      </c>
      <c r="AE257" t="s">
        <v>695</v>
      </c>
      <c r="AH257" t="s">
        <v>65</v>
      </c>
      <c r="AI257" t="s">
        <v>1063</v>
      </c>
      <c r="AJ257">
        <v>1926</v>
      </c>
      <c r="AK257" t="s">
        <v>697</v>
      </c>
      <c r="AM257" t="s">
        <v>698</v>
      </c>
      <c r="AN257" t="s">
        <v>121</v>
      </c>
      <c r="AO257" t="s">
        <v>330</v>
      </c>
      <c r="AP257" t="s">
        <v>182</v>
      </c>
      <c r="AQ257" t="s">
        <v>699</v>
      </c>
      <c r="AR257" t="s">
        <v>70</v>
      </c>
      <c r="AS257">
        <v>702</v>
      </c>
      <c r="AT257" t="s">
        <v>71</v>
      </c>
      <c r="AU257">
        <v>22.51</v>
      </c>
      <c r="AV257">
        <v>-42.93</v>
      </c>
      <c r="AW257" t="s">
        <v>72</v>
      </c>
      <c r="AX257">
        <v>702</v>
      </c>
      <c r="AY257" t="s">
        <v>71</v>
      </c>
      <c r="AZ257">
        <v>24.25</v>
      </c>
      <c r="BA257">
        <v>-52.74</v>
      </c>
      <c r="BB257" t="s">
        <v>73</v>
      </c>
    </row>
    <row r="258" spans="1:54" x14ac:dyDescent="0.4">
      <c r="A258">
        <v>1285964</v>
      </c>
      <c r="D258" t="s">
        <v>246</v>
      </c>
      <c r="E258" t="s">
        <v>55</v>
      </c>
      <c r="G258">
        <v>1</v>
      </c>
      <c r="H258" t="s">
        <v>56</v>
      </c>
      <c r="I258" t="s">
        <v>57</v>
      </c>
      <c r="K258" t="s">
        <v>856</v>
      </c>
      <c r="L258" t="s">
        <v>1074</v>
      </c>
      <c r="M258" t="s">
        <v>59</v>
      </c>
      <c r="P258" t="s">
        <v>259</v>
      </c>
      <c r="Q258" t="s">
        <v>502</v>
      </c>
      <c r="R258" t="s">
        <v>260</v>
      </c>
      <c r="S258" t="s">
        <v>98</v>
      </c>
      <c r="T258">
        <v>259.51</v>
      </c>
      <c r="U258">
        <v>251.90199999999999</v>
      </c>
      <c r="V258">
        <f>(T258+U258)/2</f>
        <v>255.70599999999999</v>
      </c>
      <c r="W258">
        <f>T258-U258</f>
        <v>7.6080000000000041</v>
      </c>
      <c r="X258">
        <v>44.416668000000001</v>
      </c>
      <c r="Y258">
        <v>-24</v>
      </c>
      <c r="Z258" t="s">
        <v>99</v>
      </c>
      <c r="AA258" t="s">
        <v>692</v>
      </c>
      <c r="AB258" t="s">
        <v>693</v>
      </c>
      <c r="AD258" t="s">
        <v>694</v>
      </c>
      <c r="AE258" t="s">
        <v>695</v>
      </c>
      <c r="AH258" t="s">
        <v>65</v>
      </c>
      <c r="AI258" t="s">
        <v>1063</v>
      </c>
      <c r="AJ258">
        <v>1926</v>
      </c>
      <c r="AK258" t="s">
        <v>697</v>
      </c>
      <c r="AM258" t="s">
        <v>698</v>
      </c>
      <c r="AN258" t="s">
        <v>121</v>
      </c>
      <c r="AO258" t="s">
        <v>330</v>
      </c>
      <c r="AP258" t="s">
        <v>182</v>
      </c>
      <c r="AQ258" t="s">
        <v>699</v>
      </c>
      <c r="AR258" t="s">
        <v>70</v>
      </c>
      <c r="AS258">
        <v>702</v>
      </c>
      <c r="AT258" t="s">
        <v>71</v>
      </c>
      <c r="AU258">
        <v>22.51</v>
      </c>
      <c r="AV258">
        <v>-42.93</v>
      </c>
      <c r="AW258" t="s">
        <v>72</v>
      </c>
      <c r="AX258">
        <v>702</v>
      </c>
      <c r="AY258" t="s">
        <v>71</v>
      </c>
      <c r="AZ258">
        <v>24.25</v>
      </c>
      <c r="BA258">
        <v>-52.74</v>
      </c>
      <c r="BB258" t="s">
        <v>73</v>
      </c>
    </row>
    <row r="259" spans="1:54" x14ac:dyDescent="0.4">
      <c r="A259">
        <v>1285964</v>
      </c>
      <c r="D259" t="s">
        <v>246</v>
      </c>
      <c r="E259" t="s">
        <v>55</v>
      </c>
      <c r="G259">
        <v>1</v>
      </c>
      <c r="H259" t="s">
        <v>56</v>
      </c>
      <c r="I259" t="s">
        <v>57</v>
      </c>
      <c r="K259" t="s">
        <v>856</v>
      </c>
      <c r="L259" t="s">
        <v>1074</v>
      </c>
      <c r="M259" t="s">
        <v>59</v>
      </c>
      <c r="P259" t="s">
        <v>259</v>
      </c>
      <c r="Q259" t="s">
        <v>502</v>
      </c>
      <c r="R259" t="s">
        <v>260</v>
      </c>
      <c r="S259" t="s">
        <v>98</v>
      </c>
      <c r="T259">
        <v>259.51</v>
      </c>
      <c r="U259">
        <v>251.90199999999999</v>
      </c>
      <c r="V259">
        <f>(T259+U259)/2</f>
        <v>255.70599999999999</v>
      </c>
      <c r="W259">
        <f>T259-U259</f>
        <v>7.6080000000000041</v>
      </c>
      <c r="X259">
        <v>44.416668000000001</v>
      </c>
      <c r="Y259">
        <v>-24</v>
      </c>
      <c r="Z259" t="s">
        <v>99</v>
      </c>
      <c r="AA259" t="s">
        <v>692</v>
      </c>
      <c r="AB259" t="s">
        <v>693</v>
      </c>
      <c r="AD259" t="s">
        <v>694</v>
      </c>
      <c r="AE259" t="s">
        <v>695</v>
      </c>
      <c r="AH259" t="s">
        <v>65</v>
      </c>
      <c r="AI259" t="s">
        <v>1063</v>
      </c>
      <c r="AJ259">
        <v>1926</v>
      </c>
      <c r="AK259" t="s">
        <v>697</v>
      </c>
      <c r="AM259" t="s">
        <v>698</v>
      </c>
      <c r="AN259" t="s">
        <v>121</v>
      </c>
      <c r="AO259" t="s">
        <v>330</v>
      </c>
      <c r="AP259" t="s">
        <v>182</v>
      </c>
      <c r="AQ259" t="s">
        <v>699</v>
      </c>
      <c r="AR259" t="s">
        <v>70</v>
      </c>
      <c r="AS259">
        <v>702</v>
      </c>
      <c r="AT259" t="s">
        <v>71</v>
      </c>
      <c r="AU259">
        <v>22.51</v>
      </c>
      <c r="AV259">
        <v>-42.93</v>
      </c>
      <c r="AW259" t="s">
        <v>72</v>
      </c>
      <c r="AX259">
        <v>702</v>
      </c>
      <c r="AY259" t="s">
        <v>71</v>
      </c>
      <c r="AZ259">
        <v>24.25</v>
      </c>
      <c r="BA259">
        <v>-52.74</v>
      </c>
      <c r="BB259" t="s">
        <v>73</v>
      </c>
    </row>
    <row r="260" spans="1:54" x14ac:dyDescent="0.4">
      <c r="A260">
        <v>1285964</v>
      </c>
      <c r="D260" t="s">
        <v>246</v>
      </c>
      <c r="E260" t="s">
        <v>55</v>
      </c>
      <c r="G260">
        <v>1</v>
      </c>
      <c r="H260" t="s">
        <v>56</v>
      </c>
      <c r="I260" t="s">
        <v>57</v>
      </c>
      <c r="K260" t="s">
        <v>856</v>
      </c>
      <c r="L260" t="s">
        <v>1074</v>
      </c>
      <c r="M260" t="s">
        <v>59</v>
      </c>
      <c r="P260" t="s">
        <v>259</v>
      </c>
      <c r="Q260" t="s">
        <v>502</v>
      </c>
      <c r="R260" t="s">
        <v>260</v>
      </c>
      <c r="S260" t="s">
        <v>98</v>
      </c>
      <c r="T260">
        <v>259.51</v>
      </c>
      <c r="U260">
        <v>251.90199999999999</v>
      </c>
      <c r="V260">
        <f>(T260+U260)/2</f>
        <v>255.70599999999999</v>
      </c>
      <c r="W260">
        <f>T260-U260</f>
        <v>7.6080000000000041</v>
      </c>
      <c r="X260">
        <v>44.416668000000001</v>
      </c>
      <c r="Y260">
        <v>-24</v>
      </c>
      <c r="Z260" t="s">
        <v>99</v>
      </c>
      <c r="AA260" t="s">
        <v>692</v>
      </c>
      <c r="AB260" t="s">
        <v>693</v>
      </c>
      <c r="AD260" t="s">
        <v>694</v>
      </c>
      <c r="AE260" t="s">
        <v>695</v>
      </c>
      <c r="AH260" t="s">
        <v>65</v>
      </c>
      <c r="AI260" t="s">
        <v>1063</v>
      </c>
      <c r="AJ260">
        <v>1926</v>
      </c>
      <c r="AK260" t="s">
        <v>697</v>
      </c>
      <c r="AM260" t="s">
        <v>698</v>
      </c>
      <c r="AN260" t="s">
        <v>121</v>
      </c>
      <c r="AO260" t="s">
        <v>330</v>
      </c>
      <c r="AP260" t="s">
        <v>182</v>
      </c>
      <c r="AQ260" t="s">
        <v>699</v>
      </c>
      <c r="AR260" t="s">
        <v>70</v>
      </c>
      <c r="AS260">
        <v>702</v>
      </c>
      <c r="AT260" t="s">
        <v>71</v>
      </c>
      <c r="AU260">
        <v>22.51</v>
      </c>
      <c r="AV260">
        <v>-42.93</v>
      </c>
      <c r="AW260" t="s">
        <v>72</v>
      </c>
      <c r="AX260">
        <v>702</v>
      </c>
      <c r="AY260" t="s">
        <v>71</v>
      </c>
      <c r="AZ260">
        <v>24.25</v>
      </c>
      <c r="BA260">
        <v>-52.74</v>
      </c>
      <c r="BB260" t="s">
        <v>73</v>
      </c>
    </row>
    <row r="261" spans="1:54" x14ac:dyDescent="0.4">
      <c r="A261">
        <v>1285964</v>
      </c>
      <c r="D261" t="s">
        <v>246</v>
      </c>
      <c r="E261" t="s">
        <v>55</v>
      </c>
      <c r="G261">
        <v>1</v>
      </c>
      <c r="H261" t="s">
        <v>56</v>
      </c>
      <c r="I261" t="s">
        <v>57</v>
      </c>
      <c r="K261" t="s">
        <v>856</v>
      </c>
      <c r="L261" t="s">
        <v>1074</v>
      </c>
      <c r="M261" t="s">
        <v>59</v>
      </c>
      <c r="P261" t="s">
        <v>259</v>
      </c>
      <c r="Q261" t="s">
        <v>502</v>
      </c>
      <c r="R261" t="s">
        <v>260</v>
      </c>
      <c r="S261" t="s">
        <v>98</v>
      </c>
      <c r="T261">
        <v>259.51</v>
      </c>
      <c r="U261">
        <v>251.90199999999999</v>
      </c>
      <c r="V261">
        <f>(T261+U261)/2</f>
        <v>255.70599999999999</v>
      </c>
      <c r="W261">
        <f>T261-U261</f>
        <v>7.6080000000000041</v>
      </c>
      <c r="X261">
        <v>44.416668000000001</v>
      </c>
      <c r="Y261">
        <v>-24</v>
      </c>
      <c r="Z261" t="s">
        <v>99</v>
      </c>
      <c r="AA261" t="s">
        <v>692</v>
      </c>
      <c r="AB261" t="s">
        <v>693</v>
      </c>
      <c r="AD261" t="s">
        <v>694</v>
      </c>
      <c r="AE261" t="s">
        <v>695</v>
      </c>
      <c r="AH261" t="s">
        <v>65</v>
      </c>
      <c r="AI261" t="s">
        <v>1063</v>
      </c>
      <c r="AJ261">
        <v>1926</v>
      </c>
      <c r="AK261" t="s">
        <v>697</v>
      </c>
      <c r="AM261" t="s">
        <v>698</v>
      </c>
      <c r="AN261" t="s">
        <v>121</v>
      </c>
      <c r="AO261" t="s">
        <v>330</v>
      </c>
      <c r="AP261" t="s">
        <v>182</v>
      </c>
      <c r="AQ261" t="s">
        <v>699</v>
      </c>
      <c r="AR261" t="s">
        <v>70</v>
      </c>
      <c r="AS261">
        <v>702</v>
      </c>
      <c r="AT261" t="s">
        <v>71</v>
      </c>
      <c r="AU261">
        <v>22.51</v>
      </c>
      <c r="AV261">
        <v>-42.93</v>
      </c>
      <c r="AW261" t="s">
        <v>72</v>
      </c>
      <c r="AX261">
        <v>702</v>
      </c>
      <c r="AY261" t="s">
        <v>71</v>
      </c>
      <c r="AZ261">
        <v>24.25</v>
      </c>
      <c r="BA261">
        <v>-52.74</v>
      </c>
      <c r="BB261" t="s">
        <v>73</v>
      </c>
    </row>
    <row r="262" spans="1:54" x14ac:dyDescent="0.4">
      <c r="A262">
        <v>1285964</v>
      </c>
      <c r="D262" t="s">
        <v>246</v>
      </c>
      <c r="E262" t="s">
        <v>55</v>
      </c>
      <c r="G262">
        <v>1</v>
      </c>
      <c r="H262" t="s">
        <v>56</v>
      </c>
      <c r="I262" t="s">
        <v>57</v>
      </c>
      <c r="K262" t="s">
        <v>856</v>
      </c>
      <c r="L262" t="s">
        <v>1074</v>
      </c>
      <c r="M262" t="s">
        <v>59</v>
      </c>
      <c r="P262" t="s">
        <v>259</v>
      </c>
      <c r="Q262" t="s">
        <v>502</v>
      </c>
      <c r="R262" t="s">
        <v>260</v>
      </c>
      <c r="S262" t="s">
        <v>98</v>
      </c>
      <c r="T262">
        <v>259.51</v>
      </c>
      <c r="U262">
        <v>251.90199999999999</v>
      </c>
      <c r="V262">
        <f>(T262+U262)/2</f>
        <v>255.70599999999999</v>
      </c>
      <c r="W262">
        <f>T262-U262</f>
        <v>7.6080000000000041</v>
      </c>
      <c r="X262">
        <v>44.416668000000001</v>
      </c>
      <c r="Y262">
        <v>-24</v>
      </c>
      <c r="Z262" t="s">
        <v>99</v>
      </c>
      <c r="AA262" t="s">
        <v>692</v>
      </c>
      <c r="AB262" t="s">
        <v>693</v>
      </c>
      <c r="AD262" t="s">
        <v>694</v>
      </c>
      <c r="AE262" t="s">
        <v>695</v>
      </c>
      <c r="AH262" t="s">
        <v>65</v>
      </c>
      <c r="AI262" t="s">
        <v>1063</v>
      </c>
      <c r="AJ262">
        <v>1926</v>
      </c>
      <c r="AK262" t="s">
        <v>697</v>
      </c>
      <c r="AM262" t="s">
        <v>698</v>
      </c>
      <c r="AN262" t="s">
        <v>121</v>
      </c>
      <c r="AO262" t="s">
        <v>330</v>
      </c>
      <c r="AP262" t="s">
        <v>182</v>
      </c>
      <c r="AQ262" t="s">
        <v>699</v>
      </c>
      <c r="AR262" t="s">
        <v>70</v>
      </c>
      <c r="AS262">
        <v>702</v>
      </c>
      <c r="AT262" t="s">
        <v>71</v>
      </c>
      <c r="AU262">
        <v>22.51</v>
      </c>
      <c r="AV262">
        <v>-42.93</v>
      </c>
      <c r="AW262" t="s">
        <v>72</v>
      </c>
      <c r="AX262">
        <v>702</v>
      </c>
      <c r="AY262" t="s">
        <v>71</v>
      </c>
      <c r="AZ262">
        <v>24.25</v>
      </c>
      <c r="BA262">
        <v>-52.74</v>
      </c>
      <c r="BB262" t="s">
        <v>73</v>
      </c>
    </row>
    <row r="263" spans="1:54" x14ac:dyDescent="0.4">
      <c r="A263">
        <v>1285964</v>
      </c>
      <c r="D263" t="s">
        <v>246</v>
      </c>
      <c r="E263" t="s">
        <v>55</v>
      </c>
      <c r="G263">
        <v>1</v>
      </c>
      <c r="H263" t="s">
        <v>56</v>
      </c>
      <c r="I263" t="s">
        <v>57</v>
      </c>
      <c r="K263" t="s">
        <v>856</v>
      </c>
      <c r="L263" t="s">
        <v>1074</v>
      </c>
      <c r="M263" t="s">
        <v>59</v>
      </c>
      <c r="P263" t="s">
        <v>259</v>
      </c>
      <c r="Q263" t="s">
        <v>502</v>
      </c>
      <c r="R263" t="s">
        <v>260</v>
      </c>
      <c r="S263" t="s">
        <v>98</v>
      </c>
      <c r="T263">
        <v>259.51</v>
      </c>
      <c r="U263">
        <v>251.90199999999999</v>
      </c>
      <c r="V263">
        <f>(T263+U263)/2</f>
        <v>255.70599999999999</v>
      </c>
      <c r="W263">
        <f>T263-U263</f>
        <v>7.6080000000000041</v>
      </c>
      <c r="X263">
        <v>44.416668000000001</v>
      </c>
      <c r="Y263">
        <v>-24</v>
      </c>
      <c r="Z263" t="s">
        <v>99</v>
      </c>
      <c r="AA263" t="s">
        <v>692</v>
      </c>
      <c r="AB263" t="s">
        <v>693</v>
      </c>
      <c r="AD263" t="s">
        <v>694</v>
      </c>
      <c r="AE263" t="s">
        <v>695</v>
      </c>
      <c r="AH263" t="s">
        <v>65</v>
      </c>
      <c r="AI263" t="s">
        <v>1063</v>
      </c>
      <c r="AJ263">
        <v>1926</v>
      </c>
      <c r="AK263" t="s">
        <v>697</v>
      </c>
      <c r="AM263" t="s">
        <v>698</v>
      </c>
      <c r="AN263" t="s">
        <v>121</v>
      </c>
      <c r="AO263" t="s">
        <v>330</v>
      </c>
      <c r="AP263" t="s">
        <v>182</v>
      </c>
      <c r="AQ263" t="s">
        <v>699</v>
      </c>
      <c r="AR263" t="s">
        <v>70</v>
      </c>
      <c r="AS263">
        <v>702</v>
      </c>
      <c r="AT263" t="s">
        <v>71</v>
      </c>
      <c r="AU263">
        <v>22.51</v>
      </c>
      <c r="AV263">
        <v>-42.93</v>
      </c>
      <c r="AW263" t="s">
        <v>72</v>
      </c>
      <c r="AX263">
        <v>702</v>
      </c>
      <c r="AY263" t="s">
        <v>71</v>
      </c>
      <c r="AZ263">
        <v>24.25</v>
      </c>
      <c r="BA263">
        <v>-52.74</v>
      </c>
      <c r="BB263" t="s">
        <v>73</v>
      </c>
    </row>
    <row r="264" spans="1:54" x14ac:dyDescent="0.4">
      <c r="A264">
        <v>1285964</v>
      </c>
      <c r="D264" t="s">
        <v>246</v>
      </c>
      <c r="E264" t="s">
        <v>55</v>
      </c>
      <c r="G264">
        <v>1</v>
      </c>
      <c r="H264" t="s">
        <v>56</v>
      </c>
      <c r="I264" t="s">
        <v>57</v>
      </c>
      <c r="K264" t="s">
        <v>856</v>
      </c>
      <c r="L264" t="s">
        <v>1074</v>
      </c>
      <c r="M264" t="s">
        <v>59</v>
      </c>
      <c r="P264" t="s">
        <v>259</v>
      </c>
      <c r="Q264" t="s">
        <v>502</v>
      </c>
      <c r="R264" t="s">
        <v>260</v>
      </c>
      <c r="S264" t="s">
        <v>98</v>
      </c>
      <c r="T264">
        <v>259.51</v>
      </c>
      <c r="U264">
        <v>251.90199999999999</v>
      </c>
      <c r="V264">
        <f>(T264+U264)/2</f>
        <v>255.70599999999999</v>
      </c>
      <c r="W264">
        <f>T264-U264</f>
        <v>7.6080000000000041</v>
      </c>
      <c r="X264">
        <v>44.416668000000001</v>
      </c>
      <c r="Y264">
        <v>-24</v>
      </c>
      <c r="Z264" t="s">
        <v>99</v>
      </c>
      <c r="AA264" t="s">
        <v>692</v>
      </c>
      <c r="AB264" t="s">
        <v>693</v>
      </c>
      <c r="AD264" t="s">
        <v>694</v>
      </c>
      <c r="AE264" t="s">
        <v>695</v>
      </c>
      <c r="AH264" t="s">
        <v>65</v>
      </c>
      <c r="AI264" t="s">
        <v>1063</v>
      </c>
      <c r="AJ264">
        <v>1926</v>
      </c>
      <c r="AK264" t="s">
        <v>697</v>
      </c>
      <c r="AM264" t="s">
        <v>698</v>
      </c>
      <c r="AN264" t="s">
        <v>121</v>
      </c>
      <c r="AO264" t="s">
        <v>330</v>
      </c>
      <c r="AP264" t="s">
        <v>182</v>
      </c>
      <c r="AQ264" t="s">
        <v>699</v>
      </c>
      <c r="AR264" t="s">
        <v>70</v>
      </c>
      <c r="AS264">
        <v>702</v>
      </c>
      <c r="AT264" t="s">
        <v>71</v>
      </c>
      <c r="AU264">
        <v>22.51</v>
      </c>
      <c r="AV264">
        <v>-42.93</v>
      </c>
      <c r="AW264" t="s">
        <v>72</v>
      </c>
      <c r="AX264">
        <v>702</v>
      </c>
      <c r="AY264" t="s">
        <v>71</v>
      </c>
      <c r="AZ264">
        <v>24.25</v>
      </c>
      <c r="BA264">
        <v>-52.74</v>
      </c>
      <c r="BB264" t="s">
        <v>73</v>
      </c>
    </row>
    <row r="265" spans="1:54" x14ac:dyDescent="0.4">
      <c r="A265">
        <v>1285964</v>
      </c>
      <c r="D265" t="s">
        <v>246</v>
      </c>
      <c r="E265" t="s">
        <v>55</v>
      </c>
      <c r="G265">
        <v>1</v>
      </c>
      <c r="H265" t="s">
        <v>56</v>
      </c>
      <c r="I265" t="s">
        <v>57</v>
      </c>
      <c r="K265" t="s">
        <v>856</v>
      </c>
      <c r="L265" t="s">
        <v>1074</v>
      </c>
      <c r="M265" t="s">
        <v>59</v>
      </c>
      <c r="P265" t="s">
        <v>259</v>
      </c>
      <c r="Q265" t="s">
        <v>502</v>
      </c>
      <c r="R265" t="s">
        <v>260</v>
      </c>
      <c r="S265" t="s">
        <v>98</v>
      </c>
      <c r="T265">
        <v>259.51</v>
      </c>
      <c r="U265">
        <v>251.90199999999999</v>
      </c>
      <c r="V265">
        <f>(T265+U265)/2</f>
        <v>255.70599999999999</v>
      </c>
      <c r="W265">
        <f>T265-U265</f>
        <v>7.6080000000000041</v>
      </c>
      <c r="X265">
        <v>44.416668000000001</v>
      </c>
      <c r="Y265">
        <v>-24</v>
      </c>
      <c r="Z265" t="s">
        <v>99</v>
      </c>
      <c r="AA265" t="s">
        <v>692</v>
      </c>
      <c r="AB265" t="s">
        <v>693</v>
      </c>
      <c r="AD265" t="s">
        <v>694</v>
      </c>
      <c r="AE265" t="s">
        <v>695</v>
      </c>
      <c r="AH265" t="s">
        <v>65</v>
      </c>
      <c r="AI265" t="s">
        <v>1063</v>
      </c>
      <c r="AJ265">
        <v>1926</v>
      </c>
      <c r="AK265" t="s">
        <v>697</v>
      </c>
      <c r="AM265" t="s">
        <v>698</v>
      </c>
      <c r="AN265" t="s">
        <v>121</v>
      </c>
      <c r="AO265" t="s">
        <v>330</v>
      </c>
      <c r="AP265" t="s">
        <v>182</v>
      </c>
      <c r="AQ265" t="s">
        <v>699</v>
      </c>
      <c r="AR265" t="s">
        <v>70</v>
      </c>
      <c r="AS265">
        <v>702</v>
      </c>
      <c r="AT265" t="s">
        <v>71</v>
      </c>
      <c r="AU265">
        <v>22.51</v>
      </c>
      <c r="AV265">
        <v>-42.93</v>
      </c>
      <c r="AW265" t="s">
        <v>72</v>
      </c>
      <c r="AX265">
        <v>702</v>
      </c>
      <c r="AY265" t="s">
        <v>71</v>
      </c>
      <c r="AZ265">
        <v>24.25</v>
      </c>
      <c r="BA265">
        <v>-52.74</v>
      </c>
      <c r="BB265" t="s">
        <v>73</v>
      </c>
    </row>
    <row r="266" spans="1:54" x14ac:dyDescent="0.4">
      <c r="A266">
        <v>1285964</v>
      </c>
      <c r="D266" t="s">
        <v>246</v>
      </c>
      <c r="E266" t="s">
        <v>55</v>
      </c>
      <c r="G266">
        <v>1</v>
      </c>
      <c r="H266" t="s">
        <v>56</v>
      </c>
      <c r="I266" t="s">
        <v>57</v>
      </c>
      <c r="K266" t="s">
        <v>856</v>
      </c>
      <c r="L266" t="s">
        <v>1074</v>
      </c>
      <c r="M266" t="s">
        <v>59</v>
      </c>
      <c r="P266" t="s">
        <v>259</v>
      </c>
      <c r="Q266" t="s">
        <v>502</v>
      </c>
      <c r="R266" t="s">
        <v>260</v>
      </c>
      <c r="S266" t="s">
        <v>98</v>
      </c>
      <c r="T266">
        <v>259.51</v>
      </c>
      <c r="U266">
        <v>251.90199999999999</v>
      </c>
      <c r="V266">
        <f>(T266+U266)/2</f>
        <v>255.70599999999999</v>
      </c>
      <c r="W266">
        <f>T266-U266</f>
        <v>7.6080000000000041</v>
      </c>
      <c r="X266">
        <v>44.416668000000001</v>
      </c>
      <c r="Y266">
        <v>-24</v>
      </c>
      <c r="Z266" t="s">
        <v>99</v>
      </c>
      <c r="AA266" t="s">
        <v>692</v>
      </c>
      <c r="AB266" t="s">
        <v>693</v>
      </c>
      <c r="AD266" t="s">
        <v>694</v>
      </c>
      <c r="AE266" t="s">
        <v>695</v>
      </c>
      <c r="AH266" t="s">
        <v>65</v>
      </c>
      <c r="AI266" t="s">
        <v>1063</v>
      </c>
      <c r="AJ266">
        <v>1926</v>
      </c>
      <c r="AK266" t="s">
        <v>697</v>
      </c>
      <c r="AM266" t="s">
        <v>698</v>
      </c>
      <c r="AN266" t="s">
        <v>121</v>
      </c>
      <c r="AO266" t="s">
        <v>330</v>
      </c>
      <c r="AP266" t="s">
        <v>182</v>
      </c>
      <c r="AQ266" t="s">
        <v>699</v>
      </c>
      <c r="AR266" t="s">
        <v>70</v>
      </c>
      <c r="AS266">
        <v>702</v>
      </c>
      <c r="AT266" t="s">
        <v>71</v>
      </c>
      <c r="AU266">
        <v>22.51</v>
      </c>
      <c r="AV266">
        <v>-42.93</v>
      </c>
      <c r="AW266" t="s">
        <v>72</v>
      </c>
      <c r="AX266">
        <v>702</v>
      </c>
      <c r="AY266" t="s">
        <v>71</v>
      </c>
      <c r="AZ266">
        <v>24.25</v>
      </c>
      <c r="BA266">
        <v>-52.74</v>
      </c>
      <c r="BB266" t="s">
        <v>73</v>
      </c>
    </row>
    <row r="267" spans="1:54" x14ac:dyDescent="0.4">
      <c r="A267">
        <v>1285964</v>
      </c>
      <c r="D267" t="s">
        <v>246</v>
      </c>
      <c r="E267" t="s">
        <v>55</v>
      </c>
      <c r="G267">
        <v>1</v>
      </c>
      <c r="H267" t="s">
        <v>56</v>
      </c>
      <c r="I267" t="s">
        <v>57</v>
      </c>
      <c r="K267" t="s">
        <v>856</v>
      </c>
      <c r="L267" t="s">
        <v>1074</v>
      </c>
      <c r="M267" t="s">
        <v>59</v>
      </c>
      <c r="P267" t="s">
        <v>259</v>
      </c>
      <c r="Q267" t="s">
        <v>502</v>
      </c>
      <c r="R267" t="s">
        <v>260</v>
      </c>
      <c r="S267" t="s">
        <v>98</v>
      </c>
      <c r="T267">
        <v>259.51</v>
      </c>
      <c r="U267">
        <v>251.90199999999999</v>
      </c>
      <c r="V267">
        <f>(T267+U267)/2</f>
        <v>255.70599999999999</v>
      </c>
      <c r="W267">
        <f>T267-U267</f>
        <v>7.6080000000000041</v>
      </c>
      <c r="X267">
        <v>44.416668000000001</v>
      </c>
      <c r="Y267">
        <v>-24</v>
      </c>
      <c r="Z267" t="s">
        <v>99</v>
      </c>
      <c r="AA267" t="s">
        <v>692</v>
      </c>
      <c r="AB267" t="s">
        <v>693</v>
      </c>
      <c r="AD267" t="s">
        <v>694</v>
      </c>
      <c r="AE267" t="s">
        <v>695</v>
      </c>
      <c r="AH267" t="s">
        <v>65</v>
      </c>
      <c r="AI267" t="s">
        <v>1063</v>
      </c>
      <c r="AJ267">
        <v>1926</v>
      </c>
      <c r="AK267" t="s">
        <v>697</v>
      </c>
      <c r="AM267" t="s">
        <v>698</v>
      </c>
      <c r="AN267" t="s">
        <v>121</v>
      </c>
      <c r="AO267" t="s">
        <v>330</v>
      </c>
      <c r="AP267" t="s">
        <v>182</v>
      </c>
      <c r="AQ267" t="s">
        <v>699</v>
      </c>
      <c r="AR267" t="s">
        <v>70</v>
      </c>
      <c r="AS267">
        <v>702</v>
      </c>
      <c r="AT267" t="s">
        <v>71</v>
      </c>
      <c r="AU267">
        <v>22.51</v>
      </c>
      <c r="AV267">
        <v>-42.93</v>
      </c>
      <c r="AW267" t="s">
        <v>72</v>
      </c>
      <c r="AX267">
        <v>702</v>
      </c>
      <c r="AY267" t="s">
        <v>71</v>
      </c>
      <c r="AZ267">
        <v>24.25</v>
      </c>
      <c r="BA267">
        <v>-52.74</v>
      </c>
      <c r="BB267" t="s">
        <v>73</v>
      </c>
    </row>
    <row r="268" spans="1:54" x14ac:dyDescent="0.4">
      <c r="A268">
        <v>1285964</v>
      </c>
      <c r="D268" t="s">
        <v>246</v>
      </c>
      <c r="E268" t="s">
        <v>55</v>
      </c>
      <c r="G268">
        <v>1</v>
      </c>
      <c r="H268" t="s">
        <v>56</v>
      </c>
      <c r="I268" t="s">
        <v>57</v>
      </c>
      <c r="K268" t="s">
        <v>856</v>
      </c>
      <c r="L268" t="s">
        <v>1074</v>
      </c>
      <c r="M268" t="s">
        <v>59</v>
      </c>
      <c r="P268" t="s">
        <v>259</v>
      </c>
      <c r="Q268" t="s">
        <v>502</v>
      </c>
      <c r="R268" t="s">
        <v>260</v>
      </c>
      <c r="S268" t="s">
        <v>98</v>
      </c>
      <c r="T268">
        <v>259.51</v>
      </c>
      <c r="U268">
        <v>251.90199999999999</v>
      </c>
      <c r="V268">
        <f>(T268+U268)/2</f>
        <v>255.70599999999999</v>
      </c>
      <c r="W268">
        <f>T268-U268</f>
        <v>7.6080000000000041</v>
      </c>
      <c r="X268">
        <v>44.416668000000001</v>
      </c>
      <c r="Y268">
        <v>-24</v>
      </c>
      <c r="Z268" t="s">
        <v>99</v>
      </c>
      <c r="AA268" t="s">
        <v>692</v>
      </c>
      <c r="AB268" t="s">
        <v>693</v>
      </c>
      <c r="AD268" t="s">
        <v>694</v>
      </c>
      <c r="AE268" t="s">
        <v>695</v>
      </c>
      <c r="AH268" t="s">
        <v>65</v>
      </c>
      <c r="AI268" t="s">
        <v>1063</v>
      </c>
      <c r="AJ268">
        <v>1926</v>
      </c>
      <c r="AK268" t="s">
        <v>697</v>
      </c>
      <c r="AM268" t="s">
        <v>698</v>
      </c>
      <c r="AN268" t="s">
        <v>121</v>
      </c>
      <c r="AO268" t="s">
        <v>330</v>
      </c>
      <c r="AP268" t="s">
        <v>182</v>
      </c>
      <c r="AQ268" t="s">
        <v>699</v>
      </c>
      <c r="AR268" t="s">
        <v>70</v>
      </c>
      <c r="AS268">
        <v>702</v>
      </c>
      <c r="AT268" t="s">
        <v>71</v>
      </c>
      <c r="AU268">
        <v>22.51</v>
      </c>
      <c r="AV268">
        <v>-42.93</v>
      </c>
      <c r="AW268" t="s">
        <v>72</v>
      </c>
      <c r="AX268">
        <v>702</v>
      </c>
      <c r="AY268" t="s">
        <v>71</v>
      </c>
      <c r="AZ268">
        <v>24.25</v>
      </c>
      <c r="BA268">
        <v>-52.74</v>
      </c>
      <c r="BB268" t="s">
        <v>73</v>
      </c>
    </row>
    <row r="269" spans="1:54" x14ac:dyDescent="0.4">
      <c r="A269">
        <v>1285964</v>
      </c>
      <c r="D269" t="s">
        <v>246</v>
      </c>
      <c r="E269" t="s">
        <v>55</v>
      </c>
      <c r="G269">
        <v>1</v>
      </c>
      <c r="H269" t="s">
        <v>56</v>
      </c>
      <c r="I269" t="s">
        <v>57</v>
      </c>
      <c r="K269" t="s">
        <v>856</v>
      </c>
      <c r="L269" t="s">
        <v>1074</v>
      </c>
      <c r="M269" t="s">
        <v>59</v>
      </c>
      <c r="P269" t="s">
        <v>259</v>
      </c>
      <c r="Q269" t="s">
        <v>502</v>
      </c>
      <c r="R269" t="s">
        <v>260</v>
      </c>
      <c r="S269" t="s">
        <v>98</v>
      </c>
      <c r="T269">
        <v>259.51</v>
      </c>
      <c r="U269">
        <v>251.90199999999999</v>
      </c>
      <c r="V269">
        <f>(T269+U269)/2</f>
        <v>255.70599999999999</v>
      </c>
      <c r="W269">
        <f>T269-U269</f>
        <v>7.6080000000000041</v>
      </c>
      <c r="X269">
        <v>44.416668000000001</v>
      </c>
      <c r="Y269">
        <v>-24</v>
      </c>
      <c r="Z269" t="s">
        <v>99</v>
      </c>
      <c r="AA269" t="s">
        <v>692</v>
      </c>
      <c r="AB269" t="s">
        <v>693</v>
      </c>
      <c r="AD269" t="s">
        <v>694</v>
      </c>
      <c r="AE269" t="s">
        <v>695</v>
      </c>
      <c r="AH269" t="s">
        <v>65</v>
      </c>
      <c r="AI269" t="s">
        <v>1063</v>
      </c>
      <c r="AJ269">
        <v>1926</v>
      </c>
      <c r="AK269" t="s">
        <v>697</v>
      </c>
      <c r="AM269" t="s">
        <v>698</v>
      </c>
      <c r="AN269" t="s">
        <v>121</v>
      </c>
      <c r="AO269" t="s">
        <v>330</v>
      </c>
      <c r="AP269" t="s">
        <v>182</v>
      </c>
      <c r="AQ269" t="s">
        <v>699</v>
      </c>
      <c r="AR269" t="s">
        <v>70</v>
      </c>
      <c r="AS269">
        <v>702</v>
      </c>
      <c r="AT269" t="s">
        <v>71</v>
      </c>
      <c r="AU269">
        <v>22.51</v>
      </c>
      <c r="AV269">
        <v>-42.93</v>
      </c>
      <c r="AW269" t="s">
        <v>72</v>
      </c>
      <c r="AX269">
        <v>702</v>
      </c>
      <c r="AY269" t="s">
        <v>71</v>
      </c>
      <c r="AZ269">
        <v>24.25</v>
      </c>
      <c r="BA269">
        <v>-52.74</v>
      </c>
      <c r="BB269" t="s">
        <v>73</v>
      </c>
    </row>
    <row r="270" spans="1:54" x14ac:dyDescent="0.4">
      <c r="A270">
        <v>1285964</v>
      </c>
      <c r="D270" t="s">
        <v>246</v>
      </c>
      <c r="E270" t="s">
        <v>55</v>
      </c>
      <c r="G270">
        <v>1</v>
      </c>
      <c r="H270" t="s">
        <v>56</v>
      </c>
      <c r="I270" t="s">
        <v>57</v>
      </c>
      <c r="K270" t="s">
        <v>856</v>
      </c>
      <c r="L270" t="s">
        <v>1074</v>
      </c>
      <c r="M270" t="s">
        <v>59</v>
      </c>
      <c r="P270" t="s">
        <v>259</v>
      </c>
      <c r="Q270" t="s">
        <v>502</v>
      </c>
      <c r="R270" t="s">
        <v>260</v>
      </c>
      <c r="S270" t="s">
        <v>98</v>
      </c>
      <c r="T270">
        <v>259.51</v>
      </c>
      <c r="U270">
        <v>251.90199999999999</v>
      </c>
      <c r="V270">
        <f>(T270+U270)/2</f>
        <v>255.70599999999999</v>
      </c>
      <c r="W270">
        <f>T270-U270</f>
        <v>7.6080000000000041</v>
      </c>
      <c r="X270">
        <v>44.416668000000001</v>
      </c>
      <c r="Y270">
        <v>-24</v>
      </c>
      <c r="Z270" t="s">
        <v>99</v>
      </c>
      <c r="AA270" t="s">
        <v>692</v>
      </c>
      <c r="AB270" t="s">
        <v>693</v>
      </c>
      <c r="AD270" t="s">
        <v>694</v>
      </c>
      <c r="AE270" t="s">
        <v>695</v>
      </c>
      <c r="AH270" t="s">
        <v>65</v>
      </c>
      <c r="AI270" t="s">
        <v>1063</v>
      </c>
      <c r="AJ270">
        <v>1926</v>
      </c>
      <c r="AK270" t="s">
        <v>697</v>
      </c>
      <c r="AM270" t="s">
        <v>698</v>
      </c>
      <c r="AN270" t="s">
        <v>121</v>
      </c>
      <c r="AO270" t="s">
        <v>330</v>
      </c>
      <c r="AP270" t="s">
        <v>182</v>
      </c>
      <c r="AQ270" t="s">
        <v>699</v>
      </c>
      <c r="AR270" t="s">
        <v>70</v>
      </c>
      <c r="AS270">
        <v>702</v>
      </c>
      <c r="AT270" t="s">
        <v>71</v>
      </c>
      <c r="AU270">
        <v>22.51</v>
      </c>
      <c r="AV270">
        <v>-42.93</v>
      </c>
      <c r="AW270" t="s">
        <v>72</v>
      </c>
      <c r="AX270">
        <v>702</v>
      </c>
      <c r="AY270" t="s">
        <v>71</v>
      </c>
      <c r="AZ270">
        <v>24.25</v>
      </c>
      <c r="BA270">
        <v>-52.74</v>
      </c>
      <c r="BB270" t="s">
        <v>73</v>
      </c>
    </row>
    <row r="271" spans="1:54" x14ac:dyDescent="0.4">
      <c r="A271">
        <v>1285964</v>
      </c>
      <c r="D271" t="s">
        <v>246</v>
      </c>
      <c r="E271" t="s">
        <v>55</v>
      </c>
      <c r="G271">
        <v>1</v>
      </c>
      <c r="H271" t="s">
        <v>56</v>
      </c>
      <c r="I271" t="s">
        <v>57</v>
      </c>
      <c r="K271" t="s">
        <v>856</v>
      </c>
      <c r="L271" t="s">
        <v>1074</v>
      </c>
      <c r="M271" t="s">
        <v>59</v>
      </c>
      <c r="P271" t="s">
        <v>259</v>
      </c>
      <c r="Q271" t="s">
        <v>502</v>
      </c>
      <c r="R271" t="s">
        <v>260</v>
      </c>
      <c r="S271" t="s">
        <v>98</v>
      </c>
      <c r="T271">
        <v>259.51</v>
      </c>
      <c r="U271">
        <v>251.90199999999999</v>
      </c>
      <c r="V271">
        <f>(T271+U271)/2</f>
        <v>255.70599999999999</v>
      </c>
      <c r="W271">
        <f>T271-U271</f>
        <v>7.6080000000000041</v>
      </c>
      <c r="X271">
        <v>44.416668000000001</v>
      </c>
      <c r="Y271">
        <v>-24</v>
      </c>
      <c r="Z271" t="s">
        <v>99</v>
      </c>
      <c r="AA271" t="s">
        <v>692</v>
      </c>
      <c r="AB271" t="s">
        <v>693</v>
      </c>
      <c r="AD271" t="s">
        <v>694</v>
      </c>
      <c r="AE271" t="s">
        <v>695</v>
      </c>
      <c r="AH271" t="s">
        <v>65</v>
      </c>
      <c r="AI271" t="s">
        <v>1063</v>
      </c>
      <c r="AJ271">
        <v>1926</v>
      </c>
      <c r="AK271" t="s">
        <v>697</v>
      </c>
      <c r="AM271" t="s">
        <v>698</v>
      </c>
      <c r="AN271" t="s">
        <v>121</v>
      </c>
      <c r="AO271" t="s">
        <v>330</v>
      </c>
      <c r="AP271" t="s">
        <v>182</v>
      </c>
      <c r="AQ271" t="s">
        <v>699</v>
      </c>
      <c r="AR271" t="s">
        <v>70</v>
      </c>
      <c r="AS271">
        <v>702</v>
      </c>
      <c r="AT271" t="s">
        <v>71</v>
      </c>
      <c r="AU271">
        <v>22.51</v>
      </c>
      <c r="AV271">
        <v>-42.93</v>
      </c>
      <c r="AW271" t="s">
        <v>72</v>
      </c>
      <c r="AX271">
        <v>702</v>
      </c>
      <c r="AY271" t="s">
        <v>71</v>
      </c>
      <c r="AZ271">
        <v>24.25</v>
      </c>
      <c r="BA271">
        <v>-52.74</v>
      </c>
      <c r="BB271" t="s">
        <v>73</v>
      </c>
    </row>
    <row r="272" spans="1:54" x14ac:dyDescent="0.4">
      <c r="A272">
        <v>1285964</v>
      </c>
      <c r="D272" t="s">
        <v>246</v>
      </c>
      <c r="E272" t="s">
        <v>55</v>
      </c>
      <c r="G272">
        <v>1</v>
      </c>
      <c r="H272" t="s">
        <v>56</v>
      </c>
      <c r="I272" t="s">
        <v>57</v>
      </c>
      <c r="K272" t="s">
        <v>856</v>
      </c>
      <c r="L272" t="s">
        <v>1074</v>
      </c>
      <c r="M272" t="s">
        <v>59</v>
      </c>
      <c r="P272" t="s">
        <v>259</v>
      </c>
      <c r="Q272" t="s">
        <v>502</v>
      </c>
      <c r="R272" t="s">
        <v>260</v>
      </c>
      <c r="S272" t="s">
        <v>98</v>
      </c>
      <c r="T272">
        <v>259.51</v>
      </c>
      <c r="U272">
        <v>251.90199999999999</v>
      </c>
      <c r="V272">
        <f>(T272+U272)/2</f>
        <v>255.70599999999999</v>
      </c>
      <c r="W272">
        <f>T272-U272</f>
        <v>7.6080000000000041</v>
      </c>
      <c r="X272">
        <v>44.416668000000001</v>
      </c>
      <c r="Y272">
        <v>-24</v>
      </c>
      <c r="Z272" t="s">
        <v>99</v>
      </c>
      <c r="AA272" t="s">
        <v>692</v>
      </c>
      <c r="AB272" t="s">
        <v>693</v>
      </c>
      <c r="AD272" t="s">
        <v>694</v>
      </c>
      <c r="AE272" t="s">
        <v>695</v>
      </c>
      <c r="AH272" t="s">
        <v>65</v>
      </c>
      <c r="AI272" t="s">
        <v>1063</v>
      </c>
      <c r="AJ272">
        <v>1926</v>
      </c>
      <c r="AK272" t="s">
        <v>697</v>
      </c>
      <c r="AM272" t="s">
        <v>698</v>
      </c>
      <c r="AN272" t="s">
        <v>121</v>
      </c>
      <c r="AO272" t="s">
        <v>330</v>
      </c>
      <c r="AP272" t="s">
        <v>182</v>
      </c>
      <c r="AQ272" t="s">
        <v>699</v>
      </c>
      <c r="AR272" t="s">
        <v>70</v>
      </c>
      <c r="AS272">
        <v>702</v>
      </c>
      <c r="AT272" t="s">
        <v>71</v>
      </c>
      <c r="AU272">
        <v>22.51</v>
      </c>
      <c r="AV272">
        <v>-42.93</v>
      </c>
      <c r="AW272" t="s">
        <v>72</v>
      </c>
      <c r="AX272">
        <v>702</v>
      </c>
      <c r="AY272" t="s">
        <v>71</v>
      </c>
      <c r="AZ272">
        <v>24.25</v>
      </c>
      <c r="BA272">
        <v>-52.74</v>
      </c>
      <c r="BB272" t="s">
        <v>73</v>
      </c>
    </row>
    <row r="273" spans="1:54" x14ac:dyDescent="0.4">
      <c r="A273">
        <v>1285964</v>
      </c>
      <c r="D273" t="s">
        <v>246</v>
      </c>
      <c r="E273" t="s">
        <v>55</v>
      </c>
      <c r="G273">
        <v>1</v>
      </c>
      <c r="H273" t="s">
        <v>56</v>
      </c>
      <c r="I273" t="s">
        <v>57</v>
      </c>
      <c r="K273" t="s">
        <v>856</v>
      </c>
      <c r="L273" t="s">
        <v>1074</v>
      </c>
      <c r="M273" t="s">
        <v>59</v>
      </c>
      <c r="P273" t="s">
        <v>259</v>
      </c>
      <c r="Q273" t="s">
        <v>502</v>
      </c>
      <c r="R273" t="s">
        <v>260</v>
      </c>
      <c r="S273" t="s">
        <v>98</v>
      </c>
      <c r="T273">
        <v>259.51</v>
      </c>
      <c r="U273">
        <v>251.90199999999999</v>
      </c>
      <c r="V273">
        <f>(T273+U273)/2</f>
        <v>255.70599999999999</v>
      </c>
      <c r="W273">
        <f>T273-U273</f>
        <v>7.6080000000000041</v>
      </c>
      <c r="X273">
        <v>44.416668000000001</v>
      </c>
      <c r="Y273">
        <v>-24</v>
      </c>
      <c r="Z273" t="s">
        <v>99</v>
      </c>
      <c r="AA273" t="s">
        <v>692</v>
      </c>
      <c r="AB273" t="s">
        <v>693</v>
      </c>
      <c r="AD273" t="s">
        <v>694</v>
      </c>
      <c r="AE273" t="s">
        <v>695</v>
      </c>
      <c r="AH273" t="s">
        <v>65</v>
      </c>
      <c r="AI273" t="s">
        <v>1063</v>
      </c>
      <c r="AJ273">
        <v>1926</v>
      </c>
      <c r="AK273" t="s">
        <v>697</v>
      </c>
      <c r="AM273" t="s">
        <v>698</v>
      </c>
      <c r="AN273" t="s">
        <v>121</v>
      </c>
      <c r="AO273" t="s">
        <v>330</v>
      </c>
      <c r="AP273" t="s">
        <v>182</v>
      </c>
      <c r="AQ273" t="s">
        <v>699</v>
      </c>
      <c r="AR273" t="s">
        <v>70</v>
      </c>
      <c r="AS273">
        <v>702</v>
      </c>
      <c r="AT273" t="s">
        <v>71</v>
      </c>
      <c r="AU273">
        <v>22.51</v>
      </c>
      <c r="AV273">
        <v>-42.93</v>
      </c>
      <c r="AW273" t="s">
        <v>72</v>
      </c>
      <c r="AX273">
        <v>702</v>
      </c>
      <c r="AY273" t="s">
        <v>71</v>
      </c>
      <c r="AZ273">
        <v>24.25</v>
      </c>
      <c r="BA273">
        <v>-52.74</v>
      </c>
      <c r="BB273" t="s">
        <v>73</v>
      </c>
    </row>
    <row r="274" spans="1:54" x14ac:dyDescent="0.4">
      <c r="A274">
        <v>1285964</v>
      </c>
      <c r="D274" t="s">
        <v>246</v>
      </c>
      <c r="E274" t="s">
        <v>55</v>
      </c>
      <c r="G274">
        <v>1</v>
      </c>
      <c r="H274" t="s">
        <v>56</v>
      </c>
      <c r="I274" t="s">
        <v>57</v>
      </c>
      <c r="K274" t="s">
        <v>856</v>
      </c>
      <c r="L274" t="s">
        <v>1074</v>
      </c>
      <c r="M274" t="s">
        <v>59</v>
      </c>
      <c r="P274" t="s">
        <v>259</v>
      </c>
      <c r="Q274" t="s">
        <v>502</v>
      </c>
      <c r="R274" t="s">
        <v>260</v>
      </c>
      <c r="S274" t="s">
        <v>98</v>
      </c>
      <c r="T274">
        <v>259.51</v>
      </c>
      <c r="U274">
        <v>251.90199999999999</v>
      </c>
      <c r="V274">
        <f>(T274+U274)/2</f>
        <v>255.70599999999999</v>
      </c>
      <c r="W274">
        <f>T274-U274</f>
        <v>7.6080000000000041</v>
      </c>
      <c r="X274">
        <v>44.416668000000001</v>
      </c>
      <c r="Y274">
        <v>-24</v>
      </c>
      <c r="Z274" t="s">
        <v>99</v>
      </c>
      <c r="AA274" t="s">
        <v>692</v>
      </c>
      <c r="AB274" t="s">
        <v>693</v>
      </c>
      <c r="AD274" t="s">
        <v>694</v>
      </c>
      <c r="AE274" t="s">
        <v>695</v>
      </c>
      <c r="AH274" t="s">
        <v>65</v>
      </c>
      <c r="AI274" t="s">
        <v>1063</v>
      </c>
      <c r="AJ274">
        <v>1926</v>
      </c>
      <c r="AK274" t="s">
        <v>697</v>
      </c>
      <c r="AM274" t="s">
        <v>698</v>
      </c>
      <c r="AN274" t="s">
        <v>121</v>
      </c>
      <c r="AO274" t="s">
        <v>330</v>
      </c>
      <c r="AP274" t="s">
        <v>182</v>
      </c>
      <c r="AQ274" t="s">
        <v>699</v>
      </c>
      <c r="AR274" t="s">
        <v>70</v>
      </c>
      <c r="AS274">
        <v>702</v>
      </c>
      <c r="AT274" t="s">
        <v>71</v>
      </c>
      <c r="AU274">
        <v>22.51</v>
      </c>
      <c r="AV274">
        <v>-42.93</v>
      </c>
      <c r="AW274" t="s">
        <v>72</v>
      </c>
      <c r="AX274">
        <v>702</v>
      </c>
      <c r="AY274" t="s">
        <v>71</v>
      </c>
      <c r="AZ274">
        <v>24.25</v>
      </c>
      <c r="BA274">
        <v>-52.74</v>
      </c>
      <c r="BB274" t="s">
        <v>73</v>
      </c>
    </row>
    <row r="275" spans="1:54" x14ac:dyDescent="0.4">
      <c r="A275">
        <v>1285964</v>
      </c>
      <c r="D275" t="s">
        <v>246</v>
      </c>
      <c r="E275" t="s">
        <v>55</v>
      </c>
      <c r="G275">
        <v>1</v>
      </c>
      <c r="H275" t="s">
        <v>56</v>
      </c>
      <c r="I275" t="s">
        <v>57</v>
      </c>
      <c r="K275" t="s">
        <v>856</v>
      </c>
      <c r="L275" t="s">
        <v>1074</v>
      </c>
      <c r="M275" t="s">
        <v>59</v>
      </c>
      <c r="P275" t="s">
        <v>259</v>
      </c>
      <c r="Q275" t="s">
        <v>502</v>
      </c>
      <c r="R275" t="s">
        <v>260</v>
      </c>
      <c r="S275" t="s">
        <v>98</v>
      </c>
      <c r="T275">
        <v>259.51</v>
      </c>
      <c r="U275">
        <v>251.90199999999999</v>
      </c>
      <c r="V275">
        <f>(T275+U275)/2</f>
        <v>255.70599999999999</v>
      </c>
      <c r="W275">
        <f>T275-U275</f>
        <v>7.6080000000000041</v>
      </c>
      <c r="X275">
        <v>44.416668000000001</v>
      </c>
      <c r="Y275">
        <v>-24</v>
      </c>
      <c r="Z275" t="s">
        <v>99</v>
      </c>
      <c r="AA275" t="s">
        <v>692</v>
      </c>
      <c r="AB275" t="s">
        <v>693</v>
      </c>
      <c r="AD275" t="s">
        <v>694</v>
      </c>
      <c r="AE275" t="s">
        <v>695</v>
      </c>
      <c r="AH275" t="s">
        <v>65</v>
      </c>
      <c r="AI275" t="s">
        <v>1063</v>
      </c>
      <c r="AJ275">
        <v>1926</v>
      </c>
      <c r="AK275" t="s">
        <v>697</v>
      </c>
      <c r="AM275" t="s">
        <v>698</v>
      </c>
      <c r="AN275" t="s">
        <v>121</v>
      </c>
      <c r="AO275" t="s">
        <v>330</v>
      </c>
      <c r="AP275" t="s">
        <v>182</v>
      </c>
      <c r="AQ275" t="s">
        <v>699</v>
      </c>
      <c r="AR275" t="s">
        <v>70</v>
      </c>
      <c r="AS275">
        <v>702</v>
      </c>
      <c r="AT275" t="s">
        <v>71</v>
      </c>
      <c r="AU275">
        <v>22.51</v>
      </c>
      <c r="AV275">
        <v>-42.93</v>
      </c>
      <c r="AW275" t="s">
        <v>72</v>
      </c>
      <c r="AX275">
        <v>702</v>
      </c>
      <c r="AY275" t="s">
        <v>71</v>
      </c>
      <c r="AZ275">
        <v>24.25</v>
      </c>
      <c r="BA275">
        <v>-52.74</v>
      </c>
      <c r="BB275" t="s">
        <v>73</v>
      </c>
    </row>
    <row r="276" spans="1:54" x14ac:dyDescent="0.4">
      <c r="A276">
        <v>1285964</v>
      </c>
      <c r="D276" t="s">
        <v>246</v>
      </c>
      <c r="E276" t="s">
        <v>55</v>
      </c>
      <c r="G276">
        <v>1</v>
      </c>
      <c r="H276" t="s">
        <v>56</v>
      </c>
      <c r="I276" t="s">
        <v>57</v>
      </c>
      <c r="K276" t="s">
        <v>856</v>
      </c>
      <c r="L276" t="s">
        <v>1074</v>
      </c>
      <c r="M276" t="s">
        <v>59</v>
      </c>
      <c r="P276" t="s">
        <v>259</v>
      </c>
      <c r="Q276" t="s">
        <v>502</v>
      </c>
      <c r="R276" t="s">
        <v>260</v>
      </c>
      <c r="S276" t="s">
        <v>98</v>
      </c>
      <c r="T276">
        <v>259.51</v>
      </c>
      <c r="U276">
        <v>251.90199999999999</v>
      </c>
      <c r="V276">
        <f>(T276+U276)/2</f>
        <v>255.70599999999999</v>
      </c>
      <c r="W276">
        <f>T276-U276</f>
        <v>7.6080000000000041</v>
      </c>
      <c r="X276">
        <v>44.416668000000001</v>
      </c>
      <c r="Y276">
        <v>-24</v>
      </c>
      <c r="Z276" t="s">
        <v>99</v>
      </c>
      <c r="AA276" t="s">
        <v>692</v>
      </c>
      <c r="AB276" t="s">
        <v>693</v>
      </c>
      <c r="AD276" t="s">
        <v>694</v>
      </c>
      <c r="AE276" t="s">
        <v>695</v>
      </c>
      <c r="AH276" t="s">
        <v>65</v>
      </c>
      <c r="AI276" t="s">
        <v>1063</v>
      </c>
      <c r="AJ276">
        <v>1926</v>
      </c>
      <c r="AK276" t="s">
        <v>697</v>
      </c>
      <c r="AM276" t="s">
        <v>698</v>
      </c>
      <c r="AN276" t="s">
        <v>121</v>
      </c>
      <c r="AO276" t="s">
        <v>330</v>
      </c>
      <c r="AP276" t="s">
        <v>182</v>
      </c>
      <c r="AQ276" t="s">
        <v>699</v>
      </c>
      <c r="AR276" t="s">
        <v>70</v>
      </c>
      <c r="AS276">
        <v>702</v>
      </c>
      <c r="AT276" t="s">
        <v>71</v>
      </c>
      <c r="AU276">
        <v>22.51</v>
      </c>
      <c r="AV276">
        <v>-42.93</v>
      </c>
      <c r="AW276" t="s">
        <v>72</v>
      </c>
      <c r="AX276">
        <v>702</v>
      </c>
      <c r="AY276" t="s">
        <v>71</v>
      </c>
      <c r="AZ276">
        <v>24.25</v>
      </c>
      <c r="BA276">
        <v>-52.74</v>
      </c>
      <c r="BB276" t="s">
        <v>73</v>
      </c>
    </row>
    <row r="277" spans="1:54" x14ac:dyDescent="0.4">
      <c r="A277">
        <v>1285964</v>
      </c>
      <c r="D277" t="s">
        <v>246</v>
      </c>
      <c r="E277" t="s">
        <v>55</v>
      </c>
      <c r="G277">
        <v>1</v>
      </c>
      <c r="H277" t="s">
        <v>56</v>
      </c>
      <c r="I277" t="s">
        <v>57</v>
      </c>
      <c r="K277" t="s">
        <v>856</v>
      </c>
      <c r="L277" t="s">
        <v>1074</v>
      </c>
      <c r="M277" t="s">
        <v>59</v>
      </c>
      <c r="P277" t="s">
        <v>259</v>
      </c>
      <c r="Q277" t="s">
        <v>502</v>
      </c>
      <c r="R277" t="s">
        <v>260</v>
      </c>
      <c r="S277" t="s">
        <v>98</v>
      </c>
      <c r="T277">
        <v>259.51</v>
      </c>
      <c r="U277">
        <v>251.90199999999999</v>
      </c>
      <c r="V277">
        <f>(T277+U277)/2</f>
        <v>255.70599999999999</v>
      </c>
      <c r="W277">
        <f>T277-U277</f>
        <v>7.6080000000000041</v>
      </c>
      <c r="X277">
        <v>44.416668000000001</v>
      </c>
      <c r="Y277">
        <v>-24</v>
      </c>
      <c r="Z277" t="s">
        <v>99</v>
      </c>
      <c r="AA277" t="s">
        <v>692</v>
      </c>
      <c r="AB277" t="s">
        <v>693</v>
      </c>
      <c r="AD277" t="s">
        <v>694</v>
      </c>
      <c r="AE277" t="s">
        <v>695</v>
      </c>
      <c r="AH277" t="s">
        <v>65</v>
      </c>
      <c r="AI277" t="s">
        <v>1063</v>
      </c>
      <c r="AJ277">
        <v>1926</v>
      </c>
      <c r="AK277" t="s">
        <v>697</v>
      </c>
      <c r="AM277" t="s">
        <v>698</v>
      </c>
      <c r="AN277" t="s">
        <v>121</v>
      </c>
      <c r="AO277" t="s">
        <v>330</v>
      </c>
      <c r="AP277" t="s">
        <v>182</v>
      </c>
      <c r="AQ277" t="s">
        <v>699</v>
      </c>
      <c r="AR277" t="s">
        <v>70</v>
      </c>
      <c r="AS277">
        <v>702</v>
      </c>
      <c r="AT277" t="s">
        <v>71</v>
      </c>
      <c r="AU277">
        <v>22.51</v>
      </c>
      <c r="AV277">
        <v>-42.93</v>
      </c>
      <c r="AW277" t="s">
        <v>72</v>
      </c>
      <c r="AX277">
        <v>702</v>
      </c>
      <c r="AY277" t="s">
        <v>71</v>
      </c>
      <c r="AZ277">
        <v>24.25</v>
      </c>
      <c r="BA277">
        <v>-52.74</v>
      </c>
      <c r="BB277" t="s">
        <v>73</v>
      </c>
    </row>
    <row r="278" spans="1:54" x14ac:dyDescent="0.4">
      <c r="A278">
        <v>1285964</v>
      </c>
      <c r="D278" t="s">
        <v>246</v>
      </c>
      <c r="E278" t="s">
        <v>55</v>
      </c>
      <c r="G278">
        <v>1</v>
      </c>
      <c r="H278" t="s">
        <v>56</v>
      </c>
      <c r="I278" t="s">
        <v>57</v>
      </c>
      <c r="K278" t="s">
        <v>856</v>
      </c>
      <c r="L278" t="s">
        <v>1074</v>
      </c>
      <c r="M278" t="s">
        <v>59</v>
      </c>
      <c r="P278" t="s">
        <v>259</v>
      </c>
      <c r="Q278" t="s">
        <v>502</v>
      </c>
      <c r="R278" t="s">
        <v>260</v>
      </c>
      <c r="S278" t="s">
        <v>98</v>
      </c>
      <c r="T278">
        <v>259.51</v>
      </c>
      <c r="U278">
        <v>251.90199999999999</v>
      </c>
      <c r="V278">
        <f>(T278+U278)/2</f>
        <v>255.70599999999999</v>
      </c>
      <c r="W278">
        <f>T278-U278</f>
        <v>7.6080000000000041</v>
      </c>
      <c r="X278">
        <v>44.416668000000001</v>
      </c>
      <c r="Y278">
        <v>-24</v>
      </c>
      <c r="Z278" t="s">
        <v>99</v>
      </c>
      <c r="AA278" t="s">
        <v>692</v>
      </c>
      <c r="AB278" t="s">
        <v>693</v>
      </c>
      <c r="AD278" t="s">
        <v>694</v>
      </c>
      <c r="AE278" t="s">
        <v>695</v>
      </c>
      <c r="AH278" t="s">
        <v>65</v>
      </c>
      <c r="AI278" t="s">
        <v>1063</v>
      </c>
      <c r="AJ278">
        <v>1926</v>
      </c>
      <c r="AK278" t="s">
        <v>697</v>
      </c>
      <c r="AM278" t="s">
        <v>698</v>
      </c>
      <c r="AN278" t="s">
        <v>121</v>
      </c>
      <c r="AO278" t="s">
        <v>330</v>
      </c>
      <c r="AP278" t="s">
        <v>182</v>
      </c>
      <c r="AQ278" t="s">
        <v>699</v>
      </c>
      <c r="AR278" t="s">
        <v>70</v>
      </c>
      <c r="AS278">
        <v>702</v>
      </c>
      <c r="AT278" t="s">
        <v>71</v>
      </c>
      <c r="AU278">
        <v>22.51</v>
      </c>
      <c r="AV278">
        <v>-42.93</v>
      </c>
      <c r="AW278" t="s">
        <v>72</v>
      </c>
      <c r="AX278">
        <v>702</v>
      </c>
      <c r="AY278" t="s">
        <v>71</v>
      </c>
      <c r="AZ278">
        <v>24.25</v>
      </c>
      <c r="BA278">
        <v>-52.74</v>
      </c>
      <c r="BB278" t="s">
        <v>73</v>
      </c>
    </row>
    <row r="279" spans="1:54" x14ac:dyDescent="0.4">
      <c r="A279">
        <v>1285964</v>
      </c>
      <c r="D279" t="s">
        <v>246</v>
      </c>
      <c r="E279" t="s">
        <v>55</v>
      </c>
      <c r="G279">
        <v>1</v>
      </c>
      <c r="H279" t="s">
        <v>56</v>
      </c>
      <c r="I279" t="s">
        <v>57</v>
      </c>
      <c r="K279" t="s">
        <v>856</v>
      </c>
      <c r="L279" t="s">
        <v>1074</v>
      </c>
      <c r="M279" t="s">
        <v>59</v>
      </c>
      <c r="P279" t="s">
        <v>259</v>
      </c>
      <c r="Q279" t="s">
        <v>502</v>
      </c>
      <c r="R279" t="s">
        <v>260</v>
      </c>
      <c r="S279" t="s">
        <v>98</v>
      </c>
      <c r="T279">
        <v>259.51</v>
      </c>
      <c r="U279">
        <v>251.90199999999999</v>
      </c>
      <c r="V279">
        <f>(T279+U279)/2</f>
        <v>255.70599999999999</v>
      </c>
      <c r="W279">
        <f>T279-U279</f>
        <v>7.6080000000000041</v>
      </c>
      <c r="X279">
        <v>44.416668000000001</v>
      </c>
      <c r="Y279">
        <v>-24</v>
      </c>
      <c r="Z279" t="s">
        <v>99</v>
      </c>
      <c r="AA279" t="s">
        <v>692</v>
      </c>
      <c r="AB279" t="s">
        <v>693</v>
      </c>
      <c r="AD279" t="s">
        <v>694</v>
      </c>
      <c r="AE279" t="s">
        <v>695</v>
      </c>
      <c r="AH279" t="s">
        <v>65</v>
      </c>
      <c r="AI279" t="s">
        <v>1063</v>
      </c>
      <c r="AJ279">
        <v>1926</v>
      </c>
      <c r="AK279" t="s">
        <v>697</v>
      </c>
      <c r="AM279" t="s">
        <v>698</v>
      </c>
      <c r="AN279" t="s">
        <v>121</v>
      </c>
      <c r="AO279" t="s">
        <v>330</v>
      </c>
      <c r="AP279" t="s">
        <v>182</v>
      </c>
      <c r="AQ279" t="s">
        <v>699</v>
      </c>
      <c r="AR279" t="s">
        <v>70</v>
      </c>
      <c r="AS279">
        <v>702</v>
      </c>
      <c r="AT279" t="s">
        <v>71</v>
      </c>
      <c r="AU279">
        <v>22.51</v>
      </c>
      <c r="AV279">
        <v>-42.93</v>
      </c>
      <c r="AW279" t="s">
        <v>72</v>
      </c>
      <c r="AX279">
        <v>702</v>
      </c>
      <c r="AY279" t="s">
        <v>71</v>
      </c>
      <c r="AZ279">
        <v>24.25</v>
      </c>
      <c r="BA279">
        <v>-52.74</v>
      </c>
      <c r="BB279" t="s">
        <v>73</v>
      </c>
    </row>
    <row r="280" spans="1:54" x14ac:dyDescent="0.4">
      <c r="A280">
        <v>1285964</v>
      </c>
      <c r="D280" t="s">
        <v>246</v>
      </c>
      <c r="E280" t="s">
        <v>55</v>
      </c>
      <c r="G280">
        <v>1</v>
      </c>
      <c r="H280" t="s">
        <v>56</v>
      </c>
      <c r="I280" t="s">
        <v>57</v>
      </c>
      <c r="K280" t="s">
        <v>856</v>
      </c>
      <c r="L280" t="s">
        <v>1074</v>
      </c>
      <c r="M280" t="s">
        <v>59</v>
      </c>
      <c r="P280" t="s">
        <v>259</v>
      </c>
      <c r="Q280" t="s">
        <v>502</v>
      </c>
      <c r="R280" t="s">
        <v>260</v>
      </c>
      <c r="S280" t="s">
        <v>98</v>
      </c>
      <c r="T280">
        <v>259.51</v>
      </c>
      <c r="U280">
        <v>251.90199999999999</v>
      </c>
      <c r="V280">
        <f>(T280+U280)/2</f>
        <v>255.70599999999999</v>
      </c>
      <c r="W280">
        <f>T280-U280</f>
        <v>7.6080000000000041</v>
      </c>
      <c r="X280">
        <v>44.416668000000001</v>
      </c>
      <c r="Y280">
        <v>-24</v>
      </c>
      <c r="Z280" t="s">
        <v>99</v>
      </c>
      <c r="AA280" t="s">
        <v>692</v>
      </c>
      <c r="AB280" t="s">
        <v>693</v>
      </c>
      <c r="AD280" t="s">
        <v>694</v>
      </c>
      <c r="AE280" t="s">
        <v>695</v>
      </c>
      <c r="AH280" t="s">
        <v>65</v>
      </c>
      <c r="AI280" t="s">
        <v>1063</v>
      </c>
      <c r="AJ280">
        <v>1926</v>
      </c>
      <c r="AK280" t="s">
        <v>697</v>
      </c>
      <c r="AM280" t="s">
        <v>698</v>
      </c>
      <c r="AN280" t="s">
        <v>121</v>
      </c>
      <c r="AO280" t="s">
        <v>330</v>
      </c>
      <c r="AP280" t="s">
        <v>182</v>
      </c>
      <c r="AQ280" t="s">
        <v>699</v>
      </c>
      <c r="AR280" t="s">
        <v>70</v>
      </c>
      <c r="AS280">
        <v>702</v>
      </c>
      <c r="AT280" t="s">
        <v>71</v>
      </c>
      <c r="AU280">
        <v>22.51</v>
      </c>
      <c r="AV280">
        <v>-42.93</v>
      </c>
      <c r="AW280" t="s">
        <v>72</v>
      </c>
      <c r="AX280">
        <v>702</v>
      </c>
      <c r="AY280" t="s">
        <v>71</v>
      </c>
      <c r="AZ280">
        <v>24.25</v>
      </c>
      <c r="BA280">
        <v>-52.74</v>
      </c>
      <c r="BB280" t="s">
        <v>73</v>
      </c>
    </row>
    <row r="281" spans="1:54" x14ac:dyDescent="0.4">
      <c r="A281">
        <v>1285964</v>
      </c>
      <c r="D281" t="s">
        <v>246</v>
      </c>
      <c r="E281" t="s">
        <v>55</v>
      </c>
      <c r="G281">
        <v>1</v>
      </c>
      <c r="H281" t="s">
        <v>56</v>
      </c>
      <c r="I281" t="s">
        <v>57</v>
      </c>
      <c r="K281" t="s">
        <v>856</v>
      </c>
      <c r="L281" t="s">
        <v>1074</v>
      </c>
      <c r="M281" t="s">
        <v>59</v>
      </c>
      <c r="P281" t="s">
        <v>259</v>
      </c>
      <c r="Q281" t="s">
        <v>502</v>
      </c>
      <c r="R281" t="s">
        <v>260</v>
      </c>
      <c r="S281" t="s">
        <v>98</v>
      </c>
      <c r="T281">
        <v>259.51</v>
      </c>
      <c r="U281">
        <v>251.90199999999999</v>
      </c>
      <c r="V281">
        <f>(T281+U281)/2</f>
        <v>255.70599999999999</v>
      </c>
      <c r="W281">
        <f>T281-U281</f>
        <v>7.6080000000000041</v>
      </c>
      <c r="X281">
        <v>44.416668000000001</v>
      </c>
      <c r="Y281">
        <v>-24</v>
      </c>
      <c r="Z281" t="s">
        <v>99</v>
      </c>
      <c r="AA281" t="s">
        <v>692</v>
      </c>
      <c r="AB281" t="s">
        <v>693</v>
      </c>
      <c r="AD281" t="s">
        <v>694</v>
      </c>
      <c r="AE281" t="s">
        <v>695</v>
      </c>
      <c r="AH281" t="s">
        <v>65</v>
      </c>
      <c r="AI281" t="s">
        <v>1063</v>
      </c>
      <c r="AJ281">
        <v>1926</v>
      </c>
      <c r="AK281" t="s">
        <v>697</v>
      </c>
      <c r="AM281" t="s">
        <v>698</v>
      </c>
      <c r="AN281" t="s">
        <v>121</v>
      </c>
      <c r="AO281" t="s">
        <v>330</v>
      </c>
      <c r="AP281" t="s">
        <v>182</v>
      </c>
      <c r="AQ281" t="s">
        <v>699</v>
      </c>
      <c r="AR281" t="s">
        <v>70</v>
      </c>
      <c r="AS281">
        <v>702</v>
      </c>
      <c r="AT281" t="s">
        <v>71</v>
      </c>
      <c r="AU281">
        <v>22.51</v>
      </c>
      <c r="AV281">
        <v>-42.93</v>
      </c>
      <c r="AW281" t="s">
        <v>72</v>
      </c>
      <c r="AX281">
        <v>702</v>
      </c>
      <c r="AY281" t="s">
        <v>71</v>
      </c>
      <c r="AZ281">
        <v>24.25</v>
      </c>
      <c r="BA281">
        <v>-52.74</v>
      </c>
      <c r="BB281" t="s">
        <v>73</v>
      </c>
    </row>
    <row r="282" spans="1:54" x14ac:dyDescent="0.4">
      <c r="A282">
        <v>1285964</v>
      </c>
      <c r="D282" t="s">
        <v>246</v>
      </c>
      <c r="E282" t="s">
        <v>55</v>
      </c>
      <c r="G282">
        <v>1</v>
      </c>
      <c r="H282" t="s">
        <v>56</v>
      </c>
      <c r="I282" t="s">
        <v>57</v>
      </c>
      <c r="K282" t="s">
        <v>856</v>
      </c>
      <c r="L282" t="s">
        <v>1074</v>
      </c>
      <c r="M282" t="s">
        <v>59</v>
      </c>
      <c r="P282" t="s">
        <v>259</v>
      </c>
      <c r="Q282" t="s">
        <v>502</v>
      </c>
      <c r="R282" t="s">
        <v>260</v>
      </c>
      <c r="S282" t="s">
        <v>98</v>
      </c>
      <c r="T282">
        <v>259.51</v>
      </c>
      <c r="U282">
        <v>251.90199999999999</v>
      </c>
      <c r="V282">
        <f>(T282+U282)/2</f>
        <v>255.70599999999999</v>
      </c>
      <c r="W282">
        <f>T282-U282</f>
        <v>7.6080000000000041</v>
      </c>
      <c r="X282">
        <v>44.416668000000001</v>
      </c>
      <c r="Y282">
        <v>-24</v>
      </c>
      <c r="Z282" t="s">
        <v>99</v>
      </c>
      <c r="AA282" t="s">
        <v>692</v>
      </c>
      <c r="AB282" t="s">
        <v>693</v>
      </c>
      <c r="AD282" t="s">
        <v>694</v>
      </c>
      <c r="AE282" t="s">
        <v>695</v>
      </c>
      <c r="AH282" t="s">
        <v>65</v>
      </c>
      <c r="AI282" t="s">
        <v>1063</v>
      </c>
      <c r="AJ282">
        <v>1926</v>
      </c>
      <c r="AK282" t="s">
        <v>697</v>
      </c>
      <c r="AM282" t="s">
        <v>698</v>
      </c>
      <c r="AN282" t="s">
        <v>121</v>
      </c>
      <c r="AO282" t="s">
        <v>330</v>
      </c>
      <c r="AP282" t="s">
        <v>182</v>
      </c>
      <c r="AQ282" t="s">
        <v>699</v>
      </c>
      <c r="AR282" t="s">
        <v>70</v>
      </c>
      <c r="AS282">
        <v>702</v>
      </c>
      <c r="AT282" t="s">
        <v>71</v>
      </c>
      <c r="AU282">
        <v>22.51</v>
      </c>
      <c r="AV282">
        <v>-42.93</v>
      </c>
      <c r="AW282" t="s">
        <v>72</v>
      </c>
      <c r="AX282">
        <v>702</v>
      </c>
      <c r="AY282" t="s">
        <v>71</v>
      </c>
      <c r="AZ282">
        <v>24.25</v>
      </c>
      <c r="BA282">
        <v>-52.74</v>
      </c>
      <c r="BB282" t="s">
        <v>73</v>
      </c>
    </row>
    <row r="283" spans="1:54" x14ac:dyDescent="0.4">
      <c r="A283">
        <v>1285964</v>
      </c>
      <c r="D283" t="s">
        <v>246</v>
      </c>
      <c r="E283" t="s">
        <v>55</v>
      </c>
      <c r="G283">
        <v>1</v>
      </c>
      <c r="H283" t="s">
        <v>56</v>
      </c>
      <c r="I283" t="s">
        <v>57</v>
      </c>
      <c r="K283" t="s">
        <v>856</v>
      </c>
      <c r="L283" t="s">
        <v>1074</v>
      </c>
      <c r="M283" t="s">
        <v>59</v>
      </c>
      <c r="P283" t="s">
        <v>259</v>
      </c>
      <c r="Q283" t="s">
        <v>502</v>
      </c>
      <c r="R283" t="s">
        <v>260</v>
      </c>
      <c r="S283" t="s">
        <v>98</v>
      </c>
      <c r="T283">
        <v>259.51</v>
      </c>
      <c r="U283">
        <v>251.90199999999999</v>
      </c>
      <c r="V283">
        <f>(T283+U283)/2</f>
        <v>255.70599999999999</v>
      </c>
      <c r="W283">
        <f>T283-U283</f>
        <v>7.6080000000000041</v>
      </c>
      <c r="X283">
        <v>44.416668000000001</v>
      </c>
      <c r="Y283">
        <v>-24</v>
      </c>
      <c r="Z283" t="s">
        <v>99</v>
      </c>
      <c r="AA283" t="s">
        <v>692</v>
      </c>
      <c r="AB283" t="s">
        <v>693</v>
      </c>
      <c r="AD283" t="s">
        <v>694</v>
      </c>
      <c r="AE283" t="s">
        <v>695</v>
      </c>
      <c r="AH283" t="s">
        <v>65</v>
      </c>
      <c r="AI283" t="s">
        <v>1063</v>
      </c>
      <c r="AJ283">
        <v>1926</v>
      </c>
      <c r="AK283" t="s">
        <v>697</v>
      </c>
      <c r="AM283" t="s">
        <v>698</v>
      </c>
      <c r="AN283" t="s">
        <v>121</v>
      </c>
      <c r="AO283" t="s">
        <v>330</v>
      </c>
      <c r="AP283" t="s">
        <v>182</v>
      </c>
      <c r="AQ283" t="s">
        <v>699</v>
      </c>
      <c r="AR283" t="s">
        <v>70</v>
      </c>
      <c r="AS283">
        <v>702</v>
      </c>
      <c r="AT283" t="s">
        <v>71</v>
      </c>
      <c r="AU283">
        <v>22.51</v>
      </c>
      <c r="AV283">
        <v>-42.93</v>
      </c>
      <c r="AW283" t="s">
        <v>72</v>
      </c>
      <c r="AX283">
        <v>702</v>
      </c>
      <c r="AY283" t="s">
        <v>71</v>
      </c>
      <c r="AZ283">
        <v>24.25</v>
      </c>
      <c r="BA283">
        <v>-52.74</v>
      </c>
      <c r="BB283" t="s">
        <v>73</v>
      </c>
    </row>
    <row r="284" spans="1:54" x14ac:dyDescent="0.4">
      <c r="A284">
        <v>1285964</v>
      </c>
      <c r="D284" t="s">
        <v>246</v>
      </c>
      <c r="E284" t="s">
        <v>55</v>
      </c>
      <c r="G284">
        <v>1</v>
      </c>
      <c r="H284" t="s">
        <v>56</v>
      </c>
      <c r="I284" t="s">
        <v>57</v>
      </c>
      <c r="K284" t="s">
        <v>856</v>
      </c>
      <c r="L284" t="s">
        <v>1074</v>
      </c>
      <c r="M284" t="s">
        <v>59</v>
      </c>
      <c r="P284" t="s">
        <v>259</v>
      </c>
      <c r="Q284" t="s">
        <v>502</v>
      </c>
      <c r="R284" t="s">
        <v>260</v>
      </c>
      <c r="S284" t="s">
        <v>98</v>
      </c>
      <c r="T284">
        <v>259.51</v>
      </c>
      <c r="U284">
        <v>251.90199999999999</v>
      </c>
      <c r="V284">
        <f>(T284+U284)/2</f>
        <v>255.70599999999999</v>
      </c>
      <c r="W284">
        <f>T284-U284</f>
        <v>7.6080000000000041</v>
      </c>
      <c r="X284">
        <v>44.416668000000001</v>
      </c>
      <c r="Y284">
        <v>-24</v>
      </c>
      <c r="Z284" t="s">
        <v>99</v>
      </c>
      <c r="AA284" t="s">
        <v>692</v>
      </c>
      <c r="AB284" t="s">
        <v>693</v>
      </c>
      <c r="AD284" t="s">
        <v>694</v>
      </c>
      <c r="AE284" t="s">
        <v>695</v>
      </c>
      <c r="AH284" t="s">
        <v>65</v>
      </c>
      <c r="AI284" t="s">
        <v>1063</v>
      </c>
      <c r="AJ284">
        <v>1926</v>
      </c>
      <c r="AK284" t="s">
        <v>697</v>
      </c>
      <c r="AM284" t="s">
        <v>698</v>
      </c>
      <c r="AN284" t="s">
        <v>121</v>
      </c>
      <c r="AO284" t="s">
        <v>330</v>
      </c>
      <c r="AP284" t="s">
        <v>182</v>
      </c>
      <c r="AQ284" t="s">
        <v>699</v>
      </c>
      <c r="AR284" t="s">
        <v>70</v>
      </c>
      <c r="AS284">
        <v>702</v>
      </c>
      <c r="AT284" t="s">
        <v>71</v>
      </c>
      <c r="AU284">
        <v>22.51</v>
      </c>
      <c r="AV284">
        <v>-42.93</v>
      </c>
      <c r="AW284" t="s">
        <v>72</v>
      </c>
      <c r="AX284">
        <v>702</v>
      </c>
      <c r="AY284" t="s">
        <v>71</v>
      </c>
      <c r="AZ284">
        <v>24.25</v>
      </c>
      <c r="BA284">
        <v>-52.74</v>
      </c>
      <c r="BB284" t="s">
        <v>73</v>
      </c>
    </row>
    <row r="285" spans="1:54" x14ac:dyDescent="0.4">
      <c r="A285">
        <v>1285964</v>
      </c>
      <c r="D285" t="s">
        <v>246</v>
      </c>
      <c r="E285" t="s">
        <v>55</v>
      </c>
      <c r="G285">
        <v>1</v>
      </c>
      <c r="H285" t="s">
        <v>56</v>
      </c>
      <c r="I285" t="s">
        <v>57</v>
      </c>
      <c r="K285" t="s">
        <v>856</v>
      </c>
      <c r="L285" t="s">
        <v>1074</v>
      </c>
      <c r="M285" t="s">
        <v>59</v>
      </c>
      <c r="P285" t="s">
        <v>259</v>
      </c>
      <c r="Q285" t="s">
        <v>502</v>
      </c>
      <c r="R285" t="s">
        <v>260</v>
      </c>
      <c r="S285" t="s">
        <v>98</v>
      </c>
      <c r="T285">
        <v>259.51</v>
      </c>
      <c r="U285">
        <v>251.90199999999999</v>
      </c>
      <c r="V285">
        <f>(T285+U285)/2</f>
        <v>255.70599999999999</v>
      </c>
      <c r="W285">
        <f>T285-U285</f>
        <v>7.6080000000000041</v>
      </c>
      <c r="X285">
        <v>44.416668000000001</v>
      </c>
      <c r="Y285">
        <v>-24</v>
      </c>
      <c r="Z285" t="s">
        <v>99</v>
      </c>
      <c r="AA285" t="s">
        <v>692</v>
      </c>
      <c r="AB285" t="s">
        <v>693</v>
      </c>
      <c r="AD285" t="s">
        <v>694</v>
      </c>
      <c r="AE285" t="s">
        <v>695</v>
      </c>
      <c r="AH285" t="s">
        <v>65</v>
      </c>
      <c r="AI285" t="s">
        <v>1063</v>
      </c>
      <c r="AJ285">
        <v>1926</v>
      </c>
      <c r="AK285" t="s">
        <v>697</v>
      </c>
      <c r="AM285" t="s">
        <v>698</v>
      </c>
      <c r="AN285" t="s">
        <v>121</v>
      </c>
      <c r="AO285" t="s">
        <v>330</v>
      </c>
      <c r="AP285" t="s">
        <v>182</v>
      </c>
      <c r="AQ285" t="s">
        <v>699</v>
      </c>
      <c r="AR285" t="s">
        <v>70</v>
      </c>
      <c r="AS285">
        <v>702</v>
      </c>
      <c r="AT285" t="s">
        <v>71</v>
      </c>
      <c r="AU285">
        <v>22.51</v>
      </c>
      <c r="AV285">
        <v>-42.93</v>
      </c>
      <c r="AW285" t="s">
        <v>72</v>
      </c>
      <c r="AX285">
        <v>702</v>
      </c>
      <c r="AY285" t="s">
        <v>71</v>
      </c>
      <c r="AZ285">
        <v>24.25</v>
      </c>
      <c r="BA285">
        <v>-52.74</v>
      </c>
      <c r="BB285" t="s">
        <v>73</v>
      </c>
    </row>
    <row r="286" spans="1:54" x14ac:dyDescent="0.4">
      <c r="A286">
        <v>1285964</v>
      </c>
      <c r="D286" t="s">
        <v>246</v>
      </c>
      <c r="E286" t="s">
        <v>55</v>
      </c>
      <c r="G286">
        <v>1</v>
      </c>
      <c r="H286" t="s">
        <v>56</v>
      </c>
      <c r="I286" t="s">
        <v>57</v>
      </c>
      <c r="K286" t="s">
        <v>856</v>
      </c>
      <c r="L286" t="s">
        <v>1074</v>
      </c>
      <c r="M286" t="s">
        <v>59</v>
      </c>
      <c r="P286" t="s">
        <v>259</v>
      </c>
      <c r="Q286" t="s">
        <v>502</v>
      </c>
      <c r="R286" t="s">
        <v>260</v>
      </c>
      <c r="S286" t="s">
        <v>98</v>
      </c>
      <c r="T286">
        <v>259.51</v>
      </c>
      <c r="U286">
        <v>251.90199999999999</v>
      </c>
      <c r="V286">
        <f>(T286+U286)/2</f>
        <v>255.70599999999999</v>
      </c>
      <c r="W286">
        <f>T286-U286</f>
        <v>7.6080000000000041</v>
      </c>
      <c r="X286">
        <v>44.416668000000001</v>
      </c>
      <c r="Y286">
        <v>-24</v>
      </c>
      <c r="Z286" t="s">
        <v>99</v>
      </c>
      <c r="AA286" t="s">
        <v>692</v>
      </c>
      <c r="AB286" t="s">
        <v>693</v>
      </c>
      <c r="AD286" t="s">
        <v>694</v>
      </c>
      <c r="AE286" t="s">
        <v>695</v>
      </c>
      <c r="AH286" t="s">
        <v>65</v>
      </c>
      <c r="AI286" t="s">
        <v>1063</v>
      </c>
      <c r="AJ286">
        <v>1926</v>
      </c>
      <c r="AK286" t="s">
        <v>697</v>
      </c>
      <c r="AM286" t="s">
        <v>698</v>
      </c>
      <c r="AN286" t="s">
        <v>121</v>
      </c>
      <c r="AO286" t="s">
        <v>330</v>
      </c>
      <c r="AP286" t="s">
        <v>182</v>
      </c>
      <c r="AQ286" t="s">
        <v>699</v>
      </c>
      <c r="AR286" t="s">
        <v>70</v>
      </c>
      <c r="AS286">
        <v>702</v>
      </c>
      <c r="AT286" t="s">
        <v>71</v>
      </c>
      <c r="AU286">
        <v>22.51</v>
      </c>
      <c r="AV286">
        <v>-42.93</v>
      </c>
      <c r="AW286" t="s">
        <v>72</v>
      </c>
      <c r="AX286">
        <v>702</v>
      </c>
      <c r="AY286" t="s">
        <v>71</v>
      </c>
      <c r="AZ286">
        <v>24.25</v>
      </c>
      <c r="BA286">
        <v>-52.74</v>
      </c>
      <c r="BB286" t="s">
        <v>73</v>
      </c>
    </row>
    <row r="287" spans="1:54" x14ac:dyDescent="0.4">
      <c r="A287">
        <v>1285964</v>
      </c>
      <c r="D287" t="s">
        <v>246</v>
      </c>
      <c r="E287" t="s">
        <v>55</v>
      </c>
      <c r="G287">
        <v>1</v>
      </c>
      <c r="H287" t="s">
        <v>56</v>
      </c>
      <c r="I287" t="s">
        <v>57</v>
      </c>
      <c r="K287" t="s">
        <v>856</v>
      </c>
      <c r="L287" t="s">
        <v>1074</v>
      </c>
      <c r="M287" t="s">
        <v>59</v>
      </c>
      <c r="P287" t="s">
        <v>259</v>
      </c>
      <c r="Q287" t="s">
        <v>502</v>
      </c>
      <c r="R287" t="s">
        <v>260</v>
      </c>
      <c r="S287" t="s">
        <v>98</v>
      </c>
      <c r="T287">
        <v>259.51</v>
      </c>
      <c r="U287">
        <v>251.90199999999999</v>
      </c>
      <c r="V287">
        <f>(T287+U287)/2</f>
        <v>255.70599999999999</v>
      </c>
      <c r="W287">
        <f>T287-U287</f>
        <v>7.6080000000000041</v>
      </c>
      <c r="X287">
        <v>44.416668000000001</v>
      </c>
      <c r="Y287">
        <v>-24</v>
      </c>
      <c r="Z287" t="s">
        <v>99</v>
      </c>
      <c r="AA287" t="s">
        <v>692</v>
      </c>
      <c r="AB287" t="s">
        <v>693</v>
      </c>
      <c r="AD287" t="s">
        <v>694</v>
      </c>
      <c r="AE287" t="s">
        <v>695</v>
      </c>
      <c r="AH287" t="s">
        <v>65</v>
      </c>
      <c r="AI287" t="s">
        <v>1063</v>
      </c>
      <c r="AJ287">
        <v>1926</v>
      </c>
      <c r="AK287" t="s">
        <v>697</v>
      </c>
      <c r="AM287" t="s">
        <v>698</v>
      </c>
      <c r="AN287" t="s">
        <v>121</v>
      </c>
      <c r="AO287" t="s">
        <v>330</v>
      </c>
      <c r="AP287" t="s">
        <v>182</v>
      </c>
      <c r="AQ287" t="s">
        <v>699</v>
      </c>
      <c r="AR287" t="s">
        <v>70</v>
      </c>
      <c r="AS287">
        <v>702</v>
      </c>
      <c r="AT287" t="s">
        <v>71</v>
      </c>
      <c r="AU287">
        <v>22.51</v>
      </c>
      <c r="AV287">
        <v>-42.93</v>
      </c>
      <c r="AW287" t="s">
        <v>72</v>
      </c>
      <c r="AX287">
        <v>702</v>
      </c>
      <c r="AY287" t="s">
        <v>71</v>
      </c>
      <c r="AZ287">
        <v>24.25</v>
      </c>
      <c r="BA287">
        <v>-52.74</v>
      </c>
      <c r="BB287" t="s">
        <v>73</v>
      </c>
    </row>
    <row r="288" spans="1:54" x14ac:dyDescent="0.4">
      <c r="A288">
        <v>1285964</v>
      </c>
      <c r="D288" t="s">
        <v>246</v>
      </c>
      <c r="E288" t="s">
        <v>55</v>
      </c>
      <c r="G288">
        <v>1</v>
      </c>
      <c r="H288" t="s">
        <v>56</v>
      </c>
      <c r="I288" t="s">
        <v>57</v>
      </c>
      <c r="K288" t="s">
        <v>856</v>
      </c>
      <c r="L288" t="s">
        <v>1074</v>
      </c>
      <c r="M288" t="s">
        <v>59</v>
      </c>
      <c r="P288" t="s">
        <v>259</v>
      </c>
      <c r="Q288" t="s">
        <v>502</v>
      </c>
      <c r="R288" t="s">
        <v>260</v>
      </c>
      <c r="S288" t="s">
        <v>98</v>
      </c>
      <c r="T288">
        <v>259.51</v>
      </c>
      <c r="U288">
        <v>251.90199999999999</v>
      </c>
      <c r="V288">
        <f>(T288+U288)/2</f>
        <v>255.70599999999999</v>
      </c>
      <c r="W288">
        <f>T288-U288</f>
        <v>7.6080000000000041</v>
      </c>
      <c r="X288">
        <v>44.416668000000001</v>
      </c>
      <c r="Y288">
        <v>-24</v>
      </c>
      <c r="Z288" t="s">
        <v>99</v>
      </c>
      <c r="AA288" t="s">
        <v>692</v>
      </c>
      <c r="AB288" t="s">
        <v>693</v>
      </c>
      <c r="AD288" t="s">
        <v>694</v>
      </c>
      <c r="AE288" t="s">
        <v>695</v>
      </c>
      <c r="AH288" t="s">
        <v>65</v>
      </c>
      <c r="AI288" t="s">
        <v>1063</v>
      </c>
      <c r="AJ288">
        <v>1926</v>
      </c>
      <c r="AK288" t="s">
        <v>697</v>
      </c>
      <c r="AM288" t="s">
        <v>698</v>
      </c>
      <c r="AN288" t="s">
        <v>121</v>
      </c>
      <c r="AO288" t="s">
        <v>330</v>
      </c>
      <c r="AP288" t="s">
        <v>182</v>
      </c>
      <c r="AQ288" t="s">
        <v>699</v>
      </c>
      <c r="AR288" t="s">
        <v>70</v>
      </c>
      <c r="AS288">
        <v>702</v>
      </c>
      <c r="AT288" t="s">
        <v>71</v>
      </c>
      <c r="AU288">
        <v>22.51</v>
      </c>
      <c r="AV288">
        <v>-42.93</v>
      </c>
      <c r="AW288" t="s">
        <v>72</v>
      </c>
      <c r="AX288">
        <v>702</v>
      </c>
      <c r="AY288" t="s">
        <v>71</v>
      </c>
      <c r="AZ288">
        <v>24.25</v>
      </c>
      <c r="BA288">
        <v>-52.74</v>
      </c>
      <c r="BB288" t="s">
        <v>73</v>
      </c>
    </row>
    <row r="289" spans="1:54" x14ac:dyDescent="0.4">
      <c r="A289">
        <v>1285964</v>
      </c>
      <c r="D289" t="s">
        <v>246</v>
      </c>
      <c r="E289" t="s">
        <v>55</v>
      </c>
      <c r="G289">
        <v>1</v>
      </c>
      <c r="H289" t="s">
        <v>56</v>
      </c>
      <c r="I289" t="s">
        <v>57</v>
      </c>
      <c r="K289" t="s">
        <v>856</v>
      </c>
      <c r="L289" t="s">
        <v>1074</v>
      </c>
      <c r="M289" t="s">
        <v>59</v>
      </c>
      <c r="P289" t="s">
        <v>259</v>
      </c>
      <c r="Q289" t="s">
        <v>502</v>
      </c>
      <c r="R289" t="s">
        <v>260</v>
      </c>
      <c r="S289" t="s">
        <v>98</v>
      </c>
      <c r="T289">
        <v>259.51</v>
      </c>
      <c r="U289">
        <v>251.90199999999999</v>
      </c>
      <c r="V289">
        <f>(T289+U289)/2</f>
        <v>255.70599999999999</v>
      </c>
      <c r="W289">
        <f>T289-U289</f>
        <v>7.6080000000000041</v>
      </c>
      <c r="X289">
        <v>44.416668000000001</v>
      </c>
      <c r="Y289">
        <v>-24</v>
      </c>
      <c r="Z289" t="s">
        <v>99</v>
      </c>
      <c r="AA289" t="s">
        <v>692</v>
      </c>
      <c r="AB289" t="s">
        <v>693</v>
      </c>
      <c r="AD289" t="s">
        <v>694</v>
      </c>
      <c r="AE289" t="s">
        <v>695</v>
      </c>
      <c r="AH289" t="s">
        <v>65</v>
      </c>
      <c r="AI289" t="s">
        <v>1063</v>
      </c>
      <c r="AJ289">
        <v>1926</v>
      </c>
      <c r="AK289" t="s">
        <v>697</v>
      </c>
      <c r="AM289" t="s">
        <v>698</v>
      </c>
      <c r="AN289" t="s">
        <v>121</v>
      </c>
      <c r="AO289" t="s">
        <v>330</v>
      </c>
      <c r="AP289" t="s">
        <v>182</v>
      </c>
      <c r="AQ289" t="s">
        <v>699</v>
      </c>
      <c r="AR289" t="s">
        <v>70</v>
      </c>
      <c r="AS289">
        <v>702</v>
      </c>
      <c r="AT289" t="s">
        <v>71</v>
      </c>
      <c r="AU289">
        <v>22.51</v>
      </c>
      <c r="AV289">
        <v>-42.93</v>
      </c>
      <c r="AW289" t="s">
        <v>72</v>
      </c>
      <c r="AX289">
        <v>702</v>
      </c>
      <c r="AY289" t="s">
        <v>71</v>
      </c>
      <c r="AZ289">
        <v>24.25</v>
      </c>
      <c r="BA289">
        <v>-52.74</v>
      </c>
      <c r="BB289" t="s">
        <v>73</v>
      </c>
    </row>
    <row r="290" spans="1:54" x14ac:dyDescent="0.4">
      <c r="A290">
        <v>1285964</v>
      </c>
      <c r="D290" t="s">
        <v>246</v>
      </c>
      <c r="E290" t="s">
        <v>55</v>
      </c>
      <c r="G290">
        <v>1</v>
      </c>
      <c r="H290" t="s">
        <v>56</v>
      </c>
      <c r="I290" t="s">
        <v>57</v>
      </c>
      <c r="K290" t="s">
        <v>856</v>
      </c>
      <c r="L290" t="s">
        <v>1074</v>
      </c>
      <c r="M290" t="s">
        <v>59</v>
      </c>
      <c r="P290" t="s">
        <v>259</v>
      </c>
      <c r="Q290" t="s">
        <v>502</v>
      </c>
      <c r="R290" t="s">
        <v>260</v>
      </c>
      <c r="S290" t="s">
        <v>98</v>
      </c>
      <c r="T290">
        <v>259.51</v>
      </c>
      <c r="U290">
        <v>251.90199999999999</v>
      </c>
      <c r="V290">
        <f>(T290+U290)/2</f>
        <v>255.70599999999999</v>
      </c>
      <c r="W290">
        <f>T290-U290</f>
        <v>7.6080000000000041</v>
      </c>
      <c r="X290">
        <v>44.416668000000001</v>
      </c>
      <c r="Y290">
        <v>-24</v>
      </c>
      <c r="Z290" t="s">
        <v>99</v>
      </c>
      <c r="AA290" t="s">
        <v>692</v>
      </c>
      <c r="AB290" t="s">
        <v>693</v>
      </c>
      <c r="AD290" t="s">
        <v>694</v>
      </c>
      <c r="AE290" t="s">
        <v>695</v>
      </c>
      <c r="AH290" t="s">
        <v>65</v>
      </c>
      <c r="AI290" t="s">
        <v>1063</v>
      </c>
      <c r="AJ290">
        <v>1926</v>
      </c>
      <c r="AK290" t="s">
        <v>697</v>
      </c>
      <c r="AM290" t="s">
        <v>698</v>
      </c>
      <c r="AN290" t="s">
        <v>121</v>
      </c>
      <c r="AO290" t="s">
        <v>330</v>
      </c>
      <c r="AP290" t="s">
        <v>182</v>
      </c>
      <c r="AQ290" t="s">
        <v>699</v>
      </c>
      <c r="AR290" t="s">
        <v>70</v>
      </c>
      <c r="AS290">
        <v>702</v>
      </c>
      <c r="AT290" t="s">
        <v>71</v>
      </c>
      <c r="AU290">
        <v>22.51</v>
      </c>
      <c r="AV290">
        <v>-42.93</v>
      </c>
      <c r="AW290" t="s">
        <v>72</v>
      </c>
      <c r="AX290">
        <v>702</v>
      </c>
      <c r="AY290" t="s">
        <v>71</v>
      </c>
      <c r="AZ290">
        <v>24.25</v>
      </c>
      <c r="BA290">
        <v>-52.74</v>
      </c>
      <c r="BB290" t="s">
        <v>73</v>
      </c>
    </row>
    <row r="291" spans="1:54" x14ac:dyDescent="0.4">
      <c r="A291">
        <v>1285964</v>
      </c>
      <c r="D291" t="s">
        <v>246</v>
      </c>
      <c r="E291" t="s">
        <v>55</v>
      </c>
      <c r="G291">
        <v>1</v>
      </c>
      <c r="H291" t="s">
        <v>56</v>
      </c>
      <c r="I291" t="s">
        <v>57</v>
      </c>
      <c r="K291" t="s">
        <v>856</v>
      </c>
      <c r="L291" t="s">
        <v>1074</v>
      </c>
      <c r="M291" t="s">
        <v>59</v>
      </c>
      <c r="P291" t="s">
        <v>259</v>
      </c>
      <c r="Q291" t="s">
        <v>502</v>
      </c>
      <c r="R291" t="s">
        <v>260</v>
      </c>
      <c r="S291" t="s">
        <v>98</v>
      </c>
      <c r="T291">
        <v>259.51</v>
      </c>
      <c r="U291">
        <v>251.90199999999999</v>
      </c>
      <c r="V291">
        <f>(T291+U291)/2</f>
        <v>255.70599999999999</v>
      </c>
      <c r="W291">
        <f>T291-U291</f>
        <v>7.6080000000000041</v>
      </c>
      <c r="X291">
        <v>44.416668000000001</v>
      </c>
      <c r="Y291">
        <v>-24</v>
      </c>
      <c r="Z291" t="s">
        <v>99</v>
      </c>
      <c r="AA291" t="s">
        <v>692</v>
      </c>
      <c r="AB291" t="s">
        <v>693</v>
      </c>
      <c r="AD291" t="s">
        <v>694</v>
      </c>
      <c r="AE291" t="s">
        <v>695</v>
      </c>
      <c r="AH291" t="s">
        <v>65</v>
      </c>
      <c r="AI291" t="s">
        <v>1063</v>
      </c>
      <c r="AJ291">
        <v>1926</v>
      </c>
      <c r="AK291" t="s">
        <v>697</v>
      </c>
      <c r="AM291" t="s">
        <v>698</v>
      </c>
      <c r="AN291" t="s">
        <v>121</v>
      </c>
      <c r="AO291" t="s">
        <v>330</v>
      </c>
      <c r="AP291" t="s">
        <v>182</v>
      </c>
      <c r="AQ291" t="s">
        <v>699</v>
      </c>
      <c r="AR291" t="s">
        <v>70</v>
      </c>
      <c r="AS291">
        <v>702</v>
      </c>
      <c r="AT291" t="s">
        <v>71</v>
      </c>
      <c r="AU291">
        <v>22.51</v>
      </c>
      <c r="AV291">
        <v>-42.93</v>
      </c>
      <c r="AW291" t="s">
        <v>72</v>
      </c>
      <c r="AX291">
        <v>702</v>
      </c>
      <c r="AY291" t="s">
        <v>71</v>
      </c>
      <c r="AZ291">
        <v>24.25</v>
      </c>
      <c r="BA291">
        <v>-52.74</v>
      </c>
      <c r="BB291" t="s">
        <v>73</v>
      </c>
    </row>
    <row r="292" spans="1:54" x14ac:dyDescent="0.4">
      <c r="A292">
        <v>1285964</v>
      </c>
      <c r="D292" t="s">
        <v>246</v>
      </c>
      <c r="E292" t="s">
        <v>55</v>
      </c>
      <c r="G292">
        <v>1</v>
      </c>
      <c r="H292" t="s">
        <v>56</v>
      </c>
      <c r="I292" t="s">
        <v>57</v>
      </c>
      <c r="K292" t="s">
        <v>856</v>
      </c>
      <c r="L292" t="s">
        <v>1074</v>
      </c>
      <c r="M292" t="s">
        <v>59</v>
      </c>
      <c r="P292" t="s">
        <v>259</v>
      </c>
      <c r="Q292" t="s">
        <v>502</v>
      </c>
      <c r="R292" t="s">
        <v>260</v>
      </c>
      <c r="S292" t="s">
        <v>98</v>
      </c>
      <c r="T292">
        <v>259.51</v>
      </c>
      <c r="U292">
        <v>251.90199999999999</v>
      </c>
      <c r="V292">
        <f>(T292+U292)/2</f>
        <v>255.70599999999999</v>
      </c>
      <c r="W292">
        <f>T292-U292</f>
        <v>7.6080000000000041</v>
      </c>
      <c r="X292">
        <v>44.416668000000001</v>
      </c>
      <c r="Y292">
        <v>-24</v>
      </c>
      <c r="Z292" t="s">
        <v>99</v>
      </c>
      <c r="AA292" t="s">
        <v>692</v>
      </c>
      <c r="AB292" t="s">
        <v>693</v>
      </c>
      <c r="AD292" t="s">
        <v>694</v>
      </c>
      <c r="AE292" t="s">
        <v>695</v>
      </c>
      <c r="AH292" t="s">
        <v>65</v>
      </c>
      <c r="AI292" t="s">
        <v>1063</v>
      </c>
      <c r="AJ292">
        <v>1926</v>
      </c>
      <c r="AK292" t="s">
        <v>697</v>
      </c>
      <c r="AM292" t="s">
        <v>698</v>
      </c>
      <c r="AN292" t="s">
        <v>121</v>
      </c>
      <c r="AO292" t="s">
        <v>330</v>
      </c>
      <c r="AP292" t="s">
        <v>182</v>
      </c>
      <c r="AQ292" t="s">
        <v>699</v>
      </c>
      <c r="AR292" t="s">
        <v>70</v>
      </c>
      <c r="AS292">
        <v>702</v>
      </c>
      <c r="AT292" t="s">
        <v>71</v>
      </c>
      <c r="AU292">
        <v>22.51</v>
      </c>
      <c r="AV292">
        <v>-42.93</v>
      </c>
      <c r="AW292" t="s">
        <v>72</v>
      </c>
      <c r="AX292">
        <v>702</v>
      </c>
      <c r="AY292" t="s">
        <v>71</v>
      </c>
      <c r="AZ292">
        <v>24.25</v>
      </c>
      <c r="BA292">
        <v>-52.74</v>
      </c>
      <c r="BB292" t="s">
        <v>73</v>
      </c>
    </row>
    <row r="293" spans="1:54" x14ac:dyDescent="0.4">
      <c r="A293">
        <v>1285964</v>
      </c>
      <c r="D293" t="s">
        <v>246</v>
      </c>
      <c r="E293" t="s">
        <v>55</v>
      </c>
      <c r="G293">
        <v>1</v>
      </c>
      <c r="H293" t="s">
        <v>56</v>
      </c>
      <c r="I293" t="s">
        <v>57</v>
      </c>
      <c r="K293" t="s">
        <v>856</v>
      </c>
      <c r="L293" t="s">
        <v>1074</v>
      </c>
      <c r="M293" t="s">
        <v>59</v>
      </c>
      <c r="P293" t="s">
        <v>259</v>
      </c>
      <c r="Q293" t="s">
        <v>502</v>
      </c>
      <c r="R293" t="s">
        <v>260</v>
      </c>
      <c r="S293" t="s">
        <v>98</v>
      </c>
      <c r="T293">
        <v>259.51</v>
      </c>
      <c r="U293">
        <v>251.90199999999999</v>
      </c>
      <c r="V293">
        <f>(T293+U293)/2</f>
        <v>255.70599999999999</v>
      </c>
      <c r="W293">
        <f>T293-U293</f>
        <v>7.6080000000000041</v>
      </c>
      <c r="X293">
        <v>44.416668000000001</v>
      </c>
      <c r="Y293">
        <v>-24</v>
      </c>
      <c r="Z293" t="s">
        <v>99</v>
      </c>
      <c r="AA293" t="s">
        <v>692</v>
      </c>
      <c r="AB293" t="s">
        <v>693</v>
      </c>
      <c r="AD293" t="s">
        <v>694</v>
      </c>
      <c r="AE293" t="s">
        <v>695</v>
      </c>
      <c r="AH293" t="s">
        <v>65</v>
      </c>
      <c r="AI293" t="s">
        <v>1063</v>
      </c>
      <c r="AJ293">
        <v>1926</v>
      </c>
      <c r="AK293" t="s">
        <v>697</v>
      </c>
      <c r="AM293" t="s">
        <v>698</v>
      </c>
      <c r="AN293" t="s">
        <v>121</v>
      </c>
      <c r="AO293" t="s">
        <v>330</v>
      </c>
      <c r="AP293" t="s">
        <v>182</v>
      </c>
      <c r="AQ293" t="s">
        <v>699</v>
      </c>
      <c r="AR293" t="s">
        <v>70</v>
      </c>
      <c r="AS293">
        <v>702</v>
      </c>
      <c r="AT293" t="s">
        <v>71</v>
      </c>
      <c r="AU293">
        <v>22.51</v>
      </c>
      <c r="AV293">
        <v>-42.93</v>
      </c>
      <c r="AW293" t="s">
        <v>72</v>
      </c>
      <c r="AX293">
        <v>702</v>
      </c>
      <c r="AY293" t="s">
        <v>71</v>
      </c>
      <c r="AZ293">
        <v>24.25</v>
      </c>
      <c r="BA293">
        <v>-52.74</v>
      </c>
      <c r="BB293" t="s">
        <v>73</v>
      </c>
    </row>
    <row r="294" spans="1:54" x14ac:dyDescent="0.4">
      <c r="A294">
        <v>1285964</v>
      </c>
      <c r="D294" t="s">
        <v>246</v>
      </c>
      <c r="E294" t="s">
        <v>55</v>
      </c>
      <c r="G294">
        <v>1</v>
      </c>
      <c r="H294" t="s">
        <v>56</v>
      </c>
      <c r="I294" t="s">
        <v>57</v>
      </c>
      <c r="K294" t="s">
        <v>856</v>
      </c>
      <c r="L294" t="s">
        <v>1074</v>
      </c>
      <c r="M294" t="s">
        <v>59</v>
      </c>
      <c r="P294" t="s">
        <v>259</v>
      </c>
      <c r="Q294" t="s">
        <v>502</v>
      </c>
      <c r="R294" t="s">
        <v>260</v>
      </c>
      <c r="S294" t="s">
        <v>98</v>
      </c>
      <c r="T294">
        <v>259.51</v>
      </c>
      <c r="U294">
        <v>251.90199999999999</v>
      </c>
      <c r="V294">
        <f>(T294+U294)/2</f>
        <v>255.70599999999999</v>
      </c>
      <c r="W294">
        <f>T294-U294</f>
        <v>7.6080000000000041</v>
      </c>
      <c r="X294">
        <v>44.416668000000001</v>
      </c>
      <c r="Y294">
        <v>-24</v>
      </c>
      <c r="Z294" t="s">
        <v>99</v>
      </c>
      <c r="AA294" t="s">
        <v>692</v>
      </c>
      <c r="AB294" t="s">
        <v>693</v>
      </c>
      <c r="AD294" t="s">
        <v>694</v>
      </c>
      <c r="AE294" t="s">
        <v>695</v>
      </c>
      <c r="AH294" t="s">
        <v>65</v>
      </c>
      <c r="AI294" t="s">
        <v>1063</v>
      </c>
      <c r="AJ294">
        <v>1926</v>
      </c>
      <c r="AK294" t="s">
        <v>697</v>
      </c>
      <c r="AM294" t="s">
        <v>698</v>
      </c>
      <c r="AN294" t="s">
        <v>121</v>
      </c>
      <c r="AO294" t="s">
        <v>330</v>
      </c>
      <c r="AP294" t="s">
        <v>182</v>
      </c>
      <c r="AQ294" t="s">
        <v>699</v>
      </c>
      <c r="AR294" t="s">
        <v>70</v>
      </c>
      <c r="AS294">
        <v>702</v>
      </c>
      <c r="AT294" t="s">
        <v>71</v>
      </c>
      <c r="AU294">
        <v>22.51</v>
      </c>
      <c r="AV294">
        <v>-42.93</v>
      </c>
      <c r="AW294" t="s">
        <v>72</v>
      </c>
      <c r="AX294">
        <v>702</v>
      </c>
      <c r="AY294" t="s">
        <v>71</v>
      </c>
      <c r="AZ294">
        <v>24.25</v>
      </c>
      <c r="BA294">
        <v>-52.74</v>
      </c>
      <c r="BB294" t="s">
        <v>73</v>
      </c>
    </row>
    <row r="295" spans="1:54" x14ac:dyDescent="0.4">
      <c r="A295">
        <v>1285964</v>
      </c>
      <c r="D295" t="s">
        <v>246</v>
      </c>
      <c r="E295" t="s">
        <v>55</v>
      </c>
      <c r="G295">
        <v>1</v>
      </c>
      <c r="H295" t="s">
        <v>56</v>
      </c>
      <c r="I295" t="s">
        <v>57</v>
      </c>
      <c r="K295" t="s">
        <v>856</v>
      </c>
      <c r="L295" t="s">
        <v>1074</v>
      </c>
      <c r="M295" t="s">
        <v>59</v>
      </c>
      <c r="P295" t="s">
        <v>259</v>
      </c>
      <c r="Q295" t="s">
        <v>502</v>
      </c>
      <c r="R295" t="s">
        <v>260</v>
      </c>
      <c r="S295" t="s">
        <v>98</v>
      </c>
      <c r="T295">
        <v>259.51</v>
      </c>
      <c r="U295">
        <v>251.90199999999999</v>
      </c>
      <c r="V295">
        <f>(T295+U295)/2</f>
        <v>255.70599999999999</v>
      </c>
      <c r="W295">
        <f>T295-U295</f>
        <v>7.6080000000000041</v>
      </c>
      <c r="X295">
        <v>44.416668000000001</v>
      </c>
      <c r="Y295">
        <v>-24</v>
      </c>
      <c r="Z295" t="s">
        <v>99</v>
      </c>
      <c r="AA295" t="s">
        <v>692</v>
      </c>
      <c r="AB295" t="s">
        <v>693</v>
      </c>
      <c r="AD295" t="s">
        <v>694</v>
      </c>
      <c r="AE295" t="s">
        <v>695</v>
      </c>
      <c r="AH295" t="s">
        <v>65</v>
      </c>
      <c r="AI295" t="s">
        <v>1063</v>
      </c>
      <c r="AJ295">
        <v>1926</v>
      </c>
      <c r="AK295" t="s">
        <v>697</v>
      </c>
      <c r="AM295" t="s">
        <v>698</v>
      </c>
      <c r="AN295" t="s">
        <v>121</v>
      </c>
      <c r="AO295" t="s">
        <v>330</v>
      </c>
      <c r="AP295" t="s">
        <v>182</v>
      </c>
      <c r="AQ295" t="s">
        <v>699</v>
      </c>
      <c r="AR295" t="s">
        <v>70</v>
      </c>
      <c r="AS295">
        <v>702</v>
      </c>
      <c r="AT295" t="s">
        <v>71</v>
      </c>
      <c r="AU295">
        <v>22.51</v>
      </c>
      <c r="AV295">
        <v>-42.93</v>
      </c>
      <c r="AW295" t="s">
        <v>72</v>
      </c>
      <c r="AX295">
        <v>702</v>
      </c>
      <c r="AY295" t="s">
        <v>71</v>
      </c>
      <c r="AZ295">
        <v>24.25</v>
      </c>
      <c r="BA295">
        <v>-52.74</v>
      </c>
      <c r="BB295" t="s">
        <v>73</v>
      </c>
    </row>
    <row r="296" spans="1:54" x14ac:dyDescent="0.4">
      <c r="A296">
        <v>1285964</v>
      </c>
      <c r="D296" t="s">
        <v>246</v>
      </c>
      <c r="E296" t="s">
        <v>55</v>
      </c>
      <c r="G296">
        <v>1</v>
      </c>
      <c r="H296" t="s">
        <v>56</v>
      </c>
      <c r="I296" t="s">
        <v>57</v>
      </c>
      <c r="K296" t="s">
        <v>856</v>
      </c>
      <c r="L296" t="s">
        <v>1074</v>
      </c>
      <c r="M296" t="s">
        <v>59</v>
      </c>
      <c r="P296" t="s">
        <v>259</v>
      </c>
      <c r="Q296" t="s">
        <v>502</v>
      </c>
      <c r="R296" t="s">
        <v>260</v>
      </c>
      <c r="S296" t="s">
        <v>98</v>
      </c>
      <c r="T296">
        <v>259.51</v>
      </c>
      <c r="U296">
        <v>251.90199999999999</v>
      </c>
      <c r="V296">
        <f>(T296+U296)/2</f>
        <v>255.70599999999999</v>
      </c>
      <c r="W296">
        <f>T296-U296</f>
        <v>7.6080000000000041</v>
      </c>
      <c r="X296">
        <v>44.416668000000001</v>
      </c>
      <c r="Y296">
        <v>-24</v>
      </c>
      <c r="Z296" t="s">
        <v>99</v>
      </c>
      <c r="AA296" t="s">
        <v>692</v>
      </c>
      <c r="AB296" t="s">
        <v>693</v>
      </c>
      <c r="AD296" t="s">
        <v>694</v>
      </c>
      <c r="AE296" t="s">
        <v>695</v>
      </c>
      <c r="AH296" t="s">
        <v>65</v>
      </c>
      <c r="AI296" t="s">
        <v>1063</v>
      </c>
      <c r="AJ296">
        <v>1926</v>
      </c>
      <c r="AK296" t="s">
        <v>697</v>
      </c>
      <c r="AM296" t="s">
        <v>698</v>
      </c>
      <c r="AN296" t="s">
        <v>121</v>
      </c>
      <c r="AO296" t="s">
        <v>330</v>
      </c>
      <c r="AP296" t="s">
        <v>182</v>
      </c>
      <c r="AQ296" t="s">
        <v>699</v>
      </c>
      <c r="AR296" t="s">
        <v>70</v>
      </c>
      <c r="AS296">
        <v>702</v>
      </c>
      <c r="AT296" t="s">
        <v>71</v>
      </c>
      <c r="AU296">
        <v>22.51</v>
      </c>
      <c r="AV296">
        <v>-42.93</v>
      </c>
      <c r="AW296" t="s">
        <v>72</v>
      </c>
      <c r="AX296">
        <v>702</v>
      </c>
      <c r="AY296" t="s">
        <v>71</v>
      </c>
      <c r="AZ296">
        <v>24.25</v>
      </c>
      <c r="BA296">
        <v>-52.74</v>
      </c>
      <c r="BB296" t="s">
        <v>73</v>
      </c>
    </row>
    <row r="297" spans="1:54" x14ac:dyDescent="0.4">
      <c r="A297">
        <v>1285964</v>
      </c>
      <c r="D297" t="s">
        <v>246</v>
      </c>
      <c r="E297" t="s">
        <v>55</v>
      </c>
      <c r="G297">
        <v>1</v>
      </c>
      <c r="H297" t="s">
        <v>56</v>
      </c>
      <c r="I297" t="s">
        <v>57</v>
      </c>
      <c r="K297" t="s">
        <v>856</v>
      </c>
      <c r="L297" t="s">
        <v>1074</v>
      </c>
      <c r="M297" t="s">
        <v>59</v>
      </c>
      <c r="P297" t="s">
        <v>259</v>
      </c>
      <c r="Q297" t="s">
        <v>502</v>
      </c>
      <c r="R297" t="s">
        <v>260</v>
      </c>
      <c r="S297" t="s">
        <v>98</v>
      </c>
      <c r="T297">
        <v>259.51</v>
      </c>
      <c r="U297">
        <v>251.90199999999999</v>
      </c>
      <c r="V297">
        <f>(T297+U297)/2</f>
        <v>255.70599999999999</v>
      </c>
      <c r="W297">
        <f>T297-U297</f>
        <v>7.6080000000000041</v>
      </c>
      <c r="X297">
        <v>44.416668000000001</v>
      </c>
      <c r="Y297">
        <v>-24</v>
      </c>
      <c r="Z297" t="s">
        <v>99</v>
      </c>
      <c r="AA297" t="s">
        <v>692</v>
      </c>
      <c r="AB297" t="s">
        <v>693</v>
      </c>
      <c r="AD297" t="s">
        <v>694</v>
      </c>
      <c r="AE297" t="s">
        <v>695</v>
      </c>
      <c r="AH297" t="s">
        <v>65</v>
      </c>
      <c r="AI297" t="s">
        <v>1063</v>
      </c>
      <c r="AJ297">
        <v>1926</v>
      </c>
      <c r="AK297" t="s">
        <v>697</v>
      </c>
      <c r="AM297" t="s">
        <v>698</v>
      </c>
      <c r="AN297" t="s">
        <v>121</v>
      </c>
      <c r="AO297" t="s">
        <v>330</v>
      </c>
      <c r="AP297" t="s">
        <v>182</v>
      </c>
      <c r="AQ297" t="s">
        <v>699</v>
      </c>
      <c r="AR297" t="s">
        <v>70</v>
      </c>
      <c r="AS297">
        <v>702</v>
      </c>
      <c r="AT297" t="s">
        <v>71</v>
      </c>
      <c r="AU297">
        <v>22.51</v>
      </c>
      <c r="AV297">
        <v>-42.93</v>
      </c>
      <c r="AW297" t="s">
        <v>72</v>
      </c>
      <c r="AX297">
        <v>702</v>
      </c>
      <c r="AY297" t="s">
        <v>71</v>
      </c>
      <c r="AZ297">
        <v>24.25</v>
      </c>
      <c r="BA297">
        <v>-52.74</v>
      </c>
      <c r="BB297" t="s">
        <v>73</v>
      </c>
    </row>
    <row r="298" spans="1:54" x14ac:dyDescent="0.4">
      <c r="A298">
        <v>1285964</v>
      </c>
      <c r="D298" t="s">
        <v>246</v>
      </c>
      <c r="E298" t="s">
        <v>55</v>
      </c>
      <c r="G298">
        <v>1</v>
      </c>
      <c r="H298" t="s">
        <v>56</v>
      </c>
      <c r="I298" t="s">
        <v>57</v>
      </c>
      <c r="K298" t="s">
        <v>856</v>
      </c>
      <c r="L298" t="s">
        <v>1074</v>
      </c>
      <c r="M298" t="s">
        <v>59</v>
      </c>
      <c r="P298" t="s">
        <v>259</v>
      </c>
      <c r="Q298" t="s">
        <v>502</v>
      </c>
      <c r="R298" t="s">
        <v>260</v>
      </c>
      <c r="S298" t="s">
        <v>98</v>
      </c>
      <c r="T298">
        <v>259.51</v>
      </c>
      <c r="U298">
        <v>251.90199999999999</v>
      </c>
      <c r="V298">
        <f>(T298+U298)/2</f>
        <v>255.70599999999999</v>
      </c>
      <c r="W298">
        <f>T298-U298</f>
        <v>7.6080000000000041</v>
      </c>
      <c r="X298">
        <v>44.416668000000001</v>
      </c>
      <c r="Y298">
        <v>-24</v>
      </c>
      <c r="Z298" t="s">
        <v>99</v>
      </c>
      <c r="AA298" t="s">
        <v>692</v>
      </c>
      <c r="AB298" t="s">
        <v>693</v>
      </c>
      <c r="AD298" t="s">
        <v>694</v>
      </c>
      <c r="AE298" t="s">
        <v>695</v>
      </c>
      <c r="AH298" t="s">
        <v>65</v>
      </c>
      <c r="AI298" t="s">
        <v>1063</v>
      </c>
      <c r="AJ298">
        <v>1926</v>
      </c>
      <c r="AK298" t="s">
        <v>697</v>
      </c>
      <c r="AM298" t="s">
        <v>698</v>
      </c>
      <c r="AN298" t="s">
        <v>121</v>
      </c>
      <c r="AO298" t="s">
        <v>330</v>
      </c>
      <c r="AP298" t="s">
        <v>182</v>
      </c>
      <c r="AQ298" t="s">
        <v>699</v>
      </c>
      <c r="AR298" t="s">
        <v>70</v>
      </c>
      <c r="AS298">
        <v>702</v>
      </c>
      <c r="AT298" t="s">
        <v>71</v>
      </c>
      <c r="AU298">
        <v>22.51</v>
      </c>
      <c r="AV298">
        <v>-42.93</v>
      </c>
      <c r="AW298" t="s">
        <v>72</v>
      </c>
      <c r="AX298">
        <v>702</v>
      </c>
      <c r="AY298" t="s">
        <v>71</v>
      </c>
      <c r="AZ298">
        <v>24.25</v>
      </c>
      <c r="BA298">
        <v>-52.74</v>
      </c>
      <c r="BB298" t="s">
        <v>73</v>
      </c>
    </row>
    <row r="299" spans="1:54" x14ac:dyDescent="0.4">
      <c r="A299">
        <v>1285964</v>
      </c>
      <c r="D299" t="s">
        <v>246</v>
      </c>
      <c r="E299" t="s">
        <v>55</v>
      </c>
      <c r="G299">
        <v>1</v>
      </c>
      <c r="H299" t="s">
        <v>56</v>
      </c>
      <c r="I299" t="s">
        <v>57</v>
      </c>
      <c r="K299" t="s">
        <v>856</v>
      </c>
      <c r="L299" t="s">
        <v>1074</v>
      </c>
      <c r="M299" t="s">
        <v>59</v>
      </c>
      <c r="P299" t="s">
        <v>259</v>
      </c>
      <c r="Q299" t="s">
        <v>502</v>
      </c>
      <c r="R299" t="s">
        <v>260</v>
      </c>
      <c r="S299" t="s">
        <v>98</v>
      </c>
      <c r="T299">
        <v>259.51</v>
      </c>
      <c r="U299">
        <v>251.90199999999999</v>
      </c>
      <c r="V299">
        <f>(T299+U299)/2</f>
        <v>255.70599999999999</v>
      </c>
      <c r="W299">
        <f>T299-U299</f>
        <v>7.6080000000000041</v>
      </c>
      <c r="X299">
        <v>44.416668000000001</v>
      </c>
      <c r="Y299">
        <v>-24</v>
      </c>
      <c r="Z299" t="s">
        <v>99</v>
      </c>
      <c r="AA299" t="s">
        <v>692</v>
      </c>
      <c r="AB299" t="s">
        <v>693</v>
      </c>
      <c r="AD299" t="s">
        <v>694</v>
      </c>
      <c r="AE299" t="s">
        <v>695</v>
      </c>
      <c r="AH299" t="s">
        <v>65</v>
      </c>
      <c r="AI299" t="s">
        <v>1063</v>
      </c>
      <c r="AJ299">
        <v>1926</v>
      </c>
      <c r="AK299" t="s">
        <v>697</v>
      </c>
      <c r="AM299" t="s">
        <v>698</v>
      </c>
      <c r="AN299" t="s">
        <v>121</v>
      </c>
      <c r="AO299" t="s">
        <v>330</v>
      </c>
      <c r="AP299" t="s">
        <v>182</v>
      </c>
      <c r="AQ299" t="s">
        <v>699</v>
      </c>
      <c r="AR299" t="s">
        <v>70</v>
      </c>
      <c r="AS299">
        <v>702</v>
      </c>
      <c r="AT299" t="s">
        <v>71</v>
      </c>
      <c r="AU299">
        <v>22.51</v>
      </c>
      <c r="AV299">
        <v>-42.93</v>
      </c>
      <c r="AW299" t="s">
        <v>72</v>
      </c>
      <c r="AX299">
        <v>702</v>
      </c>
      <c r="AY299" t="s">
        <v>71</v>
      </c>
      <c r="AZ299">
        <v>24.25</v>
      </c>
      <c r="BA299">
        <v>-52.74</v>
      </c>
      <c r="BB299" t="s">
        <v>73</v>
      </c>
    </row>
    <row r="300" spans="1:54" x14ac:dyDescent="0.4">
      <c r="A300">
        <v>1285964</v>
      </c>
      <c r="D300" t="s">
        <v>246</v>
      </c>
      <c r="E300" t="s">
        <v>55</v>
      </c>
      <c r="G300">
        <v>1</v>
      </c>
      <c r="H300" t="s">
        <v>56</v>
      </c>
      <c r="I300" t="s">
        <v>57</v>
      </c>
      <c r="K300" t="s">
        <v>856</v>
      </c>
      <c r="L300" t="s">
        <v>1074</v>
      </c>
      <c r="M300" t="s">
        <v>59</v>
      </c>
      <c r="P300" t="s">
        <v>259</v>
      </c>
      <c r="Q300" t="s">
        <v>502</v>
      </c>
      <c r="R300" t="s">
        <v>260</v>
      </c>
      <c r="S300" t="s">
        <v>98</v>
      </c>
      <c r="T300">
        <v>259.51</v>
      </c>
      <c r="U300">
        <v>251.90199999999999</v>
      </c>
      <c r="V300">
        <f>(T300+U300)/2</f>
        <v>255.70599999999999</v>
      </c>
      <c r="W300">
        <f>T300-U300</f>
        <v>7.6080000000000041</v>
      </c>
      <c r="X300">
        <v>44.416668000000001</v>
      </c>
      <c r="Y300">
        <v>-24</v>
      </c>
      <c r="Z300" t="s">
        <v>99</v>
      </c>
      <c r="AA300" t="s">
        <v>692</v>
      </c>
      <c r="AB300" t="s">
        <v>693</v>
      </c>
      <c r="AD300" t="s">
        <v>694</v>
      </c>
      <c r="AE300" t="s">
        <v>695</v>
      </c>
      <c r="AH300" t="s">
        <v>65</v>
      </c>
      <c r="AI300" t="s">
        <v>1063</v>
      </c>
      <c r="AJ300">
        <v>1926</v>
      </c>
      <c r="AK300" t="s">
        <v>697</v>
      </c>
      <c r="AM300" t="s">
        <v>698</v>
      </c>
      <c r="AN300" t="s">
        <v>121</v>
      </c>
      <c r="AO300" t="s">
        <v>330</v>
      </c>
      <c r="AP300" t="s">
        <v>182</v>
      </c>
      <c r="AQ300" t="s">
        <v>699</v>
      </c>
      <c r="AR300" t="s">
        <v>70</v>
      </c>
      <c r="AS300">
        <v>702</v>
      </c>
      <c r="AT300" t="s">
        <v>71</v>
      </c>
      <c r="AU300">
        <v>22.51</v>
      </c>
      <c r="AV300">
        <v>-42.93</v>
      </c>
      <c r="AW300" t="s">
        <v>72</v>
      </c>
      <c r="AX300">
        <v>702</v>
      </c>
      <c r="AY300" t="s">
        <v>71</v>
      </c>
      <c r="AZ300">
        <v>24.25</v>
      </c>
      <c r="BA300">
        <v>-52.74</v>
      </c>
      <c r="BB300" t="s">
        <v>73</v>
      </c>
    </row>
    <row r="301" spans="1:54" x14ac:dyDescent="0.4">
      <c r="A301">
        <v>1285964</v>
      </c>
      <c r="D301" t="s">
        <v>246</v>
      </c>
      <c r="E301" t="s">
        <v>55</v>
      </c>
      <c r="G301">
        <v>1</v>
      </c>
      <c r="H301" t="s">
        <v>56</v>
      </c>
      <c r="I301" t="s">
        <v>57</v>
      </c>
      <c r="K301" t="s">
        <v>856</v>
      </c>
      <c r="L301" t="s">
        <v>1074</v>
      </c>
      <c r="M301" t="s">
        <v>59</v>
      </c>
      <c r="P301" t="s">
        <v>259</v>
      </c>
      <c r="Q301" t="s">
        <v>502</v>
      </c>
      <c r="R301" t="s">
        <v>260</v>
      </c>
      <c r="S301" t="s">
        <v>98</v>
      </c>
      <c r="T301">
        <v>259.51</v>
      </c>
      <c r="U301">
        <v>251.90199999999999</v>
      </c>
      <c r="V301">
        <f>(T301+U301)/2</f>
        <v>255.70599999999999</v>
      </c>
      <c r="W301">
        <f>T301-U301</f>
        <v>7.6080000000000041</v>
      </c>
      <c r="X301">
        <v>44.416668000000001</v>
      </c>
      <c r="Y301">
        <v>-24</v>
      </c>
      <c r="Z301" t="s">
        <v>99</v>
      </c>
      <c r="AA301" t="s">
        <v>692</v>
      </c>
      <c r="AB301" t="s">
        <v>693</v>
      </c>
      <c r="AD301" t="s">
        <v>694</v>
      </c>
      <c r="AE301" t="s">
        <v>695</v>
      </c>
      <c r="AH301" t="s">
        <v>65</v>
      </c>
      <c r="AI301" t="s">
        <v>1063</v>
      </c>
      <c r="AJ301">
        <v>1926</v>
      </c>
      <c r="AK301" t="s">
        <v>697</v>
      </c>
      <c r="AM301" t="s">
        <v>698</v>
      </c>
      <c r="AN301" t="s">
        <v>121</v>
      </c>
      <c r="AO301" t="s">
        <v>330</v>
      </c>
      <c r="AP301" t="s">
        <v>182</v>
      </c>
      <c r="AQ301" t="s">
        <v>699</v>
      </c>
      <c r="AR301" t="s">
        <v>70</v>
      </c>
      <c r="AS301">
        <v>702</v>
      </c>
      <c r="AT301" t="s">
        <v>71</v>
      </c>
      <c r="AU301">
        <v>22.51</v>
      </c>
      <c r="AV301">
        <v>-42.93</v>
      </c>
      <c r="AW301" t="s">
        <v>72</v>
      </c>
      <c r="AX301">
        <v>702</v>
      </c>
      <c r="AY301" t="s">
        <v>71</v>
      </c>
      <c r="AZ301">
        <v>24.25</v>
      </c>
      <c r="BA301">
        <v>-52.74</v>
      </c>
      <c r="BB301" t="s">
        <v>73</v>
      </c>
    </row>
    <row r="302" spans="1:54" x14ac:dyDescent="0.4">
      <c r="A302">
        <v>1285964</v>
      </c>
      <c r="D302" t="s">
        <v>246</v>
      </c>
      <c r="E302" t="s">
        <v>55</v>
      </c>
      <c r="G302">
        <v>1</v>
      </c>
      <c r="H302" t="s">
        <v>56</v>
      </c>
      <c r="I302" t="s">
        <v>57</v>
      </c>
      <c r="K302" t="s">
        <v>856</v>
      </c>
      <c r="L302" t="s">
        <v>1074</v>
      </c>
      <c r="M302" t="s">
        <v>59</v>
      </c>
      <c r="P302" t="s">
        <v>259</v>
      </c>
      <c r="Q302" t="s">
        <v>502</v>
      </c>
      <c r="R302" t="s">
        <v>260</v>
      </c>
      <c r="S302" t="s">
        <v>98</v>
      </c>
      <c r="T302">
        <v>259.51</v>
      </c>
      <c r="U302">
        <v>251.90199999999999</v>
      </c>
      <c r="V302">
        <f>(T302+U302)/2</f>
        <v>255.70599999999999</v>
      </c>
      <c r="W302">
        <f>T302-U302</f>
        <v>7.6080000000000041</v>
      </c>
      <c r="X302">
        <v>44.416668000000001</v>
      </c>
      <c r="Y302">
        <v>-24</v>
      </c>
      <c r="Z302" t="s">
        <v>99</v>
      </c>
      <c r="AA302" t="s">
        <v>692</v>
      </c>
      <c r="AB302" t="s">
        <v>693</v>
      </c>
      <c r="AD302" t="s">
        <v>694</v>
      </c>
      <c r="AE302" t="s">
        <v>695</v>
      </c>
      <c r="AH302" t="s">
        <v>65</v>
      </c>
      <c r="AI302" t="s">
        <v>1063</v>
      </c>
      <c r="AJ302">
        <v>1926</v>
      </c>
      <c r="AK302" t="s">
        <v>697</v>
      </c>
      <c r="AM302" t="s">
        <v>698</v>
      </c>
      <c r="AN302" t="s">
        <v>121</v>
      </c>
      <c r="AO302" t="s">
        <v>330</v>
      </c>
      <c r="AP302" t="s">
        <v>182</v>
      </c>
      <c r="AQ302" t="s">
        <v>699</v>
      </c>
      <c r="AR302" t="s">
        <v>70</v>
      </c>
      <c r="AS302">
        <v>702</v>
      </c>
      <c r="AT302" t="s">
        <v>71</v>
      </c>
      <c r="AU302">
        <v>22.51</v>
      </c>
      <c r="AV302">
        <v>-42.93</v>
      </c>
      <c r="AW302" t="s">
        <v>72</v>
      </c>
      <c r="AX302">
        <v>702</v>
      </c>
      <c r="AY302" t="s">
        <v>71</v>
      </c>
      <c r="AZ302">
        <v>24.25</v>
      </c>
      <c r="BA302">
        <v>-52.74</v>
      </c>
      <c r="BB302" t="s">
        <v>73</v>
      </c>
    </row>
    <row r="303" spans="1:54" x14ac:dyDescent="0.4">
      <c r="A303">
        <v>1285964</v>
      </c>
      <c r="D303" t="s">
        <v>246</v>
      </c>
      <c r="E303" t="s">
        <v>55</v>
      </c>
      <c r="G303">
        <v>1</v>
      </c>
      <c r="H303" t="s">
        <v>56</v>
      </c>
      <c r="I303" t="s">
        <v>57</v>
      </c>
      <c r="K303" t="s">
        <v>856</v>
      </c>
      <c r="L303" t="s">
        <v>1074</v>
      </c>
      <c r="M303" t="s">
        <v>59</v>
      </c>
      <c r="P303" t="s">
        <v>259</v>
      </c>
      <c r="Q303" t="s">
        <v>502</v>
      </c>
      <c r="R303" t="s">
        <v>260</v>
      </c>
      <c r="S303" t="s">
        <v>98</v>
      </c>
      <c r="T303">
        <v>259.51</v>
      </c>
      <c r="U303">
        <v>251.90199999999999</v>
      </c>
      <c r="V303">
        <f>(T303+U303)/2</f>
        <v>255.70599999999999</v>
      </c>
      <c r="W303">
        <f>T303-U303</f>
        <v>7.6080000000000041</v>
      </c>
      <c r="X303">
        <v>44.416668000000001</v>
      </c>
      <c r="Y303">
        <v>-24</v>
      </c>
      <c r="Z303" t="s">
        <v>99</v>
      </c>
      <c r="AA303" t="s">
        <v>692</v>
      </c>
      <c r="AB303" t="s">
        <v>693</v>
      </c>
      <c r="AD303" t="s">
        <v>694</v>
      </c>
      <c r="AE303" t="s">
        <v>695</v>
      </c>
      <c r="AH303" t="s">
        <v>65</v>
      </c>
      <c r="AI303" t="s">
        <v>1063</v>
      </c>
      <c r="AJ303">
        <v>1926</v>
      </c>
      <c r="AK303" t="s">
        <v>697</v>
      </c>
      <c r="AM303" t="s">
        <v>698</v>
      </c>
      <c r="AN303" t="s">
        <v>121</v>
      </c>
      <c r="AO303" t="s">
        <v>330</v>
      </c>
      <c r="AP303" t="s">
        <v>182</v>
      </c>
      <c r="AQ303" t="s">
        <v>699</v>
      </c>
      <c r="AR303" t="s">
        <v>70</v>
      </c>
      <c r="AS303">
        <v>702</v>
      </c>
      <c r="AT303" t="s">
        <v>71</v>
      </c>
      <c r="AU303">
        <v>22.51</v>
      </c>
      <c r="AV303">
        <v>-42.93</v>
      </c>
      <c r="AW303" t="s">
        <v>72</v>
      </c>
      <c r="AX303">
        <v>702</v>
      </c>
      <c r="AY303" t="s">
        <v>71</v>
      </c>
      <c r="AZ303">
        <v>24.25</v>
      </c>
      <c r="BA303">
        <v>-52.74</v>
      </c>
      <c r="BB303" t="s">
        <v>73</v>
      </c>
    </row>
    <row r="304" spans="1:54" x14ac:dyDescent="0.4">
      <c r="A304">
        <v>1285964</v>
      </c>
      <c r="D304" t="s">
        <v>246</v>
      </c>
      <c r="E304" t="s">
        <v>55</v>
      </c>
      <c r="G304">
        <v>1</v>
      </c>
      <c r="H304" t="s">
        <v>56</v>
      </c>
      <c r="I304" t="s">
        <v>57</v>
      </c>
      <c r="K304" t="s">
        <v>856</v>
      </c>
      <c r="L304" t="s">
        <v>1074</v>
      </c>
      <c r="M304" t="s">
        <v>59</v>
      </c>
      <c r="P304" t="s">
        <v>259</v>
      </c>
      <c r="Q304" t="s">
        <v>502</v>
      </c>
      <c r="R304" t="s">
        <v>260</v>
      </c>
      <c r="S304" t="s">
        <v>98</v>
      </c>
      <c r="T304">
        <v>259.51</v>
      </c>
      <c r="U304">
        <v>251.90199999999999</v>
      </c>
      <c r="V304">
        <f>(T304+U304)/2</f>
        <v>255.70599999999999</v>
      </c>
      <c r="W304">
        <f>T304-U304</f>
        <v>7.6080000000000041</v>
      </c>
      <c r="X304">
        <v>44.416668000000001</v>
      </c>
      <c r="Y304">
        <v>-24</v>
      </c>
      <c r="Z304" t="s">
        <v>99</v>
      </c>
      <c r="AA304" t="s">
        <v>692</v>
      </c>
      <c r="AB304" t="s">
        <v>693</v>
      </c>
      <c r="AD304" t="s">
        <v>694</v>
      </c>
      <c r="AE304" t="s">
        <v>695</v>
      </c>
      <c r="AH304" t="s">
        <v>65</v>
      </c>
      <c r="AI304" t="s">
        <v>1063</v>
      </c>
      <c r="AJ304">
        <v>1926</v>
      </c>
      <c r="AK304" t="s">
        <v>697</v>
      </c>
      <c r="AM304" t="s">
        <v>698</v>
      </c>
      <c r="AN304" t="s">
        <v>121</v>
      </c>
      <c r="AO304" t="s">
        <v>330</v>
      </c>
      <c r="AP304" t="s">
        <v>182</v>
      </c>
      <c r="AQ304" t="s">
        <v>699</v>
      </c>
      <c r="AR304" t="s">
        <v>70</v>
      </c>
      <c r="AS304">
        <v>702</v>
      </c>
      <c r="AT304" t="s">
        <v>71</v>
      </c>
      <c r="AU304">
        <v>22.51</v>
      </c>
      <c r="AV304">
        <v>-42.93</v>
      </c>
      <c r="AW304" t="s">
        <v>72</v>
      </c>
      <c r="AX304">
        <v>702</v>
      </c>
      <c r="AY304" t="s">
        <v>71</v>
      </c>
      <c r="AZ304">
        <v>24.25</v>
      </c>
      <c r="BA304">
        <v>-52.74</v>
      </c>
      <c r="BB304" t="s">
        <v>73</v>
      </c>
    </row>
    <row r="305" spans="1:54" x14ac:dyDescent="0.4">
      <c r="A305">
        <v>1285964</v>
      </c>
      <c r="D305" t="s">
        <v>246</v>
      </c>
      <c r="E305" t="s">
        <v>55</v>
      </c>
      <c r="G305">
        <v>1</v>
      </c>
      <c r="H305" t="s">
        <v>56</v>
      </c>
      <c r="I305" t="s">
        <v>57</v>
      </c>
      <c r="K305" t="s">
        <v>856</v>
      </c>
      <c r="L305" t="s">
        <v>1074</v>
      </c>
      <c r="M305" t="s">
        <v>59</v>
      </c>
      <c r="P305" t="s">
        <v>259</v>
      </c>
      <c r="Q305" t="s">
        <v>502</v>
      </c>
      <c r="R305" t="s">
        <v>260</v>
      </c>
      <c r="S305" t="s">
        <v>98</v>
      </c>
      <c r="T305">
        <v>259.51</v>
      </c>
      <c r="U305">
        <v>251.90199999999999</v>
      </c>
      <c r="V305">
        <f>(T305+U305)/2</f>
        <v>255.70599999999999</v>
      </c>
      <c r="W305">
        <f>T305-U305</f>
        <v>7.6080000000000041</v>
      </c>
      <c r="X305">
        <v>44.416668000000001</v>
      </c>
      <c r="Y305">
        <v>-24</v>
      </c>
      <c r="Z305" t="s">
        <v>99</v>
      </c>
      <c r="AA305" t="s">
        <v>692</v>
      </c>
      <c r="AB305" t="s">
        <v>693</v>
      </c>
      <c r="AD305" t="s">
        <v>694</v>
      </c>
      <c r="AE305" t="s">
        <v>695</v>
      </c>
      <c r="AH305" t="s">
        <v>65</v>
      </c>
      <c r="AI305" t="s">
        <v>1063</v>
      </c>
      <c r="AJ305">
        <v>1926</v>
      </c>
      <c r="AK305" t="s">
        <v>697</v>
      </c>
      <c r="AM305" t="s">
        <v>698</v>
      </c>
      <c r="AN305" t="s">
        <v>121</v>
      </c>
      <c r="AO305" t="s">
        <v>330</v>
      </c>
      <c r="AP305" t="s">
        <v>182</v>
      </c>
      <c r="AQ305" t="s">
        <v>699</v>
      </c>
      <c r="AR305" t="s">
        <v>70</v>
      </c>
      <c r="AS305">
        <v>702</v>
      </c>
      <c r="AT305" t="s">
        <v>71</v>
      </c>
      <c r="AU305">
        <v>22.51</v>
      </c>
      <c r="AV305">
        <v>-42.93</v>
      </c>
      <c r="AW305" t="s">
        <v>72</v>
      </c>
      <c r="AX305">
        <v>702</v>
      </c>
      <c r="AY305" t="s">
        <v>71</v>
      </c>
      <c r="AZ305">
        <v>24.25</v>
      </c>
      <c r="BA305">
        <v>-52.74</v>
      </c>
      <c r="BB305" t="s">
        <v>73</v>
      </c>
    </row>
    <row r="306" spans="1:54" x14ac:dyDescent="0.4">
      <c r="A306">
        <v>1285964</v>
      </c>
      <c r="D306" t="s">
        <v>246</v>
      </c>
      <c r="E306" t="s">
        <v>55</v>
      </c>
      <c r="G306">
        <v>1</v>
      </c>
      <c r="H306" t="s">
        <v>56</v>
      </c>
      <c r="I306" t="s">
        <v>57</v>
      </c>
      <c r="K306" t="s">
        <v>856</v>
      </c>
      <c r="L306" t="s">
        <v>1074</v>
      </c>
      <c r="M306" t="s">
        <v>59</v>
      </c>
      <c r="P306" t="s">
        <v>259</v>
      </c>
      <c r="Q306" t="s">
        <v>502</v>
      </c>
      <c r="R306" t="s">
        <v>260</v>
      </c>
      <c r="S306" t="s">
        <v>98</v>
      </c>
      <c r="T306">
        <v>259.51</v>
      </c>
      <c r="U306">
        <v>251.90199999999999</v>
      </c>
      <c r="V306">
        <f>(T306+U306)/2</f>
        <v>255.70599999999999</v>
      </c>
      <c r="W306">
        <f>T306-U306</f>
        <v>7.6080000000000041</v>
      </c>
      <c r="X306">
        <v>44.416668000000001</v>
      </c>
      <c r="Y306">
        <v>-24</v>
      </c>
      <c r="Z306" t="s">
        <v>99</v>
      </c>
      <c r="AA306" t="s">
        <v>692</v>
      </c>
      <c r="AB306" t="s">
        <v>693</v>
      </c>
      <c r="AD306" t="s">
        <v>694</v>
      </c>
      <c r="AE306" t="s">
        <v>695</v>
      </c>
      <c r="AH306" t="s">
        <v>65</v>
      </c>
      <c r="AI306" t="s">
        <v>1063</v>
      </c>
      <c r="AJ306">
        <v>1926</v>
      </c>
      <c r="AK306" t="s">
        <v>697</v>
      </c>
      <c r="AM306" t="s">
        <v>698</v>
      </c>
      <c r="AN306" t="s">
        <v>121</v>
      </c>
      <c r="AO306" t="s">
        <v>330</v>
      </c>
      <c r="AP306" t="s">
        <v>182</v>
      </c>
      <c r="AQ306" t="s">
        <v>699</v>
      </c>
      <c r="AR306" t="s">
        <v>70</v>
      </c>
      <c r="AS306">
        <v>702</v>
      </c>
      <c r="AT306" t="s">
        <v>71</v>
      </c>
      <c r="AU306">
        <v>22.51</v>
      </c>
      <c r="AV306">
        <v>-42.93</v>
      </c>
      <c r="AW306" t="s">
        <v>72</v>
      </c>
      <c r="AX306">
        <v>702</v>
      </c>
      <c r="AY306" t="s">
        <v>71</v>
      </c>
      <c r="AZ306">
        <v>24.25</v>
      </c>
      <c r="BA306">
        <v>-52.74</v>
      </c>
      <c r="BB306" t="s">
        <v>73</v>
      </c>
    </row>
    <row r="307" spans="1:54" x14ac:dyDescent="0.4">
      <c r="A307">
        <v>1285964</v>
      </c>
      <c r="D307" t="s">
        <v>246</v>
      </c>
      <c r="E307" t="s">
        <v>55</v>
      </c>
      <c r="G307">
        <v>1</v>
      </c>
      <c r="H307" t="s">
        <v>56</v>
      </c>
      <c r="I307" t="s">
        <v>57</v>
      </c>
      <c r="K307" t="s">
        <v>856</v>
      </c>
      <c r="L307" t="s">
        <v>1074</v>
      </c>
      <c r="M307" t="s">
        <v>59</v>
      </c>
      <c r="P307" t="s">
        <v>259</v>
      </c>
      <c r="Q307" t="s">
        <v>502</v>
      </c>
      <c r="R307" t="s">
        <v>260</v>
      </c>
      <c r="S307" t="s">
        <v>98</v>
      </c>
      <c r="T307">
        <v>259.51</v>
      </c>
      <c r="U307">
        <v>251.90199999999999</v>
      </c>
      <c r="V307">
        <f>(T307+U307)/2</f>
        <v>255.70599999999999</v>
      </c>
      <c r="W307">
        <f>T307-U307</f>
        <v>7.6080000000000041</v>
      </c>
      <c r="X307">
        <v>44.416668000000001</v>
      </c>
      <c r="Y307">
        <v>-24</v>
      </c>
      <c r="Z307" t="s">
        <v>99</v>
      </c>
      <c r="AA307" t="s">
        <v>692</v>
      </c>
      <c r="AB307" t="s">
        <v>693</v>
      </c>
      <c r="AD307" t="s">
        <v>694</v>
      </c>
      <c r="AE307" t="s">
        <v>695</v>
      </c>
      <c r="AH307" t="s">
        <v>65</v>
      </c>
      <c r="AI307" t="s">
        <v>1063</v>
      </c>
      <c r="AJ307">
        <v>1926</v>
      </c>
      <c r="AK307" t="s">
        <v>697</v>
      </c>
      <c r="AM307" t="s">
        <v>698</v>
      </c>
      <c r="AN307" t="s">
        <v>121</v>
      </c>
      <c r="AO307" t="s">
        <v>330</v>
      </c>
      <c r="AP307" t="s">
        <v>182</v>
      </c>
      <c r="AQ307" t="s">
        <v>699</v>
      </c>
      <c r="AR307" t="s">
        <v>70</v>
      </c>
      <c r="AS307">
        <v>702</v>
      </c>
      <c r="AT307" t="s">
        <v>71</v>
      </c>
      <c r="AU307">
        <v>22.51</v>
      </c>
      <c r="AV307">
        <v>-42.93</v>
      </c>
      <c r="AW307" t="s">
        <v>72</v>
      </c>
      <c r="AX307">
        <v>702</v>
      </c>
      <c r="AY307" t="s">
        <v>71</v>
      </c>
      <c r="AZ307">
        <v>24.25</v>
      </c>
      <c r="BA307">
        <v>-52.74</v>
      </c>
      <c r="BB307" t="s">
        <v>73</v>
      </c>
    </row>
    <row r="308" spans="1:54" x14ac:dyDescent="0.4">
      <c r="A308">
        <v>1285964</v>
      </c>
      <c r="D308" t="s">
        <v>246</v>
      </c>
      <c r="E308" t="s">
        <v>55</v>
      </c>
      <c r="G308">
        <v>1</v>
      </c>
      <c r="H308" t="s">
        <v>56</v>
      </c>
      <c r="I308" t="s">
        <v>57</v>
      </c>
      <c r="K308" t="s">
        <v>856</v>
      </c>
      <c r="L308" t="s">
        <v>1074</v>
      </c>
      <c r="M308" t="s">
        <v>59</v>
      </c>
      <c r="P308" t="s">
        <v>259</v>
      </c>
      <c r="Q308" t="s">
        <v>502</v>
      </c>
      <c r="R308" t="s">
        <v>260</v>
      </c>
      <c r="S308" t="s">
        <v>98</v>
      </c>
      <c r="T308">
        <v>259.51</v>
      </c>
      <c r="U308">
        <v>251.90199999999999</v>
      </c>
      <c r="V308">
        <f>(T308+U308)/2</f>
        <v>255.70599999999999</v>
      </c>
      <c r="W308">
        <f>T308-U308</f>
        <v>7.6080000000000041</v>
      </c>
      <c r="X308">
        <v>44.416668000000001</v>
      </c>
      <c r="Y308">
        <v>-24</v>
      </c>
      <c r="Z308" t="s">
        <v>99</v>
      </c>
      <c r="AA308" t="s">
        <v>692</v>
      </c>
      <c r="AB308" t="s">
        <v>693</v>
      </c>
      <c r="AD308" t="s">
        <v>694</v>
      </c>
      <c r="AE308" t="s">
        <v>695</v>
      </c>
      <c r="AH308" t="s">
        <v>65</v>
      </c>
      <c r="AI308" t="s">
        <v>1063</v>
      </c>
      <c r="AJ308">
        <v>1926</v>
      </c>
      <c r="AK308" t="s">
        <v>697</v>
      </c>
      <c r="AM308" t="s">
        <v>698</v>
      </c>
      <c r="AN308" t="s">
        <v>121</v>
      </c>
      <c r="AO308" t="s">
        <v>330</v>
      </c>
      <c r="AP308" t="s">
        <v>182</v>
      </c>
      <c r="AQ308" t="s">
        <v>699</v>
      </c>
      <c r="AR308" t="s">
        <v>70</v>
      </c>
      <c r="AS308">
        <v>702</v>
      </c>
      <c r="AT308" t="s">
        <v>71</v>
      </c>
      <c r="AU308">
        <v>22.51</v>
      </c>
      <c r="AV308">
        <v>-42.93</v>
      </c>
      <c r="AW308" t="s">
        <v>72</v>
      </c>
      <c r="AX308">
        <v>702</v>
      </c>
      <c r="AY308" t="s">
        <v>71</v>
      </c>
      <c r="AZ308">
        <v>24.25</v>
      </c>
      <c r="BA308">
        <v>-52.74</v>
      </c>
      <c r="BB308" t="s">
        <v>73</v>
      </c>
    </row>
    <row r="309" spans="1:54" x14ac:dyDescent="0.4">
      <c r="A309">
        <v>1285964</v>
      </c>
      <c r="D309" t="s">
        <v>246</v>
      </c>
      <c r="E309" t="s">
        <v>55</v>
      </c>
      <c r="G309">
        <v>1</v>
      </c>
      <c r="H309" t="s">
        <v>56</v>
      </c>
      <c r="I309" t="s">
        <v>57</v>
      </c>
      <c r="K309" t="s">
        <v>856</v>
      </c>
      <c r="L309" t="s">
        <v>1074</v>
      </c>
      <c r="M309" t="s">
        <v>59</v>
      </c>
      <c r="P309" t="s">
        <v>259</v>
      </c>
      <c r="Q309" t="s">
        <v>502</v>
      </c>
      <c r="R309" t="s">
        <v>260</v>
      </c>
      <c r="S309" t="s">
        <v>98</v>
      </c>
      <c r="T309">
        <v>259.51</v>
      </c>
      <c r="U309">
        <v>251.90199999999999</v>
      </c>
      <c r="V309">
        <f>(T309+U309)/2</f>
        <v>255.70599999999999</v>
      </c>
      <c r="W309">
        <f>T309-U309</f>
        <v>7.6080000000000041</v>
      </c>
      <c r="X309">
        <v>44.416668000000001</v>
      </c>
      <c r="Y309">
        <v>-24</v>
      </c>
      <c r="Z309" t="s">
        <v>99</v>
      </c>
      <c r="AA309" t="s">
        <v>692</v>
      </c>
      <c r="AB309" t="s">
        <v>693</v>
      </c>
      <c r="AD309" t="s">
        <v>694</v>
      </c>
      <c r="AE309" t="s">
        <v>695</v>
      </c>
      <c r="AH309" t="s">
        <v>65</v>
      </c>
      <c r="AI309" t="s">
        <v>1063</v>
      </c>
      <c r="AJ309">
        <v>1926</v>
      </c>
      <c r="AK309" t="s">
        <v>697</v>
      </c>
      <c r="AM309" t="s">
        <v>698</v>
      </c>
      <c r="AN309" t="s">
        <v>121</v>
      </c>
      <c r="AO309" t="s">
        <v>330</v>
      </c>
      <c r="AP309" t="s">
        <v>182</v>
      </c>
      <c r="AQ309" t="s">
        <v>699</v>
      </c>
      <c r="AR309" t="s">
        <v>70</v>
      </c>
      <c r="AS309">
        <v>702</v>
      </c>
      <c r="AT309" t="s">
        <v>71</v>
      </c>
      <c r="AU309">
        <v>22.51</v>
      </c>
      <c r="AV309">
        <v>-42.93</v>
      </c>
      <c r="AW309" t="s">
        <v>72</v>
      </c>
      <c r="AX309">
        <v>702</v>
      </c>
      <c r="AY309" t="s">
        <v>71</v>
      </c>
      <c r="AZ309">
        <v>24.25</v>
      </c>
      <c r="BA309">
        <v>-52.74</v>
      </c>
      <c r="BB309" t="s">
        <v>73</v>
      </c>
    </row>
    <row r="310" spans="1:54" x14ac:dyDescent="0.4">
      <c r="A310">
        <v>1285964</v>
      </c>
      <c r="D310" t="s">
        <v>246</v>
      </c>
      <c r="E310" t="s">
        <v>55</v>
      </c>
      <c r="G310">
        <v>1</v>
      </c>
      <c r="H310" t="s">
        <v>56</v>
      </c>
      <c r="I310" t="s">
        <v>57</v>
      </c>
      <c r="K310" t="s">
        <v>856</v>
      </c>
      <c r="L310" t="s">
        <v>1074</v>
      </c>
      <c r="M310" t="s">
        <v>59</v>
      </c>
      <c r="P310" t="s">
        <v>259</v>
      </c>
      <c r="Q310" t="s">
        <v>502</v>
      </c>
      <c r="R310" t="s">
        <v>260</v>
      </c>
      <c r="S310" t="s">
        <v>98</v>
      </c>
      <c r="T310">
        <v>259.51</v>
      </c>
      <c r="U310">
        <v>251.90199999999999</v>
      </c>
      <c r="V310">
        <f>(T310+U310)/2</f>
        <v>255.70599999999999</v>
      </c>
      <c r="W310">
        <f>T310-U310</f>
        <v>7.6080000000000041</v>
      </c>
      <c r="X310">
        <v>44.416668000000001</v>
      </c>
      <c r="Y310">
        <v>-24</v>
      </c>
      <c r="Z310" t="s">
        <v>99</v>
      </c>
      <c r="AA310" t="s">
        <v>692</v>
      </c>
      <c r="AB310" t="s">
        <v>693</v>
      </c>
      <c r="AD310" t="s">
        <v>694</v>
      </c>
      <c r="AE310" t="s">
        <v>695</v>
      </c>
      <c r="AH310" t="s">
        <v>65</v>
      </c>
      <c r="AI310" t="s">
        <v>1063</v>
      </c>
      <c r="AJ310">
        <v>1926</v>
      </c>
      <c r="AK310" t="s">
        <v>697</v>
      </c>
      <c r="AM310" t="s">
        <v>698</v>
      </c>
      <c r="AN310" t="s">
        <v>121</v>
      </c>
      <c r="AO310" t="s">
        <v>330</v>
      </c>
      <c r="AP310" t="s">
        <v>182</v>
      </c>
      <c r="AQ310" t="s">
        <v>699</v>
      </c>
      <c r="AR310" t="s">
        <v>70</v>
      </c>
      <c r="AS310">
        <v>702</v>
      </c>
      <c r="AT310" t="s">
        <v>71</v>
      </c>
      <c r="AU310">
        <v>22.51</v>
      </c>
      <c r="AV310">
        <v>-42.93</v>
      </c>
      <c r="AW310" t="s">
        <v>72</v>
      </c>
      <c r="AX310">
        <v>702</v>
      </c>
      <c r="AY310" t="s">
        <v>71</v>
      </c>
      <c r="AZ310">
        <v>24.25</v>
      </c>
      <c r="BA310">
        <v>-52.74</v>
      </c>
      <c r="BB310" t="s">
        <v>73</v>
      </c>
    </row>
    <row r="311" spans="1:54" x14ac:dyDescent="0.4">
      <c r="A311">
        <v>1285964</v>
      </c>
      <c r="D311" t="s">
        <v>246</v>
      </c>
      <c r="E311" t="s">
        <v>55</v>
      </c>
      <c r="G311">
        <v>1</v>
      </c>
      <c r="H311" t="s">
        <v>56</v>
      </c>
      <c r="I311" t="s">
        <v>57</v>
      </c>
      <c r="K311" t="s">
        <v>856</v>
      </c>
      <c r="L311" t="s">
        <v>1074</v>
      </c>
      <c r="M311" t="s">
        <v>59</v>
      </c>
      <c r="P311" t="s">
        <v>259</v>
      </c>
      <c r="Q311" t="s">
        <v>502</v>
      </c>
      <c r="R311" t="s">
        <v>260</v>
      </c>
      <c r="S311" t="s">
        <v>98</v>
      </c>
      <c r="T311">
        <v>259.51</v>
      </c>
      <c r="U311">
        <v>251.90199999999999</v>
      </c>
      <c r="V311">
        <f>(T311+U311)/2</f>
        <v>255.70599999999999</v>
      </c>
      <c r="W311">
        <f>T311-U311</f>
        <v>7.6080000000000041</v>
      </c>
      <c r="X311">
        <v>44.416668000000001</v>
      </c>
      <c r="Y311">
        <v>-24</v>
      </c>
      <c r="Z311" t="s">
        <v>99</v>
      </c>
      <c r="AA311" t="s">
        <v>692</v>
      </c>
      <c r="AB311" t="s">
        <v>693</v>
      </c>
      <c r="AD311" t="s">
        <v>694</v>
      </c>
      <c r="AE311" t="s">
        <v>695</v>
      </c>
      <c r="AH311" t="s">
        <v>65</v>
      </c>
      <c r="AI311" t="s">
        <v>1063</v>
      </c>
      <c r="AJ311">
        <v>1926</v>
      </c>
      <c r="AK311" t="s">
        <v>697</v>
      </c>
      <c r="AM311" t="s">
        <v>698</v>
      </c>
      <c r="AN311" t="s">
        <v>121</v>
      </c>
      <c r="AO311" t="s">
        <v>330</v>
      </c>
      <c r="AP311" t="s">
        <v>182</v>
      </c>
      <c r="AQ311" t="s">
        <v>699</v>
      </c>
      <c r="AR311" t="s">
        <v>70</v>
      </c>
      <c r="AS311">
        <v>702</v>
      </c>
      <c r="AT311" t="s">
        <v>71</v>
      </c>
      <c r="AU311">
        <v>22.51</v>
      </c>
      <c r="AV311">
        <v>-42.93</v>
      </c>
      <c r="AW311" t="s">
        <v>72</v>
      </c>
      <c r="AX311">
        <v>702</v>
      </c>
      <c r="AY311" t="s">
        <v>71</v>
      </c>
      <c r="AZ311">
        <v>24.25</v>
      </c>
      <c r="BA311">
        <v>-52.74</v>
      </c>
      <c r="BB311" t="s">
        <v>73</v>
      </c>
    </row>
    <row r="312" spans="1:54" x14ac:dyDescent="0.4">
      <c r="A312">
        <v>1285964</v>
      </c>
      <c r="D312" t="s">
        <v>246</v>
      </c>
      <c r="E312" t="s">
        <v>55</v>
      </c>
      <c r="G312">
        <v>1</v>
      </c>
      <c r="H312" t="s">
        <v>56</v>
      </c>
      <c r="I312" t="s">
        <v>57</v>
      </c>
      <c r="K312" t="s">
        <v>856</v>
      </c>
      <c r="L312" t="s">
        <v>1074</v>
      </c>
      <c r="M312" t="s">
        <v>59</v>
      </c>
      <c r="P312" t="s">
        <v>259</v>
      </c>
      <c r="Q312" t="s">
        <v>502</v>
      </c>
      <c r="R312" t="s">
        <v>260</v>
      </c>
      <c r="S312" t="s">
        <v>98</v>
      </c>
      <c r="T312">
        <v>259.51</v>
      </c>
      <c r="U312">
        <v>251.90199999999999</v>
      </c>
      <c r="V312">
        <f>(T312+U312)/2</f>
        <v>255.70599999999999</v>
      </c>
      <c r="W312">
        <f>T312-U312</f>
        <v>7.6080000000000041</v>
      </c>
      <c r="X312">
        <v>44.416668000000001</v>
      </c>
      <c r="Y312">
        <v>-24</v>
      </c>
      <c r="Z312" t="s">
        <v>99</v>
      </c>
      <c r="AA312" t="s">
        <v>692</v>
      </c>
      <c r="AB312" t="s">
        <v>693</v>
      </c>
      <c r="AD312" t="s">
        <v>694</v>
      </c>
      <c r="AE312" t="s">
        <v>695</v>
      </c>
      <c r="AH312" t="s">
        <v>65</v>
      </c>
      <c r="AI312" t="s">
        <v>1063</v>
      </c>
      <c r="AJ312">
        <v>1926</v>
      </c>
      <c r="AK312" t="s">
        <v>697</v>
      </c>
      <c r="AM312" t="s">
        <v>698</v>
      </c>
      <c r="AN312" t="s">
        <v>121</v>
      </c>
      <c r="AO312" t="s">
        <v>330</v>
      </c>
      <c r="AP312" t="s">
        <v>182</v>
      </c>
      <c r="AQ312" t="s">
        <v>699</v>
      </c>
      <c r="AR312" t="s">
        <v>70</v>
      </c>
      <c r="AS312">
        <v>702</v>
      </c>
      <c r="AT312" t="s">
        <v>71</v>
      </c>
      <c r="AU312">
        <v>22.51</v>
      </c>
      <c r="AV312">
        <v>-42.93</v>
      </c>
      <c r="AW312" t="s">
        <v>72</v>
      </c>
      <c r="AX312">
        <v>702</v>
      </c>
      <c r="AY312" t="s">
        <v>71</v>
      </c>
      <c r="AZ312">
        <v>24.25</v>
      </c>
      <c r="BA312">
        <v>-52.74</v>
      </c>
      <c r="BB312" t="s">
        <v>73</v>
      </c>
    </row>
    <row r="313" spans="1:54" x14ac:dyDescent="0.4">
      <c r="A313">
        <v>1285964</v>
      </c>
      <c r="D313" t="s">
        <v>246</v>
      </c>
      <c r="E313" t="s">
        <v>55</v>
      </c>
      <c r="G313">
        <v>1</v>
      </c>
      <c r="H313" t="s">
        <v>56</v>
      </c>
      <c r="I313" t="s">
        <v>57</v>
      </c>
      <c r="K313" t="s">
        <v>856</v>
      </c>
      <c r="L313" t="s">
        <v>1074</v>
      </c>
      <c r="M313" t="s">
        <v>59</v>
      </c>
      <c r="P313" t="s">
        <v>259</v>
      </c>
      <c r="Q313" t="s">
        <v>502</v>
      </c>
      <c r="R313" t="s">
        <v>260</v>
      </c>
      <c r="S313" t="s">
        <v>98</v>
      </c>
      <c r="T313">
        <v>259.51</v>
      </c>
      <c r="U313">
        <v>251.90199999999999</v>
      </c>
      <c r="V313">
        <f>(T313+U313)/2</f>
        <v>255.70599999999999</v>
      </c>
      <c r="W313">
        <f>T313-U313</f>
        <v>7.6080000000000041</v>
      </c>
      <c r="X313">
        <v>44.416668000000001</v>
      </c>
      <c r="Y313">
        <v>-24</v>
      </c>
      <c r="Z313" t="s">
        <v>99</v>
      </c>
      <c r="AA313" t="s">
        <v>692</v>
      </c>
      <c r="AB313" t="s">
        <v>693</v>
      </c>
      <c r="AD313" t="s">
        <v>694</v>
      </c>
      <c r="AE313" t="s">
        <v>695</v>
      </c>
      <c r="AH313" t="s">
        <v>65</v>
      </c>
      <c r="AI313" t="s">
        <v>1063</v>
      </c>
      <c r="AJ313">
        <v>1926</v>
      </c>
      <c r="AK313" t="s">
        <v>697</v>
      </c>
      <c r="AM313" t="s">
        <v>698</v>
      </c>
      <c r="AN313" t="s">
        <v>121</v>
      </c>
      <c r="AO313" t="s">
        <v>330</v>
      </c>
      <c r="AP313" t="s">
        <v>182</v>
      </c>
      <c r="AQ313" t="s">
        <v>699</v>
      </c>
      <c r="AR313" t="s">
        <v>70</v>
      </c>
      <c r="AS313">
        <v>702</v>
      </c>
      <c r="AT313" t="s">
        <v>71</v>
      </c>
      <c r="AU313">
        <v>22.51</v>
      </c>
      <c r="AV313">
        <v>-42.93</v>
      </c>
      <c r="AW313" t="s">
        <v>72</v>
      </c>
      <c r="AX313">
        <v>702</v>
      </c>
      <c r="AY313" t="s">
        <v>71</v>
      </c>
      <c r="AZ313">
        <v>24.25</v>
      </c>
      <c r="BA313">
        <v>-52.74</v>
      </c>
      <c r="BB313" t="s">
        <v>73</v>
      </c>
    </row>
    <row r="314" spans="1:54" x14ac:dyDescent="0.4">
      <c r="A314">
        <v>1285964</v>
      </c>
      <c r="D314" t="s">
        <v>246</v>
      </c>
      <c r="E314" t="s">
        <v>55</v>
      </c>
      <c r="G314">
        <v>1</v>
      </c>
      <c r="H314" t="s">
        <v>56</v>
      </c>
      <c r="I314" t="s">
        <v>57</v>
      </c>
      <c r="K314" t="s">
        <v>856</v>
      </c>
      <c r="L314" t="s">
        <v>1074</v>
      </c>
      <c r="M314" t="s">
        <v>59</v>
      </c>
      <c r="P314" t="s">
        <v>259</v>
      </c>
      <c r="Q314" t="s">
        <v>502</v>
      </c>
      <c r="R314" t="s">
        <v>260</v>
      </c>
      <c r="S314" t="s">
        <v>98</v>
      </c>
      <c r="T314">
        <v>259.51</v>
      </c>
      <c r="U314">
        <v>251.90199999999999</v>
      </c>
      <c r="V314">
        <f>(T314+U314)/2</f>
        <v>255.70599999999999</v>
      </c>
      <c r="W314">
        <f>T314-U314</f>
        <v>7.6080000000000041</v>
      </c>
      <c r="X314">
        <v>44.416668000000001</v>
      </c>
      <c r="Y314">
        <v>-24</v>
      </c>
      <c r="Z314" t="s">
        <v>99</v>
      </c>
      <c r="AA314" t="s">
        <v>692</v>
      </c>
      <c r="AB314" t="s">
        <v>693</v>
      </c>
      <c r="AD314" t="s">
        <v>694</v>
      </c>
      <c r="AE314" t="s">
        <v>695</v>
      </c>
      <c r="AH314" t="s">
        <v>65</v>
      </c>
      <c r="AI314" t="s">
        <v>1063</v>
      </c>
      <c r="AJ314">
        <v>1926</v>
      </c>
      <c r="AK314" t="s">
        <v>697</v>
      </c>
      <c r="AM314" t="s">
        <v>698</v>
      </c>
      <c r="AN314" t="s">
        <v>121</v>
      </c>
      <c r="AO314" t="s">
        <v>330</v>
      </c>
      <c r="AP314" t="s">
        <v>182</v>
      </c>
      <c r="AQ314" t="s">
        <v>699</v>
      </c>
      <c r="AR314" t="s">
        <v>70</v>
      </c>
      <c r="AS314">
        <v>702</v>
      </c>
      <c r="AT314" t="s">
        <v>71</v>
      </c>
      <c r="AU314">
        <v>22.51</v>
      </c>
      <c r="AV314">
        <v>-42.93</v>
      </c>
      <c r="AW314" t="s">
        <v>72</v>
      </c>
      <c r="AX314">
        <v>702</v>
      </c>
      <c r="AY314" t="s">
        <v>71</v>
      </c>
      <c r="AZ314">
        <v>24.25</v>
      </c>
      <c r="BA314">
        <v>-52.74</v>
      </c>
      <c r="BB314" t="s">
        <v>73</v>
      </c>
    </row>
    <row r="315" spans="1:54" x14ac:dyDescent="0.4">
      <c r="A315">
        <v>1285964</v>
      </c>
      <c r="D315" t="s">
        <v>246</v>
      </c>
      <c r="E315" t="s">
        <v>55</v>
      </c>
      <c r="G315">
        <v>1</v>
      </c>
      <c r="H315" t="s">
        <v>56</v>
      </c>
      <c r="I315" t="s">
        <v>57</v>
      </c>
      <c r="K315" t="s">
        <v>856</v>
      </c>
      <c r="L315" t="s">
        <v>1074</v>
      </c>
      <c r="M315" t="s">
        <v>59</v>
      </c>
      <c r="P315" t="s">
        <v>259</v>
      </c>
      <c r="Q315" t="s">
        <v>502</v>
      </c>
      <c r="R315" t="s">
        <v>260</v>
      </c>
      <c r="S315" t="s">
        <v>98</v>
      </c>
      <c r="T315">
        <v>259.51</v>
      </c>
      <c r="U315">
        <v>251.90199999999999</v>
      </c>
      <c r="V315">
        <f>(T315+U315)/2</f>
        <v>255.70599999999999</v>
      </c>
      <c r="W315">
        <f>T315-U315</f>
        <v>7.6080000000000041</v>
      </c>
      <c r="X315">
        <v>44.416668000000001</v>
      </c>
      <c r="Y315">
        <v>-24</v>
      </c>
      <c r="Z315" t="s">
        <v>99</v>
      </c>
      <c r="AA315" t="s">
        <v>692</v>
      </c>
      <c r="AB315" t="s">
        <v>693</v>
      </c>
      <c r="AD315" t="s">
        <v>694</v>
      </c>
      <c r="AE315" t="s">
        <v>695</v>
      </c>
      <c r="AH315" t="s">
        <v>65</v>
      </c>
      <c r="AI315" t="s">
        <v>1063</v>
      </c>
      <c r="AJ315">
        <v>1926</v>
      </c>
      <c r="AK315" t="s">
        <v>697</v>
      </c>
      <c r="AM315" t="s">
        <v>698</v>
      </c>
      <c r="AN315" t="s">
        <v>121</v>
      </c>
      <c r="AO315" t="s">
        <v>330</v>
      </c>
      <c r="AP315" t="s">
        <v>182</v>
      </c>
      <c r="AQ315" t="s">
        <v>699</v>
      </c>
      <c r="AR315" t="s">
        <v>70</v>
      </c>
      <c r="AS315">
        <v>702</v>
      </c>
      <c r="AT315" t="s">
        <v>71</v>
      </c>
      <c r="AU315">
        <v>22.51</v>
      </c>
      <c r="AV315">
        <v>-42.93</v>
      </c>
      <c r="AW315" t="s">
        <v>72</v>
      </c>
      <c r="AX315">
        <v>702</v>
      </c>
      <c r="AY315" t="s">
        <v>71</v>
      </c>
      <c r="AZ315">
        <v>24.25</v>
      </c>
      <c r="BA315">
        <v>-52.74</v>
      </c>
      <c r="BB315" t="s">
        <v>73</v>
      </c>
    </row>
    <row r="316" spans="1:54" x14ac:dyDescent="0.4">
      <c r="A316">
        <v>1285964</v>
      </c>
      <c r="D316" t="s">
        <v>246</v>
      </c>
      <c r="E316" t="s">
        <v>55</v>
      </c>
      <c r="G316">
        <v>1</v>
      </c>
      <c r="H316" t="s">
        <v>56</v>
      </c>
      <c r="I316" t="s">
        <v>57</v>
      </c>
      <c r="K316" t="s">
        <v>856</v>
      </c>
      <c r="L316" t="s">
        <v>1074</v>
      </c>
      <c r="M316" t="s">
        <v>59</v>
      </c>
      <c r="P316" t="s">
        <v>259</v>
      </c>
      <c r="Q316" t="s">
        <v>502</v>
      </c>
      <c r="R316" t="s">
        <v>260</v>
      </c>
      <c r="S316" t="s">
        <v>98</v>
      </c>
      <c r="T316">
        <v>259.51</v>
      </c>
      <c r="U316">
        <v>251.90199999999999</v>
      </c>
      <c r="V316">
        <f>(T316+U316)/2</f>
        <v>255.70599999999999</v>
      </c>
      <c r="W316">
        <f>T316-U316</f>
        <v>7.6080000000000041</v>
      </c>
      <c r="X316">
        <v>44.416668000000001</v>
      </c>
      <c r="Y316">
        <v>-24</v>
      </c>
      <c r="Z316" t="s">
        <v>99</v>
      </c>
      <c r="AA316" t="s">
        <v>692</v>
      </c>
      <c r="AB316" t="s">
        <v>693</v>
      </c>
      <c r="AD316" t="s">
        <v>694</v>
      </c>
      <c r="AE316" t="s">
        <v>695</v>
      </c>
      <c r="AH316" t="s">
        <v>65</v>
      </c>
      <c r="AI316" t="s">
        <v>1063</v>
      </c>
      <c r="AJ316">
        <v>1926</v>
      </c>
      <c r="AK316" t="s">
        <v>697</v>
      </c>
      <c r="AM316" t="s">
        <v>698</v>
      </c>
      <c r="AN316" t="s">
        <v>121</v>
      </c>
      <c r="AO316" t="s">
        <v>330</v>
      </c>
      <c r="AP316" t="s">
        <v>182</v>
      </c>
      <c r="AQ316" t="s">
        <v>699</v>
      </c>
      <c r="AR316" t="s">
        <v>70</v>
      </c>
      <c r="AS316">
        <v>702</v>
      </c>
      <c r="AT316" t="s">
        <v>71</v>
      </c>
      <c r="AU316">
        <v>22.51</v>
      </c>
      <c r="AV316">
        <v>-42.93</v>
      </c>
      <c r="AW316" t="s">
        <v>72</v>
      </c>
      <c r="AX316">
        <v>702</v>
      </c>
      <c r="AY316" t="s">
        <v>71</v>
      </c>
      <c r="AZ316">
        <v>24.25</v>
      </c>
      <c r="BA316">
        <v>-52.74</v>
      </c>
      <c r="BB316" t="s">
        <v>73</v>
      </c>
    </row>
    <row r="317" spans="1:54" x14ac:dyDescent="0.4">
      <c r="A317">
        <v>1285964</v>
      </c>
      <c r="D317" t="s">
        <v>246</v>
      </c>
      <c r="E317" t="s">
        <v>55</v>
      </c>
      <c r="G317">
        <v>1</v>
      </c>
      <c r="H317" t="s">
        <v>56</v>
      </c>
      <c r="I317" t="s">
        <v>57</v>
      </c>
      <c r="K317" t="s">
        <v>856</v>
      </c>
      <c r="L317" t="s">
        <v>1074</v>
      </c>
      <c r="M317" t="s">
        <v>59</v>
      </c>
      <c r="P317" t="s">
        <v>259</v>
      </c>
      <c r="Q317" t="s">
        <v>502</v>
      </c>
      <c r="R317" t="s">
        <v>260</v>
      </c>
      <c r="S317" t="s">
        <v>98</v>
      </c>
      <c r="T317">
        <v>259.51</v>
      </c>
      <c r="U317">
        <v>251.90199999999999</v>
      </c>
      <c r="V317">
        <f>(T317+U317)/2</f>
        <v>255.70599999999999</v>
      </c>
      <c r="W317">
        <f>T317-U317</f>
        <v>7.6080000000000041</v>
      </c>
      <c r="X317">
        <v>44.416668000000001</v>
      </c>
      <c r="Y317">
        <v>-24</v>
      </c>
      <c r="Z317" t="s">
        <v>99</v>
      </c>
      <c r="AA317" t="s">
        <v>692</v>
      </c>
      <c r="AB317" t="s">
        <v>693</v>
      </c>
      <c r="AD317" t="s">
        <v>694</v>
      </c>
      <c r="AE317" t="s">
        <v>695</v>
      </c>
      <c r="AH317" t="s">
        <v>65</v>
      </c>
      <c r="AI317" t="s">
        <v>1063</v>
      </c>
      <c r="AJ317">
        <v>1926</v>
      </c>
      <c r="AK317" t="s">
        <v>697</v>
      </c>
      <c r="AM317" t="s">
        <v>698</v>
      </c>
      <c r="AN317" t="s">
        <v>121</v>
      </c>
      <c r="AO317" t="s">
        <v>330</v>
      </c>
      <c r="AP317" t="s">
        <v>182</v>
      </c>
      <c r="AQ317" t="s">
        <v>699</v>
      </c>
      <c r="AR317" t="s">
        <v>70</v>
      </c>
      <c r="AS317">
        <v>702</v>
      </c>
      <c r="AT317" t="s">
        <v>71</v>
      </c>
      <c r="AU317">
        <v>22.51</v>
      </c>
      <c r="AV317">
        <v>-42.93</v>
      </c>
      <c r="AW317" t="s">
        <v>72</v>
      </c>
      <c r="AX317">
        <v>702</v>
      </c>
      <c r="AY317" t="s">
        <v>71</v>
      </c>
      <c r="AZ317">
        <v>24.25</v>
      </c>
      <c r="BA317">
        <v>-52.74</v>
      </c>
      <c r="BB317" t="s">
        <v>73</v>
      </c>
    </row>
    <row r="318" spans="1:54" x14ac:dyDescent="0.4">
      <c r="A318">
        <v>1285964</v>
      </c>
      <c r="D318" t="s">
        <v>246</v>
      </c>
      <c r="E318" t="s">
        <v>55</v>
      </c>
      <c r="G318">
        <v>1</v>
      </c>
      <c r="H318" t="s">
        <v>56</v>
      </c>
      <c r="I318" t="s">
        <v>57</v>
      </c>
      <c r="K318" t="s">
        <v>856</v>
      </c>
      <c r="L318" t="s">
        <v>1074</v>
      </c>
      <c r="M318" t="s">
        <v>59</v>
      </c>
      <c r="P318" t="s">
        <v>259</v>
      </c>
      <c r="Q318" t="s">
        <v>502</v>
      </c>
      <c r="R318" t="s">
        <v>260</v>
      </c>
      <c r="S318" t="s">
        <v>98</v>
      </c>
      <c r="T318">
        <v>259.51</v>
      </c>
      <c r="U318">
        <v>251.90199999999999</v>
      </c>
      <c r="V318">
        <f>(T318+U318)/2</f>
        <v>255.70599999999999</v>
      </c>
      <c r="W318">
        <f>T318-U318</f>
        <v>7.6080000000000041</v>
      </c>
      <c r="X318">
        <v>44.416668000000001</v>
      </c>
      <c r="Y318">
        <v>-24</v>
      </c>
      <c r="Z318" t="s">
        <v>99</v>
      </c>
      <c r="AA318" t="s">
        <v>692</v>
      </c>
      <c r="AB318" t="s">
        <v>693</v>
      </c>
      <c r="AD318" t="s">
        <v>694</v>
      </c>
      <c r="AE318" t="s">
        <v>695</v>
      </c>
      <c r="AH318" t="s">
        <v>65</v>
      </c>
      <c r="AI318" t="s">
        <v>1063</v>
      </c>
      <c r="AJ318">
        <v>1926</v>
      </c>
      <c r="AK318" t="s">
        <v>697</v>
      </c>
      <c r="AM318" t="s">
        <v>698</v>
      </c>
      <c r="AN318" t="s">
        <v>121</v>
      </c>
      <c r="AO318" t="s">
        <v>330</v>
      </c>
      <c r="AP318" t="s">
        <v>182</v>
      </c>
      <c r="AQ318" t="s">
        <v>699</v>
      </c>
      <c r="AR318" t="s">
        <v>70</v>
      </c>
      <c r="AS318">
        <v>702</v>
      </c>
      <c r="AT318" t="s">
        <v>71</v>
      </c>
      <c r="AU318">
        <v>22.51</v>
      </c>
      <c r="AV318">
        <v>-42.93</v>
      </c>
      <c r="AW318" t="s">
        <v>72</v>
      </c>
      <c r="AX318">
        <v>702</v>
      </c>
      <c r="AY318" t="s">
        <v>71</v>
      </c>
      <c r="AZ318">
        <v>24.25</v>
      </c>
      <c r="BA318">
        <v>-52.74</v>
      </c>
      <c r="BB318" t="s">
        <v>73</v>
      </c>
    </row>
    <row r="319" spans="1:54" x14ac:dyDescent="0.4">
      <c r="A319">
        <v>1285964</v>
      </c>
      <c r="D319" t="s">
        <v>246</v>
      </c>
      <c r="E319" t="s">
        <v>55</v>
      </c>
      <c r="G319">
        <v>1</v>
      </c>
      <c r="H319" t="s">
        <v>56</v>
      </c>
      <c r="I319" t="s">
        <v>57</v>
      </c>
      <c r="K319" t="s">
        <v>856</v>
      </c>
      <c r="L319" t="s">
        <v>1074</v>
      </c>
      <c r="M319" t="s">
        <v>59</v>
      </c>
      <c r="P319" t="s">
        <v>259</v>
      </c>
      <c r="Q319" t="s">
        <v>502</v>
      </c>
      <c r="R319" t="s">
        <v>260</v>
      </c>
      <c r="S319" t="s">
        <v>98</v>
      </c>
      <c r="T319">
        <v>259.51</v>
      </c>
      <c r="U319">
        <v>251.90199999999999</v>
      </c>
      <c r="V319">
        <f>(T319+U319)/2</f>
        <v>255.70599999999999</v>
      </c>
      <c r="W319">
        <f>T319-U319</f>
        <v>7.6080000000000041</v>
      </c>
      <c r="X319">
        <v>44.416668000000001</v>
      </c>
      <c r="Y319">
        <v>-24</v>
      </c>
      <c r="Z319" t="s">
        <v>99</v>
      </c>
      <c r="AA319" t="s">
        <v>692</v>
      </c>
      <c r="AB319" t="s">
        <v>693</v>
      </c>
      <c r="AD319" t="s">
        <v>694</v>
      </c>
      <c r="AE319" t="s">
        <v>695</v>
      </c>
      <c r="AH319" t="s">
        <v>65</v>
      </c>
      <c r="AI319" t="s">
        <v>1063</v>
      </c>
      <c r="AJ319">
        <v>1926</v>
      </c>
      <c r="AK319" t="s">
        <v>697</v>
      </c>
      <c r="AM319" t="s">
        <v>698</v>
      </c>
      <c r="AN319" t="s">
        <v>121</v>
      </c>
      <c r="AO319" t="s">
        <v>330</v>
      </c>
      <c r="AP319" t="s">
        <v>182</v>
      </c>
      <c r="AQ319" t="s">
        <v>699</v>
      </c>
      <c r="AR319" t="s">
        <v>70</v>
      </c>
      <c r="AS319">
        <v>702</v>
      </c>
      <c r="AT319" t="s">
        <v>71</v>
      </c>
      <c r="AU319">
        <v>22.51</v>
      </c>
      <c r="AV319">
        <v>-42.93</v>
      </c>
      <c r="AW319" t="s">
        <v>72</v>
      </c>
      <c r="AX319">
        <v>702</v>
      </c>
      <c r="AY319" t="s">
        <v>71</v>
      </c>
      <c r="AZ319">
        <v>24.25</v>
      </c>
      <c r="BA319">
        <v>-52.74</v>
      </c>
      <c r="BB319" t="s">
        <v>73</v>
      </c>
    </row>
    <row r="320" spans="1:54" x14ac:dyDescent="0.4">
      <c r="A320">
        <v>1285964</v>
      </c>
      <c r="D320" t="s">
        <v>246</v>
      </c>
      <c r="E320" t="s">
        <v>55</v>
      </c>
      <c r="G320">
        <v>1</v>
      </c>
      <c r="H320" t="s">
        <v>56</v>
      </c>
      <c r="I320" t="s">
        <v>57</v>
      </c>
      <c r="K320" t="s">
        <v>856</v>
      </c>
      <c r="L320" t="s">
        <v>1074</v>
      </c>
      <c r="M320" t="s">
        <v>59</v>
      </c>
      <c r="P320" t="s">
        <v>259</v>
      </c>
      <c r="Q320" t="s">
        <v>502</v>
      </c>
      <c r="R320" t="s">
        <v>260</v>
      </c>
      <c r="S320" t="s">
        <v>98</v>
      </c>
      <c r="T320">
        <v>259.51</v>
      </c>
      <c r="U320">
        <v>251.90199999999999</v>
      </c>
      <c r="V320">
        <f>(T320+U320)/2</f>
        <v>255.70599999999999</v>
      </c>
      <c r="W320">
        <f>T320-U320</f>
        <v>7.6080000000000041</v>
      </c>
      <c r="X320">
        <v>44.416668000000001</v>
      </c>
      <c r="Y320">
        <v>-24</v>
      </c>
      <c r="Z320" t="s">
        <v>99</v>
      </c>
      <c r="AA320" t="s">
        <v>692</v>
      </c>
      <c r="AB320" t="s">
        <v>693</v>
      </c>
      <c r="AD320" t="s">
        <v>694</v>
      </c>
      <c r="AE320" t="s">
        <v>695</v>
      </c>
      <c r="AH320" t="s">
        <v>65</v>
      </c>
      <c r="AI320" t="s">
        <v>1063</v>
      </c>
      <c r="AJ320">
        <v>1926</v>
      </c>
      <c r="AK320" t="s">
        <v>697</v>
      </c>
      <c r="AM320" t="s">
        <v>698</v>
      </c>
      <c r="AN320" t="s">
        <v>121</v>
      </c>
      <c r="AO320" t="s">
        <v>330</v>
      </c>
      <c r="AP320" t="s">
        <v>182</v>
      </c>
      <c r="AQ320" t="s">
        <v>699</v>
      </c>
      <c r="AR320" t="s">
        <v>70</v>
      </c>
      <c r="AS320">
        <v>702</v>
      </c>
      <c r="AT320" t="s">
        <v>71</v>
      </c>
      <c r="AU320">
        <v>22.51</v>
      </c>
      <c r="AV320">
        <v>-42.93</v>
      </c>
      <c r="AW320" t="s">
        <v>72</v>
      </c>
      <c r="AX320">
        <v>702</v>
      </c>
      <c r="AY320" t="s">
        <v>71</v>
      </c>
      <c r="AZ320">
        <v>24.25</v>
      </c>
      <c r="BA320">
        <v>-52.74</v>
      </c>
      <c r="BB320" t="s">
        <v>73</v>
      </c>
    </row>
    <row r="321" spans="1:54" x14ac:dyDescent="0.4">
      <c r="A321">
        <v>1285964</v>
      </c>
      <c r="D321" t="s">
        <v>246</v>
      </c>
      <c r="E321" t="s">
        <v>55</v>
      </c>
      <c r="G321">
        <v>1</v>
      </c>
      <c r="H321" t="s">
        <v>56</v>
      </c>
      <c r="I321" t="s">
        <v>57</v>
      </c>
      <c r="K321" t="s">
        <v>856</v>
      </c>
      <c r="L321" t="s">
        <v>1074</v>
      </c>
      <c r="M321" t="s">
        <v>59</v>
      </c>
      <c r="P321" t="s">
        <v>259</v>
      </c>
      <c r="Q321" t="s">
        <v>502</v>
      </c>
      <c r="R321" t="s">
        <v>260</v>
      </c>
      <c r="S321" t="s">
        <v>98</v>
      </c>
      <c r="T321">
        <v>259.51</v>
      </c>
      <c r="U321">
        <v>251.90199999999999</v>
      </c>
      <c r="V321">
        <f>(T321+U321)/2</f>
        <v>255.70599999999999</v>
      </c>
      <c r="W321">
        <f>T321-U321</f>
        <v>7.6080000000000041</v>
      </c>
      <c r="X321">
        <v>44.416668000000001</v>
      </c>
      <c r="Y321">
        <v>-24</v>
      </c>
      <c r="Z321" t="s">
        <v>99</v>
      </c>
      <c r="AA321" t="s">
        <v>692</v>
      </c>
      <c r="AB321" t="s">
        <v>693</v>
      </c>
      <c r="AD321" t="s">
        <v>694</v>
      </c>
      <c r="AE321" t="s">
        <v>695</v>
      </c>
      <c r="AH321" t="s">
        <v>65</v>
      </c>
      <c r="AI321" t="s">
        <v>1063</v>
      </c>
      <c r="AJ321">
        <v>1926</v>
      </c>
      <c r="AK321" t="s">
        <v>697</v>
      </c>
      <c r="AM321" t="s">
        <v>698</v>
      </c>
      <c r="AN321" t="s">
        <v>121</v>
      </c>
      <c r="AO321" t="s">
        <v>330</v>
      </c>
      <c r="AP321" t="s">
        <v>182</v>
      </c>
      <c r="AQ321" t="s">
        <v>699</v>
      </c>
      <c r="AR321" t="s">
        <v>70</v>
      </c>
      <c r="AS321">
        <v>702</v>
      </c>
      <c r="AT321" t="s">
        <v>71</v>
      </c>
      <c r="AU321">
        <v>22.51</v>
      </c>
      <c r="AV321">
        <v>-42.93</v>
      </c>
      <c r="AW321" t="s">
        <v>72</v>
      </c>
      <c r="AX321">
        <v>702</v>
      </c>
      <c r="AY321" t="s">
        <v>71</v>
      </c>
      <c r="AZ321">
        <v>24.25</v>
      </c>
      <c r="BA321">
        <v>-52.74</v>
      </c>
      <c r="BB321" t="s">
        <v>73</v>
      </c>
    </row>
    <row r="322" spans="1:54" x14ac:dyDescent="0.4">
      <c r="A322">
        <v>1285964</v>
      </c>
      <c r="D322" t="s">
        <v>246</v>
      </c>
      <c r="E322" t="s">
        <v>55</v>
      </c>
      <c r="G322">
        <v>1</v>
      </c>
      <c r="H322" t="s">
        <v>56</v>
      </c>
      <c r="I322" t="s">
        <v>57</v>
      </c>
      <c r="K322" t="s">
        <v>856</v>
      </c>
      <c r="L322" t="s">
        <v>1074</v>
      </c>
      <c r="M322" t="s">
        <v>59</v>
      </c>
      <c r="P322" t="s">
        <v>259</v>
      </c>
      <c r="Q322" t="s">
        <v>502</v>
      </c>
      <c r="R322" t="s">
        <v>260</v>
      </c>
      <c r="S322" t="s">
        <v>98</v>
      </c>
      <c r="T322">
        <v>259.51</v>
      </c>
      <c r="U322">
        <v>251.90199999999999</v>
      </c>
      <c r="V322">
        <f>(T322+U322)/2</f>
        <v>255.70599999999999</v>
      </c>
      <c r="W322">
        <f>T322-U322</f>
        <v>7.6080000000000041</v>
      </c>
      <c r="X322">
        <v>44.416668000000001</v>
      </c>
      <c r="Y322">
        <v>-24</v>
      </c>
      <c r="Z322" t="s">
        <v>99</v>
      </c>
      <c r="AA322" t="s">
        <v>692</v>
      </c>
      <c r="AB322" t="s">
        <v>693</v>
      </c>
      <c r="AD322" t="s">
        <v>694</v>
      </c>
      <c r="AE322" t="s">
        <v>695</v>
      </c>
      <c r="AH322" t="s">
        <v>65</v>
      </c>
      <c r="AI322" t="s">
        <v>1063</v>
      </c>
      <c r="AJ322">
        <v>1926</v>
      </c>
      <c r="AK322" t="s">
        <v>697</v>
      </c>
      <c r="AM322" t="s">
        <v>698</v>
      </c>
      <c r="AN322" t="s">
        <v>121</v>
      </c>
      <c r="AO322" t="s">
        <v>330</v>
      </c>
      <c r="AP322" t="s">
        <v>182</v>
      </c>
      <c r="AQ322" t="s">
        <v>699</v>
      </c>
      <c r="AR322" t="s">
        <v>70</v>
      </c>
      <c r="AS322">
        <v>702</v>
      </c>
      <c r="AT322" t="s">
        <v>71</v>
      </c>
      <c r="AU322">
        <v>22.51</v>
      </c>
      <c r="AV322">
        <v>-42.93</v>
      </c>
      <c r="AW322" t="s">
        <v>72</v>
      </c>
      <c r="AX322">
        <v>702</v>
      </c>
      <c r="AY322" t="s">
        <v>71</v>
      </c>
      <c r="AZ322">
        <v>24.25</v>
      </c>
      <c r="BA322">
        <v>-52.74</v>
      </c>
      <c r="BB322" t="s">
        <v>73</v>
      </c>
    </row>
    <row r="323" spans="1:54" x14ac:dyDescent="0.4">
      <c r="A323">
        <v>1285964</v>
      </c>
      <c r="D323" t="s">
        <v>246</v>
      </c>
      <c r="E323" t="s">
        <v>55</v>
      </c>
      <c r="G323">
        <v>1</v>
      </c>
      <c r="H323" t="s">
        <v>56</v>
      </c>
      <c r="I323" t="s">
        <v>57</v>
      </c>
      <c r="K323" t="s">
        <v>856</v>
      </c>
      <c r="L323" t="s">
        <v>1074</v>
      </c>
      <c r="M323" t="s">
        <v>59</v>
      </c>
      <c r="P323" t="s">
        <v>259</v>
      </c>
      <c r="Q323" t="s">
        <v>502</v>
      </c>
      <c r="R323" t="s">
        <v>260</v>
      </c>
      <c r="S323" t="s">
        <v>98</v>
      </c>
      <c r="T323">
        <v>259.51</v>
      </c>
      <c r="U323">
        <v>251.90199999999999</v>
      </c>
      <c r="V323">
        <f>(T323+U323)/2</f>
        <v>255.70599999999999</v>
      </c>
      <c r="W323">
        <f>T323-U323</f>
        <v>7.6080000000000041</v>
      </c>
      <c r="X323">
        <v>44.416668000000001</v>
      </c>
      <c r="Y323">
        <v>-24</v>
      </c>
      <c r="Z323" t="s">
        <v>99</v>
      </c>
      <c r="AA323" t="s">
        <v>692</v>
      </c>
      <c r="AB323" t="s">
        <v>693</v>
      </c>
      <c r="AD323" t="s">
        <v>694</v>
      </c>
      <c r="AE323" t="s">
        <v>695</v>
      </c>
      <c r="AH323" t="s">
        <v>65</v>
      </c>
      <c r="AI323" t="s">
        <v>1063</v>
      </c>
      <c r="AJ323">
        <v>1926</v>
      </c>
      <c r="AK323" t="s">
        <v>697</v>
      </c>
      <c r="AM323" t="s">
        <v>698</v>
      </c>
      <c r="AN323" t="s">
        <v>121</v>
      </c>
      <c r="AO323" t="s">
        <v>330</v>
      </c>
      <c r="AP323" t="s">
        <v>182</v>
      </c>
      <c r="AQ323" t="s">
        <v>699</v>
      </c>
      <c r="AR323" t="s">
        <v>70</v>
      </c>
      <c r="AS323">
        <v>702</v>
      </c>
      <c r="AT323" t="s">
        <v>71</v>
      </c>
      <c r="AU323">
        <v>22.51</v>
      </c>
      <c r="AV323">
        <v>-42.93</v>
      </c>
      <c r="AW323" t="s">
        <v>72</v>
      </c>
      <c r="AX323">
        <v>702</v>
      </c>
      <c r="AY323" t="s">
        <v>71</v>
      </c>
      <c r="AZ323">
        <v>24.25</v>
      </c>
      <c r="BA323">
        <v>-52.74</v>
      </c>
      <c r="BB323" t="s">
        <v>73</v>
      </c>
    </row>
    <row r="324" spans="1:54" x14ac:dyDescent="0.4">
      <c r="A324">
        <v>1285964</v>
      </c>
      <c r="D324" t="s">
        <v>246</v>
      </c>
      <c r="E324" t="s">
        <v>55</v>
      </c>
      <c r="G324">
        <v>1</v>
      </c>
      <c r="H324" t="s">
        <v>56</v>
      </c>
      <c r="I324" t="s">
        <v>57</v>
      </c>
      <c r="K324" t="s">
        <v>856</v>
      </c>
      <c r="L324" t="s">
        <v>1074</v>
      </c>
      <c r="M324" t="s">
        <v>59</v>
      </c>
      <c r="P324" t="s">
        <v>259</v>
      </c>
      <c r="Q324" t="s">
        <v>502</v>
      </c>
      <c r="R324" t="s">
        <v>260</v>
      </c>
      <c r="S324" t="s">
        <v>98</v>
      </c>
      <c r="T324">
        <v>259.51</v>
      </c>
      <c r="U324">
        <v>251.90199999999999</v>
      </c>
      <c r="V324">
        <f>(T324+U324)/2</f>
        <v>255.70599999999999</v>
      </c>
      <c r="W324">
        <f>T324-U324</f>
        <v>7.6080000000000041</v>
      </c>
      <c r="X324">
        <v>44.416668000000001</v>
      </c>
      <c r="Y324">
        <v>-24</v>
      </c>
      <c r="Z324" t="s">
        <v>99</v>
      </c>
      <c r="AA324" t="s">
        <v>692</v>
      </c>
      <c r="AB324" t="s">
        <v>693</v>
      </c>
      <c r="AD324" t="s">
        <v>694</v>
      </c>
      <c r="AE324" t="s">
        <v>695</v>
      </c>
      <c r="AH324" t="s">
        <v>65</v>
      </c>
      <c r="AI324" t="s">
        <v>1063</v>
      </c>
      <c r="AJ324">
        <v>1926</v>
      </c>
      <c r="AK324" t="s">
        <v>697</v>
      </c>
      <c r="AM324" t="s">
        <v>698</v>
      </c>
      <c r="AN324" t="s">
        <v>121</v>
      </c>
      <c r="AO324" t="s">
        <v>330</v>
      </c>
      <c r="AP324" t="s">
        <v>182</v>
      </c>
      <c r="AQ324" t="s">
        <v>699</v>
      </c>
      <c r="AR324" t="s">
        <v>70</v>
      </c>
      <c r="AS324">
        <v>702</v>
      </c>
      <c r="AT324" t="s">
        <v>71</v>
      </c>
      <c r="AU324">
        <v>22.51</v>
      </c>
      <c r="AV324">
        <v>-42.93</v>
      </c>
      <c r="AW324" t="s">
        <v>72</v>
      </c>
      <c r="AX324">
        <v>702</v>
      </c>
      <c r="AY324" t="s">
        <v>71</v>
      </c>
      <c r="AZ324">
        <v>24.25</v>
      </c>
      <c r="BA324">
        <v>-52.74</v>
      </c>
      <c r="BB324" t="s">
        <v>73</v>
      </c>
    </row>
    <row r="325" spans="1:54" x14ac:dyDescent="0.4">
      <c r="A325">
        <v>1285964</v>
      </c>
      <c r="D325" t="s">
        <v>246</v>
      </c>
      <c r="E325" t="s">
        <v>55</v>
      </c>
      <c r="G325">
        <v>1</v>
      </c>
      <c r="H325" t="s">
        <v>56</v>
      </c>
      <c r="I325" t="s">
        <v>57</v>
      </c>
      <c r="K325" t="s">
        <v>856</v>
      </c>
      <c r="L325" t="s">
        <v>1074</v>
      </c>
      <c r="M325" t="s">
        <v>59</v>
      </c>
      <c r="P325" t="s">
        <v>259</v>
      </c>
      <c r="Q325" t="s">
        <v>502</v>
      </c>
      <c r="R325" t="s">
        <v>260</v>
      </c>
      <c r="S325" t="s">
        <v>98</v>
      </c>
      <c r="T325">
        <v>259.51</v>
      </c>
      <c r="U325">
        <v>251.90199999999999</v>
      </c>
      <c r="V325">
        <f>(T325+U325)/2</f>
        <v>255.70599999999999</v>
      </c>
      <c r="W325">
        <f>T325-U325</f>
        <v>7.6080000000000041</v>
      </c>
      <c r="X325">
        <v>44.416668000000001</v>
      </c>
      <c r="Y325">
        <v>-24</v>
      </c>
      <c r="Z325" t="s">
        <v>99</v>
      </c>
      <c r="AA325" t="s">
        <v>692</v>
      </c>
      <c r="AB325" t="s">
        <v>693</v>
      </c>
      <c r="AD325" t="s">
        <v>694</v>
      </c>
      <c r="AE325" t="s">
        <v>695</v>
      </c>
      <c r="AH325" t="s">
        <v>65</v>
      </c>
      <c r="AI325" t="s">
        <v>1063</v>
      </c>
      <c r="AJ325">
        <v>1926</v>
      </c>
      <c r="AK325" t="s">
        <v>697</v>
      </c>
      <c r="AM325" t="s">
        <v>698</v>
      </c>
      <c r="AN325" t="s">
        <v>121</v>
      </c>
      <c r="AO325" t="s">
        <v>330</v>
      </c>
      <c r="AP325" t="s">
        <v>182</v>
      </c>
      <c r="AQ325" t="s">
        <v>699</v>
      </c>
      <c r="AR325" t="s">
        <v>70</v>
      </c>
      <c r="AS325">
        <v>702</v>
      </c>
      <c r="AT325" t="s">
        <v>71</v>
      </c>
      <c r="AU325">
        <v>22.51</v>
      </c>
      <c r="AV325">
        <v>-42.93</v>
      </c>
      <c r="AW325" t="s">
        <v>72</v>
      </c>
      <c r="AX325">
        <v>702</v>
      </c>
      <c r="AY325" t="s">
        <v>71</v>
      </c>
      <c r="AZ325">
        <v>24.25</v>
      </c>
      <c r="BA325">
        <v>-52.74</v>
      </c>
      <c r="BB325" t="s">
        <v>73</v>
      </c>
    </row>
    <row r="326" spans="1:54" x14ac:dyDescent="0.4">
      <c r="A326">
        <v>1285964</v>
      </c>
      <c r="D326" t="s">
        <v>246</v>
      </c>
      <c r="E326" t="s">
        <v>55</v>
      </c>
      <c r="G326">
        <v>1</v>
      </c>
      <c r="H326" t="s">
        <v>56</v>
      </c>
      <c r="I326" t="s">
        <v>57</v>
      </c>
      <c r="K326" t="s">
        <v>856</v>
      </c>
      <c r="L326" t="s">
        <v>1074</v>
      </c>
      <c r="M326" t="s">
        <v>59</v>
      </c>
      <c r="P326" t="s">
        <v>259</v>
      </c>
      <c r="Q326" t="s">
        <v>502</v>
      </c>
      <c r="R326" t="s">
        <v>260</v>
      </c>
      <c r="S326" t="s">
        <v>98</v>
      </c>
      <c r="T326">
        <v>259.51</v>
      </c>
      <c r="U326">
        <v>251.90199999999999</v>
      </c>
      <c r="V326">
        <f>(T326+U326)/2</f>
        <v>255.70599999999999</v>
      </c>
      <c r="W326">
        <f>T326-U326</f>
        <v>7.6080000000000041</v>
      </c>
      <c r="X326">
        <v>44.416668000000001</v>
      </c>
      <c r="Y326">
        <v>-24</v>
      </c>
      <c r="Z326" t="s">
        <v>99</v>
      </c>
      <c r="AA326" t="s">
        <v>692</v>
      </c>
      <c r="AB326" t="s">
        <v>693</v>
      </c>
      <c r="AD326" t="s">
        <v>694</v>
      </c>
      <c r="AE326" t="s">
        <v>695</v>
      </c>
      <c r="AH326" t="s">
        <v>65</v>
      </c>
      <c r="AI326" t="s">
        <v>1063</v>
      </c>
      <c r="AJ326">
        <v>1926</v>
      </c>
      <c r="AK326" t="s">
        <v>697</v>
      </c>
      <c r="AM326" t="s">
        <v>698</v>
      </c>
      <c r="AN326" t="s">
        <v>121</v>
      </c>
      <c r="AO326" t="s">
        <v>330</v>
      </c>
      <c r="AP326" t="s">
        <v>182</v>
      </c>
      <c r="AQ326" t="s">
        <v>699</v>
      </c>
      <c r="AR326" t="s">
        <v>70</v>
      </c>
      <c r="AS326">
        <v>702</v>
      </c>
      <c r="AT326" t="s">
        <v>71</v>
      </c>
      <c r="AU326">
        <v>22.51</v>
      </c>
      <c r="AV326">
        <v>-42.93</v>
      </c>
      <c r="AW326" t="s">
        <v>72</v>
      </c>
      <c r="AX326">
        <v>702</v>
      </c>
      <c r="AY326" t="s">
        <v>71</v>
      </c>
      <c r="AZ326">
        <v>24.25</v>
      </c>
      <c r="BA326">
        <v>-52.74</v>
      </c>
      <c r="BB326" t="s">
        <v>73</v>
      </c>
    </row>
    <row r="327" spans="1:54" x14ac:dyDescent="0.4">
      <c r="A327">
        <v>1285964</v>
      </c>
      <c r="D327" t="s">
        <v>246</v>
      </c>
      <c r="E327" t="s">
        <v>55</v>
      </c>
      <c r="G327">
        <v>1</v>
      </c>
      <c r="H327" t="s">
        <v>56</v>
      </c>
      <c r="I327" t="s">
        <v>57</v>
      </c>
      <c r="K327" t="s">
        <v>856</v>
      </c>
      <c r="L327" t="s">
        <v>1074</v>
      </c>
      <c r="M327" t="s">
        <v>59</v>
      </c>
      <c r="P327" t="s">
        <v>259</v>
      </c>
      <c r="Q327" t="s">
        <v>502</v>
      </c>
      <c r="R327" t="s">
        <v>260</v>
      </c>
      <c r="S327" t="s">
        <v>98</v>
      </c>
      <c r="T327">
        <v>259.51</v>
      </c>
      <c r="U327">
        <v>251.90199999999999</v>
      </c>
      <c r="V327">
        <f>(T327+U327)/2</f>
        <v>255.70599999999999</v>
      </c>
      <c r="W327">
        <f>T327-U327</f>
        <v>7.6080000000000041</v>
      </c>
      <c r="X327">
        <v>44.416668000000001</v>
      </c>
      <c r="Y327">
        <v>-24</v>
      </c>
      <c r="Z327" t="s">
        <v>99</v>
      </c>
      <c r="AA327" t="s">
        <v>692</v>
      </c>
      <c r="AB327" t="s">
        <v>693</v>
      </c>
      <c r="AD327" t="s">
        <v>694</v>
      </c>
      <c r="AE327" t="s">
        <v>695</v>
      </c>
      <c r="AH327" t="s">
        <v>65</v>
      </c>
      <c r="AI327" t="s">
        <v>1063</v>
      </c>
      <c r="AJ327">
        <v>1926</v>
      </c>
      <c r="AK327" t="s">
        <v>697</v>
      </c>
      <c r="AM327" t="s">
        <v>698</v>
      </c>
      <c r="AN327" t="s">
        <v>121</v>
      </c>
      <c r="AO327" t="s">
        <v>330</v>
      </c>
      <c r="AP327" t="s">
        <v>182</v>
      </c>
      <c r="AQ327" t="s">
        <v>699</v>
      </c>
      <c r="AR327" t="s">
        <v>70</v>
      </c>
      <c r="AS327">
        <v>702</v>
      </c>
      <c r="AT327" t="s">
        <v>71</v>
      </c>
      <c r="AU327">
        <v>22.51</v>
      </c>
      <c r="AV327">
        <v>-42.93</v>
      </c>
      <c r="AW327" t="s">
        <v>72</v>
      </c>
      <c r="AX327">
        <v>702</v>
      </c>
      <c r="AY327" t="s">
        <v>71</v>
      </c>
      <c r="AZ327">
        <v>24.25</v>
      </c>
      <c r="BA327">
        <v>-52.74</v>
      </c>
      <c r="BB327" t="s">
        <v>73</v>
      </c>
    </row>
    <row r="328" spans="1:54" x14ac:dyDescent="0.4">
      <c r="A328">
        <v>1285964</v>
      </c>
      <c r="D328" t="s">
        <v>246</v>
      </c>
      <c r="E328" t="s">
        <v>55</v>
      </c>
      <c r="G328">
        <v>1</v>
      </c>
      <c r="H328" t="s">
        <v>56</v>
      </c>
      <c r="I328" t="s">
        <v>57</v>
      </c>
      <c r="K328" t="s">
        <v>856</v>
      </c>
      <c r="L328" t="s">
        <v>1074</v>
      </c>
      <c r="M328" t="s">
        <v>59</v>
      </c>
      <c r="P328" t="s">
        <v>259</v>
      </c>
      <c r="Q328" t="s">
        <v>502</v>
      </c>
      <c r="R328" t="s">
        <v>260</v>
      </c>
      <c r="S328" t="s">
        <v>98</v>
      </c>
      <c r="T328">
        <v>259.51</v>
      </c>
      <c r="U328">
        <v>251.90199999999999</v>
      </c>
      <c r="V328">
        <f>(T328+U328)/2</f>
        <v>255.70599999999999</v>
      </c>
      <c r="W328">
        <f>T328-U328</f>
        <v>7.6080000000000041</v>
      </c>
      <c r="X328">
        <v>44.416668000000001</v>
      </c>
      <c r="Y328">
        <v>-24</v>
      </c>
      <c r="Z328" t="s">
        <v>99</v>
      </c>
      <c r="AA328" t="s">
        <v>692</v>
      </c>
      <c r="AB328" t="s">
        <v>693</v>
      </c>
      <c r="AD328" t="s">
        <v>694</v>
      </c>
      <c r="AE328" t="s">
        <v>695</v>
      </c>
      <c r="AH328" t="s">
        <v>65</v>
      </c>
      <c r="AI328" t="s">
        <v>1063</v>
      </c>
      <c r="AJ328">
        <v>1926</v>
      </c>
      <c r="AK328" t="s">
        <v>697</v>
      </c>
      <c r="AM328" t="s">
        <v>698</v>
      </c>
      <c r="AN328" t="s">
        <v>121</v>
      </c>
      <c r="AO328" t="s">
        <v>330</v>
      </c>
      <c r="AP328" t="s">
        <v>182</v>
      </c>
      <c r="AQ328" t="s">
        <v>699</v>
      </c>
      <c r="AR328" t="s">
        <v>70</v>
      </c>
      <c r="AS328">
        <v>702</v>
      </c>
      <c r="AT328" t="s">
        <v>71</v>
      </c>
      <c r="AU328">
        <v>22.51</v>
      </c>
      <c r="AV328">
        <v>-42.93</v>
      </c>
      <c r="AW328" t="s">
        <v>72</v>
      </c>
      <c r="AX328">
        <v>702</v>
      </c>
      <c r="AY328" t="s">
        <v>71</v>
      </c>
      <c r="AZ328">
        <v>24.25</v>
      </c>
      <c r="BA328">
        <v>-52.74</v>
      </c>
      <c r="BB328" t="s">
        <v>73</v>
      </c>
    </row>
    <row r="329" spans="1:54" x14ac:dyDescent="0.4">
      <c r="A329">
        <v>1285964</v>
      </c>
      <c r="D329" t="s">
        <v>246</v>
      </c>
      <c r="E329" t="s">
        <v>55</v>
      </c>
      <c r="G329">
        <v>1</v>
      </c>
      <c r="H329" t="s">
        <v>56</v>
      </c>
      <c r="I329" t="s">
        <v>57</v>
      </c>
      <c r="K329" t="s">
        <v>856</v>
      </c>
      <c r="L329" t="s">
        <v>1074</v>
      </c>
      <c r="M329" t="s">
        <v>59</v>
      </c>
      <c r="P329" t="s">
        <v>259</v>
      </c>
      <c r="Q329" t="s">
        <v>502</v>
      </c>
      <c r="R329" t="s">
        <v>260</v>
      </c>
      <c r="S329" t="s">
        <v>98</v>
      </c>
      <c r="T329">
        <v>259.51</v>
      </c>
      <c r="U329">
        <v>251.90199999999999</v>
      </c>
      <c r="V329">
        <f>(T329+U329)/2</f>
        <v>255.70599999999999</v>
      </c>
      <c r="W329">
        <f>T329-U329</f>
        <v>7.6080000000000041</v>
      </c>
      <c r="X329">
        <v>44.416668000000001</v>
      </c>
      <c r="Y329">
        <v>-24</v>
      </c>
      <c r="Z329" t="s">
        <v>99</v>
      </c>
      <c r="AA329" t="s">
        <v>692</v>
      </c>
      <c r="AB329" t="s">
        <v>693</v>
      </c>
      <c r="AD329" t="s">
        <v>694</v>
      </c>
      <c r="AE329" t="s">
        <v>695</v>
      </c>
      <c r="AH329" t="s">
        <v>65</v>
      </c>
      <c r="AI329" t="s">
        <v>1063</v>
      </c>
      <c r="AJ329">
        <v>1926</v>
      </c>
      <c r="AK329" t="s">
        <v>697</v>
      </c>
      <c r="AM329" t="s">
        <v>698</v>
      </c>
      <c r="AN329" t="s">
        <v>121</v>
      </c>
      <c r="AO329" t="s">
        <v>330</v>
      </c>
      <c r="AP329" t="s">
        <v>182</v>
      </c>
      <c r="AQ329" t="s">
        <v>699</v>
      </c>
      <c r="AR329" t="s">
        <v>70</v>
      </c>
      <c r="AS329">
        <v>702</v>
      </c>
      <c r="AT329" t="s">
        <v>71</v>
      </c>
      <c r="AU329">
        <v>22.51</v>
      </c>
      <c r="AV329">
        <v>-42.93</v>
      </c>
      <c r="AW329" t="s">
        <v>72</v>
      </c>
      <c r="AX329">
        <v>702</v>
      </c>
      <c r="AY329" t="s">
        <v>71</v>
      </c>
      <c r="AZ329">
        <v>24.25</v>
      </c>
      <c r="BA329">
        <v>-52.74</v>
      </c>
      <c r="BB329" t="s">
        <v>73</v>
      </c>
    </row>
    <row r="330" spans="1:54" x14ac:dyDescent="0.4">
      <c r="A330">
        <v>1285964</v>
      </c>
      <c r="D330" t="s">
        <v>246</v>
      </c>
      <c r="E330" t="s">
        <v>55</v>
      </c>
      <c r="G330">
        <v>1</v>
      </c>
      <c r="H330" t="s">
        <v>56</v>
      </c>
      <c r="I330" t="s">
        <v>57</v>
      </c>
      <c r="K330" t="s">
        <v>856</v>
      </c>
      <c r="L330" t="s">
        <v>1074</v>
      </c>
      <c r="M330" t="s">
        <v>59</v>
      </c>
      <c r="P330" t="s">
        <v>259</v>
      </c>
      <c r="Q330" t="s">
        <v>502</v>
      </c>
      <c r="R330" t="s">
        <v>260</v>
      </c>
      <c r="S330" t="s">
        <v>98</v>
      </c>
      <c r="T330">
        <v>259.51</v>
      </c>
      <c r="U330">
        <v>251.90199999999999</v>
      </c>
      <c r="V330">
        <f>(T330+U330)/2</f>
        <v>255.70599999999999</v>
      </c>
      <c r="W330">
        <f>T330-U330</f>
        <v>7.6080000000000041</v>
      </c>
      <c r="X330">
        <v>44.416668000000001</v>
      </c>
      <c r="Y330">
        <v>-24</v>
      </c>
      <c r="Z330" t="s">
        <v>99</v>
      </c>
      <c r="AA330" t="s">
        <v>692</v>
      </c>
      <c r="AB330" t="s">
        <v>693</v>
      </c>
      <c r="AD330" t="s">
        <v>694</v>
      </c>
      <c r="AE330" t="s">
        <v>695</v>
      </c>
      <c r="AH330" t="s">
        <v>65</v>
      </c>
      <c r="AI330" t="s">
        <v>1063</v>
      </c>
      <c r="AJ330">
        <v>1926</v>
      </c>
      <c r="AK330" t="s">
        <v>697</v>
      </c>
      <c r="AM330" t="s">
        <v>698</v>
      </c>
      <c r="AN330" t="s">
        <v>121</v>
      </c>
      <c r="AO330" t="s">
        <v>330</v>
      </c>
      <c r="AP330" t="s">
        <v>182</v>
      </c>
      <c r="AQ330" t="s">
        <v>699</v>
      </c>
      <c r="AR330" t="s">
        <v>70</v>
      </c>
      <c r="AS330">
        <v>702</v>
      </c>
      <c r="AT330" t="s">
        <v>71</v>
      </c>
      <c r="AU330">
        <v>22.51</v>
      </c>
      <c r="AV330">
        <v>-42.93</v>
      </c>
      <c r="AW330" t="s">
        <v>72</v>
      </c>
      <c r="AX330">
        <v>702</v>
      </c>
      <c r="AY330" t="s">
        <v>71</v>
      </c>
      <c r="AZ330">
        <v>24.25</v>
      </c>
      <c r="BA330">
        <v>-52.74</v>
      </c>
      <c r="BB330" t="s">
        <v>73</v>
      </c>
    </row>
    <row r="331" spans="1:54" x14ac:dyDescent="0.4">
      <c r="A331">
        <v>1285964</v>
      </c>
      <c r="D331" t="s">
        <v>246</v>
      </c>
      <c r="E331" t="s">
        <v>55</v>
      </c>
      <c r="G331">
        <v>1</v>
      </c>
      <c r="H331" t="s">
        <v>56</v>
      </c>
      <c r="I331" t="s">
        <v>57</v>
      </c>
      <c r="K331" t="s">
        <v>856</v>
      </c>
      <c r="L331" t="s">
        <v>1074</v>
      </c>
      <c r="M331" t="s">
        <v>59</v>
      </c>
      <c r="P331" t="s">
        <v>259</v>
      </c>
      <c r="Q331" t="s">
        <v>502</v>
      </c>
      <c r="R331" t="s">
        <v>260</v>
      </c>
      <c r="S331" t="s">
        <v>98</v>
      </c>
      <c r="T331">
        <v>259.51</v>
      </c>
      <c r="U331">
        <v>251.90199999999999</v>
      </c>
      <c r="V331">
        <f>(T331+U331)/2</f>
        <v>255.70599999999999</v>
      </c>
      <c r="W331">
        <f>T331-U331</f>
        <v>7.6080000000000041</v>
      </c>
      <c r="X331">
        <v>44.416668000000001</v>
      </c>
      <c r="Y331">
        <v>-24</v>
      </c>
      <c r="Z331" t="s">
        <v>99</v>
      </c>
      <c r="AA331" t="s">
        <v>692</v>
      </c>
      <c r="AB331" t="s">
        <v>693</v>
      </c>
      <c r="AD331" t="s">
        <v>694</v>
      </c>
      <c r="AE331" t="s">
        <v>695</v>
      </c>
      <c r="AH331" t="s">
        <v>65</v>
      </c>
      <c r="AI331" t="s">
        <v>1063</v>
      </c>
      <c r="AJ331">
        <v>1926</v>
      </c>
      <c r="AK331" t="s">
        <v>697</v>
      </c>
      <c r="AM331" t="s">
        <v>698</v>
      </c>
      <c r="AN331" t="s">
        <v>121</v>
      </c>
      <c r="AO331" t="s">
        <v>330</v>
      </c>
      <c r="AP331" t="s">
        <v>182</v>
      </c>
      <c r="AQ331" t="s">
        <v>699</v>
      </c>
      <c r="AR331" t="s">
        <v>70</v>
      </c>
      <c r="AS331">
        <v>702</v>
      </c>
      <c r="AT331" t="s">
        <v>71</v>
      </c>
      <c r="AU331">
        <v>22.51</v>
      </c>
      <c r="AV331">
        <v>-42.93</v>
      </c>
      <c r="AW331" t="s">
        <v>72</v>
      </c>
      <c r="AX331">
        <v>702</v>
      </c>
      <c r="AY331" t="s">
        <v>71</v>
      </c>
      <c r="AZ331">
        <v>24.25</v>
      </c>
      <c r="BA331">
        <v>-52.74</v>
      </c>
      <c r="BB331" t="s">
        <v>73</v>
      </c>
    </row>
    <row r="332" spans="1:54" x14ac:dyDescent="0.4">
      <c r="A332">
        <v>1285964</v>
      </c>
      <c r="D332" t="s">
        <v>246</v>
      </c>
      <c r="E332" t="s">
        <v>55</v>
      </c>
      <c r="G332">
        <v>1</v>
      </c>
      <c r="H332" t="s">
        <v>56</v>
      </c>
      <c r="I332" t="s">
        <v>57</v>
      </c>
      <c r="K332" t="s">
        <v>856</v>
      </c>
      <c r="L332" t="s">
        <v>1074</v>
      </c>
      <c r="M332" t="s">
        <v>59</v>
      </c>
      <c r="P332" t="s">
        <v>259</v>
      </c>
      <c r="Q332" t="s">
        <v>502</v>
      </c>
      <c r="R332" t="s">
        <v>260</v>
      </c>
      <c r="S332" t="s">
        <v>98</v>
      </c>
      <c r="T332">
        <v>259.51</v>
      </c>
      <c r="U332">
        <v>251.90199999999999</v>
      </c>
      <c r="V332">
        <f>(T332+U332)/2</f>
        <v>255.70599999999999</v>
      </c>
      <c r="W332">
        <f>T332-U332</f>
        <v>7.6080000000000041</v>
      </c>
      <c r="X332">
        <v>44.416668000000001</v>
      </c>
      <c r="Y332">
        <v>-24</v>
      </c>
      <c r="Z332" t="s">
        <v>99</v>
      </c>
      <c r="AA332" t="s">
        <v>692</v>
      </c>
      <c r="AB332" t="s">
        <v>693</v>
      </c>
      <c r="AD332" t="s">
        <v>694</v>
      </c>
      <c r="AE332" t="s">
        <v>695</v>
      </c>
      <c r="AH332" t="s">
        <v>65</v>
      </c>
      <c r="AI332" t="s">
        <v>1063</v>
      </c>
      <c r="AJ332">
        <v>1926</v>
      </c>
      <c r="AK332" t="s">
        <v>697</v>
      </c>
      <c r="AM332" t="s">
        <v>698</v>
      </c>
      <c r="AN332" t="s">
        <v>121</v>
      </c>
      <c r="AO332" t="s">
        <v>330</v>
      </c>
      <c r="AP332" t="s">
        <v>182</v>
      </c>
      <c r="AQ332" t="s">
        <v>699</v>
      </c>
      <c r="AR332" t="s">
        <v>70</v>
      </c>
      <c r="AS332">
        <v>702</v>
      </c>
      <c r="AT332" t="s">
        <v>71</v>
      </c>
      <c r="AU332">
        <v>22.51</v>
      </c>
      <c r="AV332">
        <v>-42.93</v>
      </c>
      <c r="AW332" t="s">
        <v>72</v>
      </c>
      <c r="AX332">
        <v>702</v>
      </c>
      <c r="AY332" t="s">
        <v>71</v>
      </c>
      <c r="AZ332">
        <v>24.25</v>
      </c>
      <c r="BA332">
        <v>-52.74</v>
      </c>
      <c r="BB332" t="s">
        <v>73</v>
      </c>
    </row>
    <row r="333" spans="1:54" x14ac:dyDescent="0.4">
      <c r="A333">
        <v>1285964</v>
      </c>
      <c r="D333" t="s">
        <v>246</v>
      </c>
      <c r="E333" t="s">
        <v>55</v>
      </c>
      <c r="G333">
        <v>1</v>
      </c>
      <c r="H333" t="s">
        <v>56</v>
      </c>
      <c r="I333" t="s">
        <v>57</v>
      </c>
      <c r="K333" t="s">
        <v>856</v>
      </c>
      <c r="L333" t="s">
        <v>1074</v>
      </c>
      <c r="M333" t="s">
        <v>59</v>
      </c>
      <c r="P333" t="s">
        <v>259</v>
      </c>
      <c r="Q333" t="s">
        <v>502</v>
      </c>
      <c r="R333" t="s">
        <v>260</v>
      </c>
      <c r="S333" t="s">
        <v>98</v>
      </c>
      <c r="T333">
        <v>259.51</v>
      </c>
      <c r="U333">
        <v>251.90199999999999</v>
      </c>
      <c r="V333">
        <f>(T333+U333)/2</f>
        <v>255.70599999999999</v>
      </c>
      <c r="W333">
        <f>T333-U333</f>
        <v>7.6080000000000041</v>
      </c>
      <c r="X333">
        <v>44.416668000000001</v>
      </c>
      <c r="Y333">
        <v>-24</v>
      </c>
      <c r="Z333" t="s">
        <v>99</v>
      </c>
      <c r="AA333" t="s">
        <v>692</v>
      </c>
      <c r="AB333" t="s">
        <v>693</v>
      </c>
      <c r="AD333" t="s">
        <v>694</v>
      </c>
      <c r="AE333" t="s">
        <v>695</v>
      </c>
      <c r="AH333" t="s">
        <v>65</v>
      </c>
      <c r="AI333" t="s">
        <v>1063</v>
      </c>
      <c r="AJ333">
        <v>1926</v>
      </c>
      <c r="AK333" t="s">
        <v>697</v>
      </c>
      <c r="AM333" t="s">
        <v>698</v>
      </c>
      <c r="AN333" t="s">
        <v>121</v>
      </c>
      <c r="AO333" t="s">
        <v>330</v>
      </c>
      <c r="AP333" t="s">
        <v>182</v>
      </c>
      <c r="AQ333" t="s">
        <v>699</v>
      </c>
      <c r="AR333" t="s">
        <v>70</v>
      </c>
      <c r="AS333">
        <v>702</v>
      </c>
      <c r="AT333" t="s">
        <v>71</v>
      </c>
      <c r="AU333">
        <v>22.51</v>
      </c>
      <c r="AV333">
        <v>-42.93</v>
      </c>
      <c r="AW333" t="s">
        <v>72</v>
      </c>
      <c r="AX333">
        <v>702</v>
      </c>
      <c r="AY333" t="s">
        <v>71</v>
      </c>
      <c r="AZ333">
        <v>24.25</v>
      </c>
      <c r="BA333">
        <v>-52.74</v>
      </c>
      <c r="BB333" t="s">
        <v>73</v>
      </c>
    </row>
    <row r="334" spans="1:54" x14ac:dyDescent="0.4">
      <c r="A334">
        <v>1285964</v>
      </c>
      <c r="D334" t="s">
        <v>246</v>
      </c>
      <c r="E334" t="s">
        <v>55</v>
      </c>
      <c r="G334">
        <v>1</v>
      </c>
      <c r="H334" t="s">
        <v>56</v>
      </c>
      <c r="I334" t="s">
        <v>57</v>
      </c>
      <c r="K334" t="s">
        <v>856</v>
      </c>
      <c r="L334" t="s">
        <v>1074</v>
      </c>
      <c r="M334" t="s">
        <v>59</v>
      </c>
      <c r="P334" t="s">
        <v>259</v>
      </c>
      <c r="Q334" t="s">
        <v>502</v>
      </c>
      <c r="R334" t="s">
        <v>260</v>
      </c>
      <c r="S334" t="s">
        <v>98</v>
      </c>
      <c r="T334">
        <v>259.51</v>
      </c>
      <c r="U334">
        <v>251.90199999999999</v>
      </c>
      <c r="V334">
        <f>(T334+U334)/2</f>
        <v>255.70599999999999</v>
      </c>
      <c r="W334">
        <f>T334-U334</f>
        <v>7.6080000000000041</v>
      </c>
      <c r="X334">
        <v>44.416668000000001</v>
      </c>
      <c r="Y334">
        <v>-24</v>
      </c>
      <c r="Z334" t="s">
        <v>99</v>
      </c>
      <c r="AA334" t="s">
        <v>692</v>
      </c>
      <c r="AB334" t="s">
        <v>693</v>
      </c>
      <c r="AD334" t="s">
        <v>694</v>
      </c>
      <c r="AE334" t="s">
        <v>695</v>
      </c>
      <c r="AH334" t="s">
        <v>65</v>
      </c>
      <c r="AI334" t="s">
        <v>1063</v>
      </c>
      <c r="AJ334">
        <v>1926</v>
      </c>
      <c r="AK334" t="s">
        <v>697</v>
      </c>
      <c r="AM334" t="s">
        <v>698</v>
      </c>
      <c r="AN334" t="s">
        <v>121</v>
      </c>
      <c r="AO334" t="s">
        <v>330</v>
      </c>
      <c r="AP334" t="s">
        <v>182</v>
      </c>
      <c r="AQ334" t="s">
        <v>699</v>
      </c>
      <c r="AR334" t="s">
        <v>70</v>
      </c>
      <c r="AS334">
        <v>702</v>
      </c>
      <c r="AT334" t="s">
        <v>71</v>
      </c>
      <c r="AU334">
        <v>22.51</v>
      </c>
      <c r="AV334">
        <v>-42.93</v>
      </c>
      <c r="AW334" t="s">
        <v>72</v>
      </c>
      <c r="AX334">
        <v>702</v>
      </c>
      <c r="AY334" t="s">
        <v>71</v>
      </c>
      <c r="AZ334">
        <v>24.25</v>
      </c>
      <c r="BA334">
        <v>-52.74</v>
      </c>
      <c r="BB334" t="s">
        <v>73</v>
      </c>
    </row>
    <row r="335" spans="1:54" x14ac:dyDescent="0.4">
      <c r="A335">
        <v>1285964</v>
      </c>
      <c r="D335" t="s">
        <v>246</v>
      </c>
      <c r="E335" t="s">
        <v>55</v>
      </c>
      <c r="G335">
        <v>1</v>
      </c>
      <c r="H335" t="s">
        <v>56</v>
      </c>
      <c r="I335" t="s">
        <v>57</v>
      </c>
      <c r="K335" t="s">
        <v>856</v>
      </c>
      <c r="L335" t="s">
        <v>1074</v>
      </c>
      <c r="M335" t="s">
        <v>59</v>
      </c>
      <c r="P335" t="s">
        <v>259</v>
      </c>
      <c r="Q335" t="s">
        <v>502</v>
      </c>
      <c r="R335" t="s">
        <v>260</v>
      </c>
      <c r="S335" t="s">
        <v>98</v>
      </c>
      <c r="T335">
        <v>259.51</v>
      </c>
      <c r="U335">
        <v>251.90199999999999</v>
      </c>
      <c r="V335">
        <f>(T335+U335)/2</f>
        <v>255.70599999999999</v>
      </c>
      <c r="W335">
        <f>T335-U335</f>
        <v>7.6080000000000041</v>
      </c>
      <c r="X335">
        <v>44.416668000000001</v>
      </c>
      <c r="Y335">
        <v>-24</v>
      </c>
      <c r="Z335" t="s">
        <v>99</v>
      </c>
      <c r="AA335" t="s">
        <v>692</v>
      </c>
      <c r="AB335" t="s">
        <v>693</v>
      </c>
      <c r="AD335" t="s">
        <v>694</v>
      </c>
      <c r="AE335" t="s">
        <v>695</v>
      </c>
      <c r="AH335" t="s">
        <v>65</v>
      </c>
      <c r="AI335" t="s">
        <v>1063</v>
      </c>
      <c r="AJ335">
        <v>1926</v>
      </c>
      <c r="AK335" t="s">
        <v>697</v>
      </c>
      <c r="AM335" t="s">
        <v>698</v>
      </c>
      <c r="AN335" t="s">
        <v>121</v>
      </c>
      <c r="AO335" t="s">
        <v>330</v>
      </c>
      <c r="AP335" t="s">
        <v>182</v>
      </c>
      <c r="AQ335" t="s">
        <v>699</v>
      </c>
      <c r="AR335" t="s">
        <v>70</v>
      </c>
      <c r="AS335">
        <v>702</v>
      </c>
      <c r="AT335" t="s">
        <v>71</v>
      </c>
      <c r="AU335">
        <v>22.51</v>
      </c>
      <c r="AV335">
        <v>-42.93</v>
      </c>
      <c r="AW335" t="s">
        <v>72</v>
      </c>
      <c r="AX335">
        <v>702</v>
      </c>
      <c r="AY335" t="s">
        <v>71</v>
      </c>
      <c r="AZ335">
        <v>24.25</v>
      </c>
      <c r="BA335">
        <v>-52.74</v>
      </c>
      <c r="BB335" t="s">
        <v>73</v>
      </c>
    </row>
    <row r="336" spans="1:54" x14ac:dyDescent="0.4">
      <c r="A336">
        <v>1285964</v>
      </c>
      <c r="D336" t="s">
        <v>246</v>
      </c>
      <c r="E336" t="s">
        <v>55</v>
      </c>
      <c r="G336">
        <v>1</v>
      </c>
      <c r="H336" t="s">
        <v>56</v>
      </c>
      <c r="I336" t="s">
        <v>57</v>
      </c>
      <c r="K336" t="s">
        <v>856</v>
      </c>
      <c r="L336" t="s">
        <v>1074</v>
      </c>
      <c r="M336" t="s">
        <v>59</v>
      </c>
      <c r="P336" t="s">
        <v>259</v>
      </c>
      <c r="Q336" t="s">
        <v>502</v>
      </c>
      <c r="R336" t="s">
        <v>260</v>
      </c>
      <c r="S336" t="s">
        <v>98</v>
      </c>
      <c r="T336">
        <v>259.51</v>
      </c>
      <c r="U336">
        <v>251.90199999999999</v>
      </c>
      <c r="V336">
        <f>(T336+U336)/2</f>
        <v>255.70599999999999</v>
      </c>
      <c r="W336">
        <f>T336-U336</f>
        <v>7.6080000000000041</v>
      </c>
      <c r="X336">
        <v>44.416668000000001</v>
      </c>
      <c r="Y336">
        <v>-24</v>
      </c>
      <c r="Z336" t="s">
        <v>99</v>
      </c>
      <c r="AA336" t="s">
        <v>692</v>
      </c>
      <c r="AB336" t="s">
        <v>693</v>
      </c>
      <c r="AD336" t="s">
        <v>694</v>
      </c>
      <c r="AE336" t="s">
        <v>695</v>
      </c>
      <c r="AH336" t="s">
        <v>65</v>
      </c>
      <c r="AI336" t="s">
        <v>1063</v>
      </c>
      <c r="AJ336">
        <v>1926</v>
      </c>
      <c r="AK336" t="s">
        <v>697</v>
      </c>
      <c r="AM336" t="s">
        <v>698</v>
      </c>
      <c r="AN336" t="s">
        <v>121</v>
      </c>
      <c r="AO336" t="s">
        <v>330</v>
      </c>
      <c r="AP336" t="s">
        <v>182</v>
      </c>
      <c r="AQ336" t="s">
        <v>699</v>
      </c>
      <c r="AR336" t="s">
        <v>70</v>
      </c>
      <c r="AS336">
        <v>702</v>
      </c>
      <c r="AT336" t="s">
        <v>71</v>
      </c>
      <c r="AU336">
        <v>22.51</v>
      </c>
      <c r="AV336">
        <v>-42.93</v>
      </c>
      <c r="AW336" t="s">
        <v>72</v>
      </c>
      <c r="AX336">
        <v>702</v>
      </c>
      <c r="AY336" t="s">
        <v>71</v>
      </c>
      <c r="AZ336">
        <v>24.25</v>
      </c>
      <c r="BA336">
        <v>-52.74</v>
      </c>
      <c r="BB336" t="s">
        <v>73</v>
      </c>
    </row>
    <row r="337" spans="1:54" x14ac:dyDescent="0.4">
      <c r="A337">
        <v>1285964</v>
      </c>
      <c r="D337" t="s">
        <v>246</v>
      </c>
      <c r="E337" t="s">
        <v>55</v>
      </c>
      <c r="G337">
        <v>1</v>
      </c>
      <c r="H337" t="s">
        <v>56</v>
      </c>
      <c r="I337" t="s">
        <v>57</v>
      </c>
      <c r="K337" t="s">
        <v>856</v>
      </c>
      <c r="L337" t="s">
        <v>1074</v>
      </c>
      <c r="M337" t="s">
        <v>59</v>
      </c>
      <c r="P337" t="s">
        <v>259</v>
      </c>
      <c r="Q337" t="s">
        <v>502</v>
      </c>
      <c r="R337" t="s">
        <v>260</v>
      </c>
      <c r="S337" t="s">
        <v>98</v>
      </c>
      <c r="T337">
        <v>259.51</v>
      </c>
      <c r="U337">
        <v>251.90199999999999</v>
      </c>
      <c r="V337">
        <f>(T337+U337)/2</f>
        <v>255.70599999999999</v>
      </c>
      <c r="W337">
        <f>T337-U337</f>
        <v>7.6080000000000041</v>
      </c>
      <c r="X337">
        <v>44.416668000000001</v>
      </c>
      <c r="Y337">
        <v>-24</v>
      </c>
      <c r="Z337" t="s">
        <v>99</v>
      </c>
      <c r="AA337" t="s">
        <v>692</v>
      </c>
      <c r="AB337" t="s">
        <v>693</v>
      </c>
      <c r="AD337" t="s">
        <v>694</v>
      </c>
      <c r="AE337" t="s">
        <v>695</v>
      </c>
      <c r="AH337" t="s">
        <v>65</v>
      </c>
      <c r="AI337" t="s">
        <v>1063</v>
      </c>
      <c r="AJ337">
        <v>1926</v>
      </c>
      <c r="AK337" t="s">
        <v>697</v>
      </c>
      <c r="AM337" t="s">
        <v>698</v>
      </c>
      <c r="AN337" t="s">
        <v>121</v>
      </c>
      <c r="AO337" t="s">
        <v>330</v>
      </c>
      <c r="AP337" t="s">
        <v>182</v>
      </c>
      <c r="AQ337" t="s">
        <v>699</v>
      </c>
      <c r="AR337" t="s">
        <v>70</v>
      </c>
      <c r="AS337">
        <v>702</v>
      </c>
      <c r="AT337" t="s">
        <v>71</v>
      </c>
      <c r="AU337">
        <v>22.51</v>
      </c>
      <c r="AV337">
        <v>-42.93</v>
      </c>
      <c r="AW337" t="s">
        <v>72</v>
      </c>
      <c r="AX337">
        <v>702</v>
      </c>
      <c r="AY337" t="s">
        <v>71</v>
      </c>
      <c r="AZ337">
        <v>24.25</v>
      </c>
      <c r="BA337">
        <v>-52.74</v>
      </c>
      <c r="BB337" t="s">
        <v>73</v>
      </c>
    </row>
    <row r="338" spans="1:54" x14ac:dyDescent="0.4">
      <c r="A338">
        <v>1285964</v>
      </c>
      <c r="D338" t="s">
        <v>246</v>
      </c>
      <c r="E338" t="s">
        <v>55</v>
      </c>
      <c r="G338">
        <v>1</v>
      </c>
      <c r="H338" t="s">
        <v>56</v>
      </c>
      <c r="I338" t="s">
        <v>57</v>
      </c>
      <c r="K338" t="s">
        <v>856</v>
      </c>
      <c r="L338" t="s">
        <v>1074</v>
      </c>
      <c r="M338" t="s">
        <v>59</v>
      </c>
      <c r="P338" t="s">
        <v>259</v>
      </c>
      <c r="Q338" t="s">
        <v>502</v>
      </c>
      <c r="R338" t="s">
        <v>260</v>
      </c>
      <c r="S338" t="s">
        <v>98</v>
      </c>
      <c r="T338">
        <v>259.51</v>
      </c>
      <c r="U338">
        <v>251.90199999999999</v>
      </c>
      <c r="V338">
        <f>(T338+U338)/2</f>
        <v>255.70599999999999</v>
      </c>
      <c r="W338">
        <f>T338-U338</f>
        <v>7.6080000000000041</v>
      </c>
      <c r="X338">
        <v>44.416668000000001</v>
      </c>
      <c r="Y338">
        <v>-24</v>
      </c>
      <c r="Z338" t="s">
        <v>99</v>
      </c>
      <c r="AA338" t="s">
        <v>692</v>
      </c>
      <c r="AB338" t="s">
        <v>693</v>
      </c>
      <c r="AD338" t="s">
        <v>694</v>
      </c>
      <c r="AE338" t="s">
        <v>695</v>
      </c>
      <c r="AH338" t="s">
        <v>65</v>
      </c>
      <c r="AI338" t="s">
        <v>1063</v>
      </c>
      <c r="AJ338">
        <v>1926</v>
      </c>
      <c r="AK338" t="s">
        <v>697</v>
      </c>
      <c r="AM338" t="s">
        <v>698</v>
      </c>
      <c r="AN338" t="s">
        <v>121</v>
      </c>
      <c r="AO338" t="s">
        <v>330</v>
      </c>
      <c r="AP338" t="s">
        <v>182</v>
      </c>
      <c r="AQ338" t="s">
        <v>699</v>
      </c>
      <c r="AR338" t="s">
        <v>70</v>
      </c>
      <c r="AS338">
        <v>702</v>
      </c>
      <c r="AT338" t="s">
        <v>71</v>
      </c>
      <c r="AU338">
        <v>22.51</v>
      </c>
      <c r="AV338">
        <v>-42.93</v>
      </c>
      <c r="AW338" t="s">
        <v>72</v>
      </c>
      <c r="AX338">
        <v>702</v>
      </c>
      <c r="AY338" t="s">
        <v>71</v>
      </c>
      <c r="AZ338">
        <v>24.25</v>
      </c>
      <c r="BA338">
        <v>-52.74</v>
      </c>
      <c r="BB338" t="s">
        <v>73</v>
      </c>
    </row>
    <row r="339" spans="1:54" x14ac:dyDescent="0.4">
      <c r="A339">
        <v>1285964</v>
      </c>
      <c r="D339" t="s">
        <v>246</v>
      </c>
      <c r="E339" t="s">
        <v>55</v>
      </c>
      <c r="G339">
        <v>1</v>
      </c>
      <c r="H339" t="s">
        <v>56</v>
      </c>
      <c r="I339" t="s">
        <v>57</v>
      </c>
      <c r="K339" t="s">
        <v>856</v>
      </c>
      <c r="L339" t="s">
        <v>1074</v>
      </c>
      <c r="M339" t="s">
        <v>59</v>
      </c>
      <c r="P339" t="s">
        <v>259</v>
      </c>
      <c r="Q339" t="s">
        <v>502</v>
      </c>
      <c r="R339" t="s">
        <v>260</v>
      </c>
      <c r="S339" t="s">
        <v>98</v>
      </c>
      <c r="T339">
        <v>259.51</v>
      </c>
      <c r="U339">
        <v>251.90199999999999</v>
      </c>
      <c r="V339">
        <f>(T339+U339)/2</f>
        <v>255.70599999999999</v>
      </c>
      <c r="W339">
        <f>T339-U339</f>
        <v>7.6080000000000041</v>
      </c>
      <c r="X339">
        <v>44.416668000000001</v>
      </c>
      <c r="Y339">
        <v>-24</v>
      </c>
      <c r="Z339" t="s">
        <v>99</v>
      </c>
      <c r="AA339" t="s">
        <v>692</v>
      </c>
      <c r="AB339" t="s">
        <v>693</v>
      </c>
      <c r="AD339" t="s">
        <v>694</v>
      </c>
      <c r="AE339" t="s">
        <v>695</v>
      </c>
      <c r="AH339" t="s">
        <v>65</v>
      </c>
      <c r="AI339" t="s">
        <v>1063</v>
      </c>
      <c r="AJ339">
        <v>1926</v>
      </c>
      <c r="AK339" t="s">
        <v>697</v>
      </c>
      <c r="AM339" t="s">
        <v>698</v>
      </c>
      <c r="AN339" t="s">
        <v>121</v>
      </c>
      <c r="AO339" t="s">
        <v>330</v>
      </c>
      <c r="AP339" t="s">
        <v>182</v>
      </c>
      <c r="AQ339" t="s">
        <v>699</v>
      </c>
      <c r="AR339" t="s">
        <v>70</v>
      </c>
      <c r="AS339">
        <v>702</v>
      </c>
      <c r="AT339" t="s">
        <v>71</v>
      </c>
      <c r="AU339">
        <v>22.51</v>
      </c>
      <c r="AV339">
        <v>-42.93</v>
      </c>
      <c r="AW339" t="s">
        <v>72</v>
      </c>
      <c r="AX339">
        <v>702</v>
      </c>
      <c r="AY339" t="s">
        <v>71</v>
      </c>
      <c r="AZ339">
        <v>24.25</v>
      </c>
      <c r="BA339">
        <v>-52.74</v>
      </c>
      <c r="BB339" t="s">
        <v>73</v>
      </c>
    </row>
    <row r="340" spans="1:54" x14ac:dyDescent="0.4">
      <c r="A340">
        <v>1285964</v>
      </c>
      <c r="D340" t="s">
        <v>246</v>
      </c>
      <c r="E340" t="s">
        <v>55</v>
      </c>
      <c r="G340">
        <v>1</v>
      </c>
      <c r="H340" t="s">
        <v>56</v>
      </c>
      <c r="I340" t="s">
        <v>57</v>
      </c>
      <c r="K340" t="s">
        <v>856</v>
      </c>
      <c r="L340" t="s">
        <v>1074</v>
      </c>
      <c r="M340" t="s">
        <v>59</v>
      </c>
      <c r="P340" t="s">
        <v>259</v>
      </c>
      <c r="Q340" t="s">
        <v>502</v>
      </c>
      <c r="R340" t="s">
        <v>260</v>
      </c>
      <c r="S340" t="s">
        <v>98</v>
      </c>
      <c r="T340">
        <v>259.51</v>
      </c>
      <c r="U340">
        <v>251.90199999999999</v>
      </c>
      <c r="V340">
        <f>(T340+U340)/2</f>
        <v>255.70599999999999</v>
      </c>
      <c r="W340">
        <f>T340-U340</f>
        <v>7.6080000000000041</v>
      </c>
      <c r="X340">
        <v>44.416668000000001</v>
      </c>
      <c r="Y340">
        <v>-24</v>
      </c>
      <c r="Z340" t="s">
        <v>99</v>
      </c>
      <c r="AA340" t="s">
        <v>692</v>
      </c>
      <c r="AB340" t="s">
        <v>693</v>
      </c>
      <c r="AD340" t="s">
        <v>694</v>
      </c>
      <c r="AE340" t="s">
        <v>695</v>
      </c>
      <c r="AH340" t="s">
        <v>65</v>
      </c>
      <c r="AI340" t="s">
        <v>1063</v>
      </c>
      <c r="AJ340">
        <v>1926</v>
      </c>
      <c r="AK340" t="s">
        <v>697</v>
      </c>
      <c r="AM340" t="s">
        <v>698</v>
      </c>
      <c r="AN340" t="s">
        <v>121</v>
      </c>
      <c r="AO340" t="s">
        <v>330</v>
      </c>
      <c r="AP340" t="s">
        <v>182</v>
      </c>
      <c r="AQ340" t="s">
        <v>699</v>
      </c>
      <c r="AR340" t="s">
        <v>70</v>
      </c>
      <c r="AS340">
        <v>702</v>
      </c>
      <c r="AT340" t="s">
        <v>71</v>
      </c>
      <c r="AU340">
        <v>22.51</v>
      </c>
      <c r="AV340">
        <v>-42.93</v>
      </c>
      <c r="AW340" t="s">
        <v>72</v>
      </c>
      <c r="AX340">
        <v>702</v>
      </c>
      <c r="AY340" t="s">
        <v>71</v>
      </c>
      <c r="AZ340">
        <v>24.25</v>
      </c>
      <c r="BA340">
        <v>-52.74</v>
      </c>
      <c r="BB340" t="s">
        <v>73</v>
      </c>
    </row>
    <row r="341" spans="1:54" x14ac:dyDescent="0.4">
      <c r="A341">
        <v>1285964</v>
      </c>
      <c r="D341" t="s">
        <v>246</v>
      </c>
      <c r="E341" t="s">
        <v>55</v>
      </c>
      <c r="G341">
        <v>1</v>
      </c>
      <c r="H341" t="s">
        <v>56</v>
      </c>
      <c r="I341" t="s">
        <v>57</v>
      </c>
      <c r="K341" t="s">
        <v>856</v>
      </c>
      <c r="L341" t="s">
        <v>1074</v>
      </c>
      <c r="M341" t="s">
        <v>59</v>
      </c>
      <c r="P341" t="s">
        <v>259</v>
      </c>
      <c r="Q341" t="s">
        <v>502</v>
      </c>
      <c r="R341" t="s">
        <v>260</v>
      </c>
      <c r="S341" t="s">
        <v>98</v>
      </c>
      <c r="T341">
        <v>259.51</v>
      </c>
      <c r="U341">
        <v>251.90199999999999</v>
      </c>
      <c r="V341">
        <f>(T341+U341)/2</f>
        <v>255.70599999999999</v>
      </c>
      <c r="W341">
        <f>T341-U341</f>
        <v>7.6080000000000041</v>
      </c>
      <c r="X341">
        <v>44.416668000000001</v>
      </c>
      <c r="Y341">
        <v>-24</v>
      </c>
      <c r="Z341" t="s">
        <v>99</v>
      </c>
      <c r="AA341" t="s">
        <v>692</v>
      </c>
      <c r="AB341" t="s">
        <v>693</v>
      </c>
      <c r="AD341" t="s">
        <v>694</v>
      </c>
      <c r="AE341" t="s">
        <v>695</v>
      </c>
      <c r="AH341" t="s">
        <v>65</v>
      </c>
      <c r="AI341" t="s">
        <v>1063</v>
      </c>
      <c r="AJ341">
        <v>1926</v>
      </c>
      <c r="AK341" t="s">
        <v>697</v>
      </c>
      <c r="AM341" t="s">
        <v>698</v>
      </c>
      <c r="AN341" t="s">
        <v>121</v>
      </c>
      <c r="AO341" t="s">
        <v>330</v>
      </c>
      <c r="AP341" t="s">
        <v>182</v>
      </c>
      <c r="AQ341" t="s">
        <v>699</v>
      </c>
      <c r="AR341" t="s">
        <v>70</v>
      </c>
      <c r="AS341">
        <v>702</v>
      </c>
      <c r="AT341" t="s">
        <v>71</v>
      </c>
      <c r="AU341">
        <v>22.51</v>
      </c>
      <c r="AV341">
        <v>-42.93</v>
      </c>
      <c r="AW341" t="s">
        <v>72</v>
      </c>
      <c r="AX341">
        <v>702</v>
      </c>
      <c r="AY341" t="s">
        <v>71</v>
      </c>
      <c r="AZ341">
        <v>24.25</v>
      </c>
      <c r="BA341">
        <v>-52.74</v>
      </c>
      <c r="BB341" t="s">
        <v>73</v>
      </c>
    </row>
    <row r="342" spans="1:54" x14ac:dyDescent="0.4">
      <c r="A342">
        <v>1285964</v>
      </c>
      <c r="D342" t="s">
        <v>246</v>
      </c>
      <c r="E342" t="s">
        <v>55</v>
      </c>
      <c r="G342">
        <v>1</v>
      </c>
      <c r="H342" t="s">
        <v>56</v>
      </c>
      <c r="I342" t="s">
        <v>57</v>
      </c>
      <c r="K342" t="s">
        <v>856</v>
      </c>
      <c r="L342" t="s">
        <v>1074</v>
      </c>
      <c r="M342" t="s">
        <v>59</v>
      </c>
      <c r="P342" t="s">
        <v>259</v>
      </c>
      <c r="Q342" t="s">
        <v>502</v>
      </c>
      <c r="R342" t="s">
        <v>260</v>
      </c>
      <c r="S342" t="s">
        <v>98</v>
      </c>
      <c r="T342">
        <v>259.51</v>
      </c>
      <c r="U342">
        <v>251.90199999999999</v>
      </c>
      <c r="V342">
        <f>(T342+U342)/2</f>
        <v>255.70599999999999</v>
      </c>
      <c r="W342">
        <f>T342-U342</f>
        <v>7.6080000000000041</v>
      </c>
      <c r="X342">
        <v>44.416668000000001</v>
      </c>
      <c r="Y342">
        <v>-24</v>
      </c>
      <c r="Z342" t="s">
        <v>99</v>
      </c>
      <c r="AA342" t="s">
        <v>692</v>
      </c>
      <c r="AB342" t="s">
        <v>693</v>
      </c>
      <c r="AD342" t="s">
        <v>694</v>
      </c>
      <c r="AE342" t="s">
        <v>695</v>
      </c>
      <c r="AH342" t="s">
        <v>65</v>
      </c>
      <c r="AI342" t="s">
        <v>1063</v>
      </c>
      <c r="AJ342">
        <v>1926</v>
      </c>
      <c r="AK342" t="s">
        <v>697</v>
      </c>
      <c r="AM342" t="s">
        <v>698</v>
      </c>
      <c r="AN342" t="s">
        <v>121</v>
      </c>
      <c r="AO342" t="s">
        <v>330</v>
      </c>
      <c r="AP342" t="s">
        <v>182</v>
      </c>
      <c r="AQ342" t="s">
        <v>699</v>
      </c>
      <c r="AR342" t="s">
        <v>70</v>
      </c>
      <c r="AS342">
        <v>702</v>
      </c>
      <c r="AT342" t="s">
        <v>71</v>
      </c>
      <c r="AU342">
        <v>22.51</v>
      </c>
      <c r="AV342">
        <v>-42.93</v>
      </c>
      <c r="AW342" t="s">
        <v>72</v>
      </c>
      <c r="AX342">
        <v>702</v>
      </c>
      <c r="AY342" t="s">
        <v>71</v>
      </c>
      <c r="AZ342">
        <v>24.25</v>
      </c>
      <c r="BA342">
        <v>-52.74</v>
      </c>
      <c r="BB342" t="s">
        <v>73</v>
      </c>
    </row>
    <row r="343" spans="1:54" x14ac:dyDescent="0.4">
      <c r="A343">
        <v>1285964</v>
      </c>
      <c r="D343" t="s">
        <v>246</v>
      </c>
      <c r="E343" t="s">
        <v>55</v>
      </c>
      <c r="G343">
        <v>1</v>
      </c>
      <c r="H343" t="s">
        <v>56</v>
      </c>
      <c r="I343" t="s">
        <v>57</v>
      </c>
      <c r="K343" t="s">
        <v>856</v>
      </c>
      <c r="L343" t="s">
        <v>1074</v>
      </c>
      <c r="M343" t="s">
        <v>59</v>
      </c>
      <c r="P343" t="s">
        <v>259</v>
      </c>
      <c r="Q343" t="s">
        <v>502</v>
      </c>
      <c r="R343" t="s">
        <v>260</v>
      </c>
      <c r="S343" t="s">
        <v>98</v>
      </c>
      <c r="T343">
        <v>259.51</v>
      </c>
      <c r="U343">
        <v>251.90199999999999</v>
      </c>
      <c r="V343">
        <f>(T343+U343)/2</f>
        <v>255.70599999999999</v>
      </c>
      <c r="W343">
        <f>T343-U343</f>
        <v>7.6080000000000041</v>
      </c>
      <c r="X343">
        <v>44.416668000000001</v>
      </c>
      <c r="Y343">
        <v>-24</v>
      </c>
      <c r="Z343" t="s">
        <v>99</v>
      </c>
      <c r="AA343" t="s">
        <v>692</v>
      </c>
      <c r="AB343" t="s">
        <v>693</v>
      </c>
      <c r="AD343" t="s">
        <v>694</v>
      </c>
      <c r="AE343" t="s">
        <v>695</v>
      </c>
      <c r="AH343" t="s">
        <v>65</v>
      </c>
      <c r="AI343" t="s">
        <v>1063</v>
      </c>
      <c r="AJ343">
        <v>1926</v>
      </c>
      <c r="AK343" t="s">
        <v>697</v>
      </c>
      <c r="AM343" t="s">
        <v>698</v>
      </c>
      <c r="AN343" t="s">
        <v>121</v>
      </c>
      <c r="AO343" t="s">
        <v>330</v>
      </c>
      <c r="AP343" t="s">
        <v>182</v>
      </c>
      <c r="AQ343" t="s">
        <v>699</v>
      </c>
      <c r="AR343" t="s">
        <v>70</v>
      </c>
      <c r="AS343">
        <v>702</v>
      </c>
      <c r="AT343" t="s">
        <v>71</v>
      </c>
      <c r="AU343">
        <v>22.51</v>
      </c>
      <c r="AV343">
        <v>-42.93</v>
      </c>
      <c r="AW343" t="s">
        <v>72</v>
      </c>
      <c r="AX343">
        <v>702</v>
      </c>
      <c r="AY343" t="s">
        <v>71</v>
      </c>
      <c r="AZ343">
        <v>24.25</v>
      </c>
      <c r="BA343">
        <v>-52.74</v>
      </c>
      <c r="BB343" t="s">
        <v>73</v>
      </c>
    </row>
    <row r="344" spans="1:54" x14ac:dyDescent="0.4">
      <c r="A344">
        <v>1285964</v>
      </c>
      <c r="D344" t="s">
        <v>246</v>
      </c>
      <c r="E344" t="s">
        <v>55</v>
      </c>
      <c r="G344">
        <v>1</v>
      </c>
      <c r="H344" t="s">
        <v>56</v>
      </c>
      <c r="I344" t="s">
        <v>57</v>
      </c>
      <c r="K344" t="s">
        <v>856</v>
      </c>
      <c r="L344" t="s">
        <v>1074</v>
      </c>
      <c r="M344" t="s">
        <v>59</v>
      </c>
      <c r="P344" t="s">
        <v>259</v>
      </c>
      <c r="Q344" t="s">
        <v>502</v>
      </c>
      <c r="R344" t="s">
        <v>260</v>
      </c>
      <c r="S344" t="s">
        <v>98</v>
      </c>
      <c r="T344">
        <v>259.51</v>
      </c>
      <c r="U344">
        <v>251.90199999999999</v>
      </c>
      <c r="V344">
        <f>(T344+U344)/2</f>
        <v>255.70599999999999</v>
      </c>
      <c r="W344">
        <f>T344-U344</f>
        <v>7.6080000000000041</v>
      </c>
      <c r="X344">
        <v>44.416668000000001</v>
      </c>
      <c r="Y344">
        <v>-24</v>
      </c>
      <c r="Z344" t="s">
        <v>99</v>
      </c>
      <c r="AA344" t="s">
        <v>692</v>
      </c>
      <c r="AB344" t="s">
        <v>693</v>
      </c>
      <c r="AD344" t="s">
        <v>694</v>
      </c>
      <c r="AE344" t="s">
        <v>695</v>
      </c>
      <c r="AH344" t="s">
        <v>65</v>
      </c>
      <c r="AI344" t="s">
        <v>1063</v>
      </c>
      <c r="AJ344">
        <v>1926</v>
      </c>
      <c r="AK344" t="s">
        <v>697</v>
      </c>
      <c r="AM344" t="s">
        <v>698</v>
      </c>
      <c r="AN344" t="s">
        <v>121</v>
      </c>
      <c r="AO344" t="s">
        <v>330</v>
      </c>
      <c r="AP344" t="s">
        <v>182</v>
      </c>
      <c r="AQ344" t="s">
        <v>699</v>
      </c>
      <c r="AR344" t="s">
        <v>70</v>
      </c>
      <c r="AS344">
        <v>702</v>
      </c>
      <c r="AT344" t="s">
        <v>71</v>
      </c>
      <c r="AU344">
        <v>22.51</v>
      </c>
      <c r="AV344">
        <v>-42.93</v>
      </c>
      <c r="AW344" t="s">
        <v>72</v>
      </c>
      <c r="AX344">
        <v>702</v>
      </c>
      <c r="AY344" t="s">
        <v>71</v>
      </c>
      <c r="AZ344">
        <v>24.25</v>
      </c>
      <c r="BA344">
        <v>-52.74</v>
      </c>
      <c r="BB344" t="s">
        <v>73</v>
      </c>
    </row>
    <row r="345" spans="1:54" x14ac:dyDescent="0.4">
      <c r="A345">
        <v>1285964</v>
      </c>
      <c r="D345" t="s">
        <v>246</v>
      </c>
      <c r="E345" t="s">
        <v>55</v>
      </c>
      <c r="G345">
        <v>1</v>
      </c>
      <c r="H345" t="s">
        <v>56</v>
      </c>
      <c r="I345" t="s">
        <v>57</v>
      </c>
      <c r="K345" t="s">
        <v>856</v>
      </c>
      <c r="L345" t="s">
        <v>1074</v>
      </c>
      <c r="M345" t="s">
        <v>59</v>
      </c>
      <c r="P345" t="s">
        <v>259</v>
      </c>
      <c r="Q345" t="s">
        <v>502</v>
      </c>
      <c r="R345" t="s">
        <v>260</v>
      </c>
      <c r="S345" t="s">
        <v>98</v>
      </c>
      <c r="T345">
        <v>259.51</v>
      </c>
      <c r="U345">
        <v>251.90199999999999</v>
      </c>
      <c r="V345">
        <f>(T345+U345)/2</f>
        <v>255.70599999999999</v>
      </c>
      <c r="W345">
        <f>T345-U345</f>
        <v>7.6080000000000041</v>
      </c>
      <c r="X345">
        <v>44.416668000000001</v>
      </c>
      <c r="Y345">
        <v>-24</v>
      </c>
      <c r="Z345" t="s">
        <v>99</v>
      </c>
      <c r="AA345" t="s">
        <v>692</v>
      </c>
      <c r="AB345" t="s">
        <v>693</v>
      </c>
      <c r="AD345" t="s">
        <v>694</v>
      </c>
      <c r="AE345" t="s">
        <v>695</v>
      </c>
      <c r="AH345" t="s">
        <v>65</v>
      </c>
      <c r="AI345" t="s">
        <v>1063</v>
      </c>
      <c r="AJ345">
        <v>1926</v>
      </c>
      <c r="AK345" t="s">
        <v>697</v>
      </c>
      <c r="AM345" t="s">
        <v>698</v>
      </c>
      <c r="AN345" t="s">
        <v>121</v>
      </c>
      <c r="AO345" t="s">
        <v>330</v>
      </c>
      <c r="AP345" t="s">
        <v>182</v>
      </c>
      <c r="AQ345" t="s">
        <v>699</v>
      </c>
      <c r="AR345" t="s">
        <v>70</v>
      </c>
      <c r="AS345">
        <v>702</v>
      </c>
      <c r="AT345" t="s">
        <v>71</v>
      </c>
      <c r="AU345">
        <v>22.51</v>
      </c>
      <c r="AV345">
        <v>-42.93</v>
      </c>
      <c r="AW345" t="s">
        <v>72</v>
      </c>
      <c r="AX345">
        <v>702</v>
      </c>
      <c r="AY345" t="s">
        <v>71</v>
      </c>
      <c r="AZ345">
        <v>24.25</v>
      </c>
      <c r="BA345">
        <v>-52.74</v>
      </c>
      <c r="BB345" t="s">
        <v>73</v>
      </c>
    </row>
    <row r="346" spans="1:54" x14ac:dyDescent="0.4">
      <c r="A346">
        <v>1285964</v>
      </c>
      <c r="D346" t="s">
        <v>246</v>
      </c>
      <c r="E346" t="s">
        <v>55</v>
      </c>
      <c r="G346">
        <v>1</v>
      </c>
      <c r="H346" t="s">
        <v>56</v>
      </c>
      <c r="I346" t="s">
        <v>57</v>
      </c>
      <c r="K346" t="s">
        <v>856</v>
      </c>
      <c r="L346" t="s">
        <v>1074</v>
      </c>
      <c r="M346" t="s">
        <v>59</v>
      </c>
      <c r="P346" t="s">
        <v>259</v>
      </c>
      <c r="Q346" t="s">
        <v>502</v>
      </c>
      <c r="R346" t="s">
        <v>260</v>
      </c>
      <c r="S346" t="s">
        <v>98</v>
      </c>
      <c r="T346">
        <v>259.51</v>
      </c>
      <c r="U346">
        <v>251.90199999999999</v>
      </c>
      <c r="V346">
        <f>(T346+U346)/2</f>
        <v>255.70599999999999</v>
      </c>
      <c r="W346">
        <f>T346-U346</f>
        <v>7.6080000000000041</v>
      </c>
      <c r="X346">
        <v>44.416668000000001</v>
      </c>
      <c r="Y346">
        <v>-24</v>
      </c>
      <c r="Z346" t="s">
        <v>99</v>
      </c>
      <c r="AA346" t="s">
        <v>692</v>
      </c>
      <c r="AB346" t="s">
        <v>693</v>
      </c>
      <c r="AD346" t="s">
        <v>694</v>
      </c>
      <c r="AE346" t="s">
        <v>695</v>
      </c>
      <c r="AH346" t="s">
        <v>65</v>
      </c>
      <c r="AI346" t="s">
        <v>1063</v>
      </c>
      <c r="AJ346">
        <v>1926</v>
      </c>
      <c r="AK346" t="s">
        <v>697</v>
      </c>
      <c r="AM346" t="s">
        <v>698</v>
      </c>
      <c r="AN346" t="s">
        <v>121</v>
      </c>
      <c r="AO346" t="s">
        <v>330</v>
      </c>
      <c r="AP346" t="s">
        <v>182</v>
      </c>
      <c r="AQ346" t="s">
        <v>699</v>
      </c>
      <c r="AR346" t="s">
        <v>70</v>
      </c>
      <c r="AS346">
        <v>702</v>
      </c>
      <c r="AT346" t="s">
        <v>71</v>
      </c>
      <c r="AU346">
        <v>22.51</v>
      </c>
      <c r="AV346">
        <v>-42.93</v>
      </c>
      <c r="AW346" t="s">
        <v>72</v>
      </c>
      <c r="AX346">
        <v>702</v>
      </c>
      <c r="AY346" t="s">
        <v>71</v>
      </c>
      <c r="AZ346">
        <v>24.25</v>
      </c>
      <c r="BA346">
        <v>-52.74</v>
      </c>
      <c r="BB346" t="s">
        <v>73</v>
      </c>
    </row>
    <row r="347" spans="1:54" x14ac:dyDescent="0.4">
      <c r="A347">
        <v>1285964</v>
      </c>
      <c r="D347" t="s">
        <v>246</v>
      </c>
      <c r="E347" t="s">
        <v>55</v>
      </c>
      <c r="G347">
        <v>1</v>
      </c>
      <c r="H347" t="s">
        <v>56</v>
      </c>
      <c r="I347" t="s">
        <v>57</v>
      </c>
      <c r="K347" t="s">
        <v>856</v>
      </c>
      <c r="L347" t="s">
        <v>1074</v>
      </c>
      <c r="M347" t="s">
        <v>59</v>
      </c>
      <c r="P347" t="s">
        <v>259</v>
      </c>
      <c r="Q347" t="s">
        <v>502</v>
      </c>
      <c r="R347" t="s">
        <v>260</v>
      </c>
      <c r="S347" t="s">
        <v>98</v>
      </c>
      <c r="T347">
        <v>259.51</v>
      </c>
      <c r="U347">
        <v>251.90199999999999</v>
      </c>
      <c r="V347">
        <f>(T347+U347)/2</f>
        <v>255.70599999999999</v>
      </c>
      <c r="W347">
        <f>T347-U347</f>
        <v>7.6080000000000041</v>
      </c>
      <c r="X347">
        <v>44.416668000000001</v>
      </c>
      <c r="Y347">
        <v>-24</v>
      </c>
      <c r="Z347" t="s">
        <v>99</v>
      </c>
      <c r="AA347" t="s">
        <v>692</v>
      </c>
      <c r="AB347" t="s">
        <v>693</v>
      </c>
      <c r="AD347" t="s">
        <v>694</v>
      </c>
      <c r="AE347" t="s">
        <v>695</v>
      </c>
      <c r="AH347" t="s">
        <v>65</v>
      </c>
      <c r="AI347" t="s">
        <v>1063</v>
      </c>
      <c r="AJ347">
        <v>1926</v>
      </c>
      <c r="AK347" t="s">
        <v>697</v>
      </c>
      <c r="AM347" t="s">
        <v>698</v>
      </c>
      <c r="AN347" t="s">
        <v>121</v>
      </c>
      <c r="AO347" t="s">
        <v>330</v>
      </c>
      <c r="AP347" t="s">
        <v>182</v>
      </c>
      <c r="AQ347" t="s">
        <v>699</v>
      </c>
      <c r="AR347" t="s">
        <v>70</v>
      </c>
      <c r="AS347">
        <v>702</v>
      </c>
      <c r="AT347" t="s">
        <v>71</v>
      </c>
      <c r="AU347">
        <v>22.51</v>
      </c>
      <c r="AV347">
        <v>-42.93</v>
      </c>
      <c r="AW347" t="s">
        <v>72</v>
      </c>
      <c r="AX347">
        <v>702</v>
      </c>
      <c r="AY347" t="s">
        <v>71</v>
      </c>
      <c r="AZ347">
        <v>24.25</v>
      </c>
      <c r="BA347">
        <v>-52.74</v>
      </c>
      <c r="BB347" t="s">
        <v>73</v>
      </c>
    </row>
    <row r="348" spans="1:54" x14ac:dyDescent="0.4">
      <c r="A348">
        <v>1285964</v>
      </c>
      <c r="D348" t="s">
        <v>246</v>
      </c>
      <c r="E348" t="s">
        <v>55</v>
      </c>
      <c r="G348">
        <v>1</v>
      </c>
      <c r="H348" t="s">
        <v>56</v>
      </c>
      <c r="I348" t="s">
        <v>57</v>
      </c>
      <c r="K348" t="s">
        <v>856</v>
      </c>
      <c r="L348" t="s">
        <v>1074</v>
      </c>
      <c r="M348" t="s">
        <v>59</v>
      </c>
      <c r="P348" t="s">
        <v>259</v>
      </c>
      <c r="Q348" t="s">
        <v>502</v>
      </c>
      <c r="R348" t="s">
        <v>260</v>
      </c>
      <c r="S348" t="s">
        <v>98</v>
      </c>
      <c r="T348">
        <v>259.51</v>
      </c>
      <c r="U348">
        <v>251.90199999999999</v>
      </c>
      <c r="V348">
        <f>(T348+U348)/2</f>
        <v>255.70599999999999</v>
      </c>
      <c r="W348">
        <f>T348-U348</f>
        <v>7.6080000000000041</v>
      </c>
      <c r="X348">
        <v>44.416668000000001</v>
      </c>
      <c r="Y348">
        <v>-24</v>
      </c>
      <c r="Z348" t="s">
        <v>99</v>
      </c>
      <c r="AA348" t="s">
        <v>692</v>
      </c>
      <c r="AB348" t="s">
        <v>693</v>
      </c>
      <c r="AD348" t="s">
        <v>694</v>
      </c>
      <c r="AE348" t="s">
        <v>695</v>
      </c>
      <c r="AH348" t="s">
        <v>65</v>
      </c>
      <c r="AI348" t="s">
        <v>1063</v>
      </c>
      <c r="AJ348">
        <v>1926</v>
      </c>
      <c r="AK348" t="s">
        <v>697</v>
      </c>
      <c r="AM348" t="s">
        <v>698</v>
      </c>
      <c r="AN348" t="s">
        <v>121</v>
      </c>
      <c r="AO348" t="s">
        <v>330</v>
      </c>
      <c r="AP348" t="s">
        <v>182</v>
      </c>
      <c r="AQ348" t="s">
        <v>699</v>
      </c>
      <c r="AR348" t="s">
        <v>70</v>
      </c>
      <c r="AS348">
        <v>702</v>
      </c>
      <c r="AT348" t="s">
        <v>71</v>
      </c>
      <c r="AU348">
        <v>22.51</v>
      </c>
      <c r="AV348">
        <v>-42.93</v>
      </c>
      <c r="AW348" t="s">
        <v>72</v>
      </c>
      <c r="AX348">
        <v>702</v>
      </c>
      <c r="AY348" t="s">
        <v>71</v>
      </c>
      <c r="AZ348">
        <v>24.25</v>
      </c>
      <c r="BA348">
        <v>-52.74</v>
      </c>
      <c r="BB348" t="s">
        <v>73</v>
      </c>
    </row>
    <row r="349" spans="1:54" x14ac:dyDescent="0.4">
      <c r="A349">
        <v>1285964</v>
      </c>
      <c r="D349" t="s">
        <v>246</v>
      </c>
      <c r="E349" t="s">
        <v>55</v>
      </c>
      <c r="G349">
        <v>1</v>
      </c>
      <c r="H349" t="s">
        <v>56</v>
      </c>
      <c r="I349" t="s">
        <v>57</v>
      </c>
      <c r="K349" t="s">
        <v>856</v>
      </c>
      <c r="L349" t="s">
        <v>1074</v>
      </c>
      <c r="M349" t="s">
        <v>59</v>
      </c>
      <c r="P349" t="s">
        <v>259</v>
      </c>
      <c r="Q349" t="s">
        <v>502</v>
      </c>
      <c r="R349" t="s">
        <v>260</v>
      </c>
      <c r="S349" t="s">
        <v>98</v>
      </c>
      <c r="T349">
        <v>259.51</v>
      </c>
      <c r="U349">
        <v>251.90199999999999</v>
      </c>
      <c r="V349">
        <f>(T349+U349)/2</f>
        <v>255.70599999999999</v>
      </c>
      <c r="W349">
        <f>T349-U349</f>
        <v>7.6080000000000041</v>
      </c>
      <c r="X349">
        <v>44.416668000000001</v>
      </c>
      <c r="Y349">
        <v>-24</v>
      </c>
      <c r="Z349" t="s">
        <v>99</v>
      </c>
      <c r="AA349" t="s">
        <v>692</v>
      </c>
      <c r="AB349" t="s">
        <v>693</v>
      </c>
      <c r="AD349" t="s">
        <v>694</v>
      </c>
      <c r="AE349" t="s">
        <v>695</v>
      </c>
      <c r="AH349" t="s">
        <v>65</v>
      </c>
      <c r="AI349" t="s">
        <v>1063</v>
      </c>
      <c r="AJ349">
        <v>1926</v>
      </c>
      <c r="AK349" t="s">
        <v>697</v>
      </c>
      <c r="AM349" t="s">
        <v>698</v>
      </c>
      <c r="AN349" t="s">
        <v>121</v>
      </c>
      <c r="AO349" t="s">
        <v>330</v>
      </c>
      <c r="AP349" t="s">
        <v>182</v>
      </c>
      <c r="AQ349" t="s">
        <v>699</v>
      </c>
      <c r="AR349" t="s">
        <v>70</v>
      </c>
      <c r="AS349">
        <v>702</v>
      </c>
      <c r="AT349" t="s">
        <v>71</v>
      </c>
      <c r="AU349">
        <v>22.51</v>
      </c>
      <c r="AV349">
        <v>-42.93</v>
      </c>
      <c r="AW349" t="s">
        <v>72</v>
      </c>
      <c r="AX349">
        <v>702</v>
      </c>
      <c r="AY349" t="s">
        <v>71</v>
      </c>
      <c r="AZ349">
        <v>24.25</v>
      </c>
      <c r="BA349">
        <v>-52.74</v>
      </c>
      <c r="BB349" t="s">
        <v>73</v>
      </c>
    </row>
    <row r="350" spans="1:54" x14ac:dyDescent="0.4">
      <c r="A350">
        <v>1285964</v>
      </c>
      <c r="D350" t="s">
        <v>246</v>
      </c>
      <c r="E350" t="s">
        <v>55</v>
      </c>
      <c r="G350">
        <v>1</v>
      </c>
      <c r="H350" t="s">
        <v>56</v>
      </c>
      <c r="I350" t="s">
        <v>57</v>
      </c>
      <c r="K350" t="s">
        <v>856</v>
      </c>
      <c r="L350" t="s">
        <v>1074</v>
      </c>
      <c r="M350" t="s">
        <v>59</v>
      </c>
      <c r="P350" t="s">
        <v>259</v>
      </c>
      <c r="Q350" t="s">
        <v>502</v>
      </c>
      <c r="R350" t="s">
        <v>260</v>
      </c>
      <c r="S350" t="s">
        <v>98</v>
      </c>
      <c r="T350">
        <v>259.51</v>
      </c>
      <c r="U350">
        <v>251.90199999999999</v>
      </c>
      <c r="V350">
        <f>(T350+U350)/2</f>
        <v>255.70599999999999</v>
      </c>
      <c r="W350">
        <f>T350-U350</f>
        <v>7.6080000000000041</v>
      </c>
      <c r="X350">
        <v>44.416668000000001</v>
      </c>
      <c r="Y350">
        <v>-24</v>
      </c>
      <c r="Z350" t="s">
        <v>99</v>
      </c>
      <c r="AA350" t="s">
        <v>692</v>
      </c>
      <c r="AB350" t="s">
        <v>693</v>
      </c>
      <c r="AD350" t="s">
        <v>694</v>
      </c>
      <c r="AE350" t="s">
        <v>695</v>
      </c>
      <c r="AH350" t="s">
        <v>65</v>
      </c>
      <c r="AI350" t="s">
        <v>1063</v>
      </c>
      <c r="AJ350">
        <v>1926</v>
      </c>
      <c r="AK350" t="s">
        <v>697</v>
      </c>
      <c r="AM350" t="s">
        <v>698</v>
      </c>
      <c r="AN350" t="s">
        <v>121</v>
      </c>
      <c r="AO350" t="s">
        <v>330</v>
      </c>
      <c r="AP350" t="s">
        <v>182</v>
      </c>
      <c r="AQ350" t="s">
        <v>699</v>
      </c>
      <c r="AR350" t="s">
        <v>70</v>
      </c>
      <c r="AS350">
        <v>702</v>
      </c>
      <c r="AT350" t="s">
        <v>71</v>
      </c>
      <c r="AU350">
        <v>22.51</v>
      </c>
      <c r="AV350">
        <v>-42.93</v>
      </c>
      <c r="AW350" t="s">
        <v>72</v>
      </c>
      <c r="AX350">
        <v>702</v>
      </c>
      <c r="AY350" t="s">
        <v>71</v>
      </c>
      <c r="AZ350">
        <v>24.25</v>
      </c>
      <c r="BA350">
        <v>-52.74</v>
      </c>
      <c r="BB350" t="s">
        <v>73</v>
      </c>
    </row>
    <row r="351" spans="1:54" x14ac:dyDescent="0.4">
      <c r="A351">
        <v>1285964</v>
      </c>
      <c r="D351" t="s">
        <v>246</v>
      </c>
      <c r="E351" t="s">
        <v>55</v>
      </c>
      <c r="G351">
        <v>1</v>
      </c>
      <c r="H351" t="s">
        <v>56</v>
      </c>
      <c r="I351" t="s">
        <v>57</v>
      </c>
      <c r="K351" t="s">
        <v>856</v>
      </c>
      <c r="L351" t="s">
        <v>1074</v>
      </c>
      <c r="M351" t="s">
        <v>59</v>
      </c>
      <c r="P351" t="s">
        <v>259</v>
      </c>
      <c r="Q351" t="s">
        <v>502</v>
      </c>
      <c r="R351" t="s">
        <v>260</v>
      </c>
      <c r="S351" t="s">
        <v>98</v>
      </c>
      <c r="T351">
        <v>259.51</v>
      </c>
      <c r="U351">
        <v>251.90199999999999</v>
      </c>
      <c r="V351">
        <f>(T351+U351)/2</f>
        <v>255.70599999999999</v>
      </c>
      <c r="W351">
        <f>T351-U351</f>
        <v>7.6080000000000041</v>
      </c>
      <c r="X351">
        <v>44.416668000000001</v>
      </c>
      <c r="Y351">
        <v>-24</v>
      </c>
      <c r="Z351" t="s">
        <v>99</v>
      </c>
      <c r="AA351" t="s">
        <v>692</v>
      </c>
      <c r="AB351" t="s">
        <v>693</v>
      </c>
      <c r="AD351" t="s">
        <v>694</v>
      </c>
      <c r="AE351" t="s">
        <v>695</v>
      </c>
      <c r="AH351" t="s">
        <v>65</v>
      </c>
      <c r="AI351" t="s">
        <v>1063</v>
      </c>
      <c r="AJ351">
        <v>1926</v>
      </c>
      <c r="AK351" t="s">
        <v>697</v>
      </c>
      <c r="AM351" t="s">
        <v>698</v>
      </c>
      <c r="AN351" t="s">
        <v>121</v>
      </c>
      <c r="AO351" t="s">
        <v>330</v>
      </c>
      <c r="AP351" t="s">
        <v>182</v>
      </c>
      <c r="AQ351" t="s">
        <v>699</v>
      </c>
      <c r="AR351" t="s">
        <v>70</v>
      </c>
      <c r="AS351">
        <v>702</v>
      </c>
      <c r="AT351" t="s">
        <v>71</v>
      </c>
      <c r="AU351">
        <v>22.51</v>
      </c>
      <c r="AV351">
        <v>-42.93</v>
      </c>
      <c r="AW351" t="s">
        <v>72</v>
      </c>
      <c r="AX351">
        <v>702</v>
      </c>
      <c r="AY351" t="s">
        <v>71</v>
      </c>
      <c r="AZ351">
        <v>24.25</v>
      </c>
      <c r="BA351">
        <v>-52.74</v>
      </c>
      <c r="BB351" t="s">
        <v>73</v>
      </c>
    </row>
    <row r="352" spans="1:54" x14ac:dyDescent="0.4">
      <c r="A352">
        <v>1285964</v>
      </c>
      <c r="D352" t="s">
        <v>246</v>
      </c>
      <c r="E352" t="s">
        <v>55</v>
      </c>
      <c r="G352">
        <v>1</v>
      </c>
      <c r="H352" t="s">
        <v>56</v>
      </c>
      <c r="I352" t="s">
        <v>57</v>
      </c>
      <c r="K352" t="s">
        <v>856</v>
      </c>
      <c r="L352" t="s">
        <v>1074</v>
      </c>
      <c r="M352" t="s">
        <v>59</v>
      </c>
      <c r="P352" t="s">
        <v>259</v>
      </c>
      <c r="Q352" t="s">
        <v>502</v>
      </c>
      <c r="R352" t="s">
        <v>260</v>
      </c>
      <c r="S352" t="s">
        <v>98</v>
      </c>
      <c r="T352">
        <v>259.51</v>
      </c>
      <c r="U352">
        <v>251.90199999999999</v>
      </c>
      <c r="V352">
        <f>(T352+U352)/2</f>
        <v>255.70599999999999</v>
      </c>
      <c r="W352">
        <f>T352-U352</f>
        <v>7.6080000000000041</v>
      </c>
      <c r="X352">
        <v>44.416668000000001</v>
      </c>
      <c r="Y352">
        <v>-24</v>
      </c>
      <c r="Z352" t="s">
        <v>99</v>
      </c>
      <c r="AA352" t="s">
        <v>692</v>
      </c>
      <c r="AB352" t="s">
        <v>693</v>
      </c>
      <c r="AD352" t="s">
        <v>694</v>
      </c>
      <c r="AE352" t="s">
        <v>695</v>
      </c>
      <c r="AH352" t="s">
        <v>65</v>
      </c>
      <c r="AI352" t="s">
        <v>1063</v>
      </c>
      <c r="AJ352">
        <v>1926</v>
      </c>
      <c r="AK352" t="s">
        <v>697</v>
      </c>
      <c r="AM352" t="s">
        <v>698</v>
      </c>
      <c r="AN352" t="s">
        <v>121</v>
      </c>
      <c r="AO352" t="s">
        <v>330</v>
      </c>
      <c r="AP352" t="s">
        <v>182</v>
      </c>
      <c r="AQ352" t="s">
        <v>699</v>
      </c>
      <c r="AR352" t="s">
        <v>70</v>
      </c>
      <c r="AS352">
        <v>702</v>
      </c>
      <c r="AT352" t="s">
        <v>71</v>
      </c>
      <c r="AU352">
        <v>22.51</v>
      </c>
      <c r="AV352">
        <v>-42.93</v>
      </c>
      <c r="AW352" t="s">
        <v>72</v>
      </c>
      <c r="AX352">
        <v>702</v>
      </c>
      <c r="AY352" t="s">
        <v>71</v>
      </c>
      <c r="AZ352">
        <v>24.25</v>
      </c>
      <c r="BA352">
        <v>-52.74</v>
      </c>
      <c r="BB352" t="s">
        <v>73</v>
      </c>
    </row>
    <row r="353" spans="1:54" x14ac:dyDescent="0.4">
      <c r="A353">
        <v>1285964</v>
      </c>
      <c r="D353" t="s">
        <v>246</v>
      </c>
      <c r="E353" t="s">
        <v>55</v>
      </c>
      <c r="G353">
        <v>1</v>
      </c>
      <c r="H353" t="s">
        <v>56</v>
      </c>
      <c r="I353" t="s">
        <v>57</v>
      </c>
      <c r="K353" t="s">
        <v>856</v>
      </c>
      <c r="L353" t="s">
        <v>1074</v>
      </c>
      <c r="M353" t="s">
        <v>59</v>
      </c>
      <c r="P353" t="s">
        <v>259</v>
      </c>
      <c r="Q353" t="s">
        <v>502</v>
      </c>
      <c r="R353" t="s">
        <v>260</v>
      </c>
      <c r="S353" t="s">
        <v>98</v>
      </c>
      <c r="T353">
        <v>259.51</v>
      </c>
      <c r="U353">
        <v>251.90199999999999</v>
      </c>
      <c r="V353">
        <f>(T353+U353)/2</f>
        <v>255.70599999999999</v>
      </c>
      <c r="W353">
        <f>T353-U353</f>
        <v>7.6080000000000041</v>
      </c>
      <c r="X353">
        <v>44.416668000000001</v>
      </c>
      <c r="Y353">
        <v>-24</v>
      </c>
      <c r="Z353" t="s">
        <v>99</v>
      </c>
      <c r="AA353" t="s">
        <v>692</v>
      </c>
      <c r="AB353" t="s">
        <v>693</v>
      </c>
      <c r="AD353" t="s">
        <v>694</v>
      </c>
      <c r="AE353" t="s">
        <v>695</v>
      </c>
      <c r="AH353" t="s">
        <v>65</v>
      </c>
      <c r="AI353" t="s">
        <v>1063</v>
      </c>
      <c r="AJ353">
        <v>1926</v>
      </c>
      <c r="AK353" t="s">
        <v>697</v>
      </c>
      <c r="AM353" t="s">
        <v>698</v>
      </c>
      <c r="AN353" t="s">
        <v>121</v>
      </c>
      <c r="AO353" t="s">
        <v>330</v>
      </c>
      <c r="AP353" t="s">
        <v>182</v>
      </c>
      <c r="AQ353" t="s">
        <v>699</v>
      </c>
      <c r="AR353" t="s">
        <v>70</v>
      </c>
      <c r="AS353">
        <v>702</v>
      </c>
      <c r="AT353" t="s">
        <v>71</v>
      </c>
      <c r="AU353">
        <v>22.51</v>
      </c>
      <c r="AV353">
        <v>-42.93</v>
      </c>
      <c r="AW353" t="s">
        <v>72</v>
      </c>
      <c r="AX353">
        <v>702</v>
      </c>
      <c r="AY353" t="s">
        <v>71</v>
      </c>
      <c r="AZ353">
        <v>24.25</v>
      </c>
      <c r="BA353">
        <v>-52.74</v>
      </c>
      <c r="BB353" t="s">
        <v>73</v>
      </c>
    </row>
    <row r="354" spans="1:54" x14ac:dyDescent="0.4">
      <c r="A354">
        <v>1285964</v>
      </c>
      <c r="D354" t="s">
        <v>246</v>
      </c>
      <c r="E354" t="s">
        <v>55</v>
      </c>
      <c r="G354">
        <v>1</v>
      </c>
      <c r="H354" t="s">
        <v>56</v>
      </c>
      <c r="I354" t="s">
        <v>57</v>
      </c>
      <c r="K354" t="s">
        <v>856</v>
      </c>
      <c r="L354" t="s">
        <v>1074</v>
      </c>
      <c r="M354" t="s">
        <v>59</v>
      </c>
      <c r="P354" t="s">
        <v>259</v>
      </c>
      <c r="Q354" t="s">
        <v>502</v>
      </c>
      <c r="R354" t="s">
        <v>260</v>
      </c>
      <c r="S354" t="s">
        <v>98</v>
      </c>
      <c r="T354">
        <v>259.51</v>
      </c>
      <c r="U354">
        <v>251.90199999999999</v>
      </c>
      <c r="V354">
        <f>(T354+U354)/2</f>
        <v>255.70599999999999</v>
      </c>
      <c r="W354">
        <f>T354-U354</f>
        <v>7.6080000000000041</v>
      </c>
      <c r="X354">
        <v>44.416668000000001</v>
      </c>
      <c r="Y354">
        <v>-24</v>
      </c>
      <c r="Z354" t="s">
        <v>99</v>
      </c>
      <c r="AA354" t="s">
        <v>692</v>
      </c>
      <c r="AB354" t="s">
        <v>693</v>
      </c>
      <c r="AD354" t="s">
        <v>694</v>
      </c>
      <c r="AE354" t="s">
        <v>695</v>
      </c>
      <c r="AH354" t="s">
        <v>65</v>
      </c>
      <c r="AI354" t="s">
        <v>1063</v>
      </c>
      <c r="AJ354">
        <v>1926</v>
      </c>
      <c r="AK354" t="s">
        <v>697</v>
      </c>
      <c r="AM354" t="s">
        <v>698</v>
      </c>
      <c r="AN354" t="s">
        <v>121</v>
      </c>
      <c r="AO354" t="s">
        <v>330</v>
      </c>
      <c r="AP354" t="s">
        <v>182</v>
      </c>
      <c r="AQ354" t="s">
        <v>699</v>
      </c>
      <c r="AR354" t="s">
        <v>70</v>
      </c>
      <c r="AS354">
        <v>702</v>
      </c>
      <c r="AT354" t="s">
        <v>71</v>
      </c>
      <c r="AU354">
        <v>22.51</v>
      </c>
      <c r="AV354">
        <v>-42.93</v>
      </c>
      <c r="AW354" t="s">
        <v>72</v>
      </c>
      <c r="AX354">
        <v>702</v>
      </c>
      <c r="AY354" t="s">
        <v>71</v>
      </c>
      <c r="AZ354">
        <v>24.25</v>
      </c>
      <c r="BA354">
        <v>-52.74</v>
      </c>
      <c r="BB354" t="s">
        <v>73</v>
      </c>
    </row>
    <row r="355" spans="1:54" x14ac:dyDescent="0.4">
      <c r="A355">
        <v>1285964</v>
      </c>
      <c r="D355" t="s">
        <v>246</v>
      </c>
      <c r="E355" t="s">
        <v>55</v>
      </c>
      <c r="G355">
        <v>1</v>
      </c>
      <c r="H355" t="s">
        <v>56</v>
      </c>
      <c r="I355" t="s">
        <v>57</v>
      </c>
      <c r="K355" t="s">
        <v>856</v>
      </c>
      <c r="L355" t="s">
        <v>1074</v>
      </c>
      <c r="M355" t="s">
        <v>59</v>
      </c>
      <c r="P355" t="s">
        <v>259</v>
      </c>
      <c r="Q355" t="s">
        <v>502</v>
      </c>
      <c r="R355" t="s">
        <v>260</v>
      </c>
      <c r="S355" t="s">
        <v>98</v>
      </c>
      <c r="T355">
        <v>259.51</v>
      </c>
      <c r="U355">
        <v>251.90199999999999</v>
      </c>
      <c r="V355">
        <f>(T355+U355)/2</f>
        <v>255.70599999999999</v>
      </c>
      <c r="W355">
        <f>T355-U355</f>
        <v>7.6080000000000041</v>
      </c>
      <c r="X355">
        <v>44.416668000000001</v>
      </c>
      <c r="Y355">
        <v>-24</v>
      </c>
      <c r="Z355" t="s">
        <v>99</v>
      </c>
      <c r="AA355" t="s">
        <v>692</v>
      </c>
      <c r="AB355" t="s">
        <v>693</v>
      </c>
      <c r="AD355" t="s">
        <v>694</v>
      </c>
      <c r="AE355" t="s">
        <v>695</v>
      </c>
      <c r="AH355" t="s">
        <v>65</v>
      </c>
      <c r="AI355" t="s">
        <v>1063</v>
      </c>
      <c r="AJ355">
        <v>1926</v>
      </c>
      <c r="AK355" t="s">
        <v>697</v>
      </c>
      <c r="AM355" t="s">
        <v>698</v>
      </c>
      <c r="AN355" t="s">
        <v>121</v>
      </c>
      <c r="AO355" t="s">
        <v>330</v>
      </c>
      <c r="AP355" t="s">
        <v>182</v>
      </c>
      <c r="AQ355" t="s">
        <v>699</v>
      </c>
      <c r="AR355" t="s">
        <v>70</v>
      </c>
      <c r="AS355">
        <v>702</v>
      </c>
      <c r="AT355" t="s">
        <v>71</v>
      </c>
      <c r="AU355">
        <v>22.51</v>
      </c>
      <c r="AV355">
        <v>-42.93</v>
      </c>
      <c r="AW355" t="s">
        <v>72</v>
      </c>
      <c r="AX355">
        <v>702</v>
      </c>
      <c r="AY355" t="s">
        <v>71</v>
      </c>
      <c r="AZ355">
        <v>24.25</v>
      </c>
      <c r="BA355">
        <v>-52.74</v>
      </c>
      <c r="BB355" t="s">
        <v>73</v>
      </c>
    </row>
    <row r="356" spans="1:54" x14ac:dyDescent="0.4">
      <c r="A356">
        <v>1285964</v>
      </c>
      <c r="D356" t="s">
        <v>246</v>
      </c>
      <c r="E356" t="s">
        <v>55</v>
      </c>
      <c r="G356">
        <v>1</v>
      </c>
      <c r="H356" t="s">
        <v>56</v>
      </c>
      <c r="I356" t="s">
        <v>57</v>
      </c>
      <c r="K356" t="s">
        <v>856</v>
      </c>
      <c r="L356" t="s">
        <v>1074</v>
      </c>
      <c r="M356" t="s">
        <v>59</v>
      </c>
      <c r="P356" t="s">
        <v>259</v>
      </c>
      <c r="Q356" t="s">
        <v>502</v>
      </c>
      <c r="R356" t="s">
        <v>260</v>
      </c>
      <c r="S356" t="s">
        <v>98</v>
      </c>
      <c r="T356">
        <v>259.51</v>
      </c>
      <c r="U356">
        <v>251.90199999999999</v>
      </c>
      <c r="V356">
        <f>(T356+U356)/2</f>
        <v>255.70599999999999</v>
      </c>
      <c r="W356">
        <f>T356-U356</f>
        <v>7.6080000000000041</v>
      </c>
      <c r="X356">
        <v>44.416668000000001</v>
      </c>
      <c r="Y356">
        <v>-24</v>
      </c>
      <c r="Z356" t="s">
        <v>99</v>
      </c>
      <c r="AA356" t="s">
        <v>692</v>
      </c>
      <c r="AB356" t="s">
        <v>693</v>
      </c>
      <c r="AD356" t="s">
        <v>694</v>
      </c>
      <c r="AE356" t="s">
        <v>695</v>
      </c>
      <c r="AH356" t="s">
        <v>65</v>
      </c>
      <c r="AI356" t="s">
        <v>1063</v>
      </c>
      <c r="AJ356">
        <v>1926</v>
      </c>
      <c r="AK356" t="s">
        <v>697</v>
      </c>
      <c r="AM356" t="s">
        <v>698</v>
      </c>
      <c r="AN356" t="s">
        <v>121</v>
      </c>
      <c r="AO356" t="s">
        <v>330</v>
      </c>
      <c r="AP356" t="s">
        <v>182</v>
      </c>
      <c r="AQ356" t="s">
        <v>699</v>
      </c>
      <c r="AR356" t="s">
        <v>70</v>
      </c>
      <c r="AS356">
        <v>702</v>
      </c>
      <c r="AT356" t="s">
        <v>71</v>
      </c>
      <c r="AU356">
        <v>22.51</v>
      </c>
      <c r="AV356">
        <v>-42.93</v>
      </c>
      <c r="AW356" t="s">
        <v>72</v>
      </c>
      <c r="AX356">
        <v>702</v>
      </c>
      <c r="AY356" t="s">
        <v>71</v>
      </c>
      <c r="AZ356">
        <v>24.25</v>
      </c>
      <c r="BA356">
        <v>-52.74</v>
      </c>
      <c r="BB356" t="s">
        <v>73</v>
      </c>
    </row>
    <row r="357" spans="1:54" x14ac:dyDescent="0.4">
      <c r="A357">
        <v>1285964</v>
      </c>
      <c r="D357" t="s">
        <v>246</v>
      </c>
      <c r="E357" t="s">
        <v>55</v>
      </c>
      <c r="G357">
        <v>1</v>
      </c>
      <c r="H357" t="s">
        <v>56</v>
      </c>
      <c r="I357" t="s">
        <v>57</v>
      </c>
      <c r="K357" t="s">
        <v>856</v>
      </c>
      <c r="L357" t="s">
        <v>1074</v>
      </c>
      <c r="M357" t="s">
        <v>59</v>
      </c>
      <c r="P357" t="s">
        <v>259</v>
      </c>
      <c r="Q357" t="s">
        <v>502</v>
      </c>
      <c r="R357" t="s">
        <v>260</v>
      </c>
      <c r="S357" t="s">
        <v>98</v>
      </c>
      <c r="T357">
        <v>259.51</v>
      </c>
      <c r="U357">
        <v>251.90199999999999</v>
      </c>
      <c r="V357">
        <f>(T357+U357)/2</f>
        <v>255.70599999999999</v>
      </c>
      <c r="W357">
        <f>T357-U357</f>
        <v>7.6080000000000041</v>
      </c>
      <c r="X357">
        <v>44.416668000000001</v>
      </c>
      <c r="Y357">
        <v>-24</v>
      </c>
      <c r="Z357" t="s">
        <v>99</v>
      </c>
      <c r="AA357" t="s">
        <v>692</v>
      </c>
      <c r="AB357" t="s">
        <v>693</v>
      </c>
      <c r="AD357" t="s">
        <v>694</v>
      </c>
      <c r="AE357" t="s">
        <v>695</v>
      </c>
      <c r="AH357" t="s">
        <v>65</v>
      </c>
      <c r="AI357" t="s">
        <v>1063</v>
      </c>
      <c r="AJ357">
        <v>1926</v>
      </c>
      <c r="AK357" t="s">
        <v>697</v>
      </c>
      <c r="AM357" t="s">
        <v>698</v>
      </c>
      <c r="AN357" t="s">
        <v>121</v>
      </c>
      <c r="AO357" t="s">
        <v>330</v>
      </c>
      <c r="AP357" t="s">
        <v>182</v>
      </c>
      <c r="AQ357" t="s">
        <v>699</v>
      </c>
      <c r="AR357" t="s">
        <v>70</v>
      </c>
      <c r="AS357">
        <v>702</v>
      </c>
      <c r="AT357" t="s">
        <v>71</v>
      </c>
      <c r="AU357">
        <v>22.51</v>
      </c>
      <c r="AV357">
        <v>-42.93</v>
      </c>
      <c r="AW357" t="s">
        <v>72</v>
      </c>
      <c r="AX357">
        <v>702</v>
      </c>
      <c r="AY357" t="s">
        <v>71</v>
      </c>
      <c r="AZ357">
        <v>24.25</v>
      </c>
      <c r="BA357">
        <v>-52.74</v>
      </c>
      <c r="BB357" t="s">
        <v>73</v>
      </c>
    </row>
    <row r="358" spans="1:54" x14ac:dyDescent="0.4">
      <c r="A358">
        <v>1285964</v>
      </c>
      <c r="D358" t="s">
        <v>246</v>
      </c>
      <c r="E358" t="s">
        <v>55</v>
      </c>
      <c r="G358">
        <v>1</v>
      </c>
      <c r="H358" t="s">
        <v>56</v>
      </c>
      <c r="I358" t="s">
        <v>57</v>
      </c>
      <c r="K358" t="s">
        <v>856</v>
      </c>
      <c r="L358" t="s">
        <v>1074</v>
      </c>
      <c r="M358" t="s">
        <v>59</v>
      </c>
      <c r="P358" t="s">
        <v>259</v>
      </c>
      <c r="Q358" t="s">
        <v>502</v>
      </c>
      <c r="R358" t="s">
        <v>260</v>
      </c>
      <c r="S358" t="s">
        <v>98</v>
      </c>
      <c r="T358">
        <v>259.51</v>
      </c>
      <c r="U358">
        <v>251.90199999999999</v>
      </c>
      <c r="V358">
        <f>(T358+U358)/2</f>
        <v>255.70599999999999</v>
      </c>
      <c r="W358">
        <f>T358-U358</f>
        <v>7.6080000000000041</v>
      </c>
      <c r="X358">
        <v>44.416668000000001</v>
      </c>
      <c r="Y358">
        <v>-24</v>
      </c>
      <c r="Z358" t="s">
        <v>99</v>
      </c>
      <c r="AA358" t="s">
        <v>692</v>
      </c>
      <c r="AB358" t="s">
        <v>693</v>
      </c>
      <c r="AD358" t="s">
        <v>694</v>
      </c>
      <c r="AE358" t="s">
        <v>695</v>
      </c>
      <c r="AH358" t="s">
        <v>65</v>
      </c>
      <c r="AI358" t="s">
        <v>1063</v>
      </c>
      <c r="AJ358">
        <v>1926</v>
      </c>
      <c r="AK358" t="s">
        <v>697</v>
      </c>
      <c r="AM358" t="s">
        <v>698</v>
      </c>
      <c r="AN358" t="s">
        <v>121</v>
      </c>
      <c r="AO358" t="s">
        <v>330</v>
      </c>
      <c r="AP358" t="s">
        <v>182</v>
      </c>
      <c r="AQ358" t="s">
        <v>699</v>
      </c>
      <c r="AR358" t="s">
        <v>70</v>
      </c>
      <c r="AS358">
        <v>702</v>
      </c>
      <c r="AT358" t="s">
        <v>71</v>
      </c>
      <c r="AU358">
        <v>22.51</v>
      </c>
      <c r="AV358">
        <v>-42.93</v>
      </c>
      <c r="AW358" t="s">
        <v>72</v>
      </c>
      <c r="AX358">
        <v>702</v>
      </c>
      <c r="AY358" t="s">
        <v>71</v>
      </c>
      <c r="AZ358">
        <v>24.25</v>
      </c>
      <c r="BA358">
        <v>-52.74</v>
      </c>
      <c r="BB358" t="s">
        <v>73</v>
      </c>
    </row>
    <row r="359" spans="1:54" x14ac:dyDescent="0.4">
      <c r="A359">
        <v>1285964</v>
      </c>
      <c r="D359" t="s">
        <v>246</v>
      </c>
      <c r="E359" t="s">
        <v>55</v>
      </c>
      <c r="G359">
        <v>1</v>
      </c>
      <c r="H359" t="s">
        <v>56</v>
      </c>
      <c r="I359" t="s">
        <v>57</v>
      </c>
      <c r="K359" t="s">
        <v>856</v>
      </c>
      <c r="L359" t="s">
        <v>1074</v>
      </c>
      <c r="M359" t="s">
        <v>59</v>
      </c>
      <c r="P359" t="s">
        <v>259</v>
      </c>
      <c r="Q359" t="s">
        <v>502</v>
      </c>
      <c r="R359" t="s">
        <v>260</v>
      </c>
      <c r="S359" t="s">
        <v>98</v>
      </c>
      <c r="T359">
        <v>259.51</v>
      </c>
      <c r="U359">
        <v>251.90199999999999</v>
      </c>
      <c r="V359">
        <f>(T359+U359)/2</f>
        <v>255.70599999999999</v>
      </c>
      <c r="W359">
        <f>T359-U359</f>
        <v>7.6080000000000041</v>
      </c>
      <c r="X359">
        <v>44.416668000000001</v>
      </c>
      <c r="Y359">
        <v>-24</v>
      </c>
      <c r="Z359" t="s">
        <v>99</v>
      </c>
      <c r="AA359" t="s">
        <v>692</v>
      </c>
      <c r="AB359" t="s">
        <v>693</v>
      </c>
      <c r="AD359" t="s">
        <v>694</v>
      </c>
      <c r="AE359" t="s">
        <v>695</v>
      </c>
      <c r="AH359" t="s">
        <v>65</v>
      </c>
      <c r="AI359" t="s">
        <v>1063</v>
      </c>
      <c r="AJ359">
        <v>1926</v>
      </c>
      <c r="AK359" t="s">
        <v>697</v>
      </c>
      <c r="AM359" t="s">
        <v>698</v>
      </c>
      <c r="AN359" t="s">
        <v>121</v>
      </c>
      <c r="AO359" t="s">
        <v>330</v>
      </c>
      <c r="AP359" t="s">
        <v>182</v>
      </c>
      <c r="AQ359" t="s">
        <v>699</v>
      </c>
      <c r="AR359" t="s">
        <v>70</v>
      </c>
      <c r="AS359">
        <v>702</v>
      </c>
      <c r="AT359" t="s">
        <v>71</v>
      </c>
      <c r="AU359">
        <v>22.51</v>
      </c>
      <c r="AV359">
        <v>-42.93</v>
      </c>
      <c r="AW359" t="s">
        <v>72</v>
      </c>
      <c r="AX359">
        <v>702</v>
      </c>
      <c r="AY359" t="s">
        <v>71</v>
      </c>
      <c r="AZ359">
        <v>24.25</v>
      </c>
      <c r="BA359">
        <v>-52.74</v>
      </c>
      <c r="BB359" t="s">
        <v>73</v>
      </c>
    </row>
    <row r="360" spans="1:54" x14ac:dyDescent="0.4">
      <c r="A360">
        <v>1285964</v>
      </c>
      <c r="D360" t="s">
        <v>246</v>
      </c>
      <c r="E360" t="s">
        <v>55</v>
      </c>
      <c r="G360">
        <v>1</v>
      </c>
      <c r="H360" t="s">
        <v>56</v>
      </c>
      <c r="I360" t="s">
        <v>57</v>
      </c>
      <c r="K360" t="s">
        <v>856</v>
      </c>
      <c r="L360" t="s">
        <v>1074</v>
      </c>
      <c r="M360" t="s">
        <v>59</v>
      </c>
      <c r="P360" t="s">
        <v>259</v>
      </c>
      <c r="Q360" t="s">
        <v>502</v>
      </c>
      <c r="R360" t="s">
        <v>260</v>
      </c>
      <c r="S360" t="s">
        <v>98</v>
      </c>
      <c r="T360">
        <v>259.51</v>
      </c>
      <c r="U360">
        <v>251.90199999999999</v>
      </c>
      <c r="V360">
        <f>(T360+U360)/2</f>
        <v>255.70599999999999</v>
      </c>
      <c r="W360">
        <f>T360-U360</f>
        <v>7.6080000000000041</v>
      </c>
      <c r="X360">
        <v>44.416668000000001</v>
      </c>
      <c r="Y360">
        <v>-24</v>
      </c>
      <c r="Z360" t="s">
        <v>99</v>
      </c>
      <c r="AA360" t="s">
        <v>692</v>
      </c>
      <c r="AB360" t="s">
        <v>693</v>
      </c>
      <c r="AD360" t="s">
        <v>694</v>
      </c>
      <c r="AE360" t="s">
        <v>695</v>
      </c>
      <c r="AH360" t="s">
        <v>65</v>
      </c>
      <c r="AI360" t="s">
        <v>1063</v>
      </c>
      <c r="AJ360">
        <v>1926</v>
      </c>
      <c r="AK360" t="s">
        <v>697</v>
      </c>
      <c r="AM360" t="s">
        <v>698</v>
      </c>
      <c r="AN360" t="s">
        <v>121</v>
      </c>
      <c r="AO360" t="s">
        <v>330</v>
      </c>
      <c r="AP360" t="s">
        <v>182</v>
      </c>
      <c r="AQ360" t="s">
        <v>699</v>
      </c>
      <c r="AR360" t="s">
        <v>70</v>
      </c>
      <c r="AS360">
        <v>702</v>
      </c>
      <c r="AT360" t="s">
        <v>71</v>
      </c>
      <c r="AU360">
        <v>22.51</v>
      </c>
      <c r="AV360">
        <v>-42.93</v>
      </c>
      <c r="AW360" t="s">
        <v>72</v>
      </c>
      <c r="AX360">
        <v>702</v>
      </c>
      <c r="AY360" t="s">
        <v>71</v>
      </c>
      <c r="AZ360">
        <v>24.25</v>
      </c>
      <c r="BA360">
        <v>-52.74</v>
      </c>
      <c r="BB360" t="s">
        <v>73</v>
      </c>
    </row>
    <row r="361" spans="1:54" x14ac:dyDescent="0.4">
      <c r="A361">
        <v>1285964</v>
      </c>
      <c r="D361" t="s">
        <v>246</v>
      </c>
      <c r="E361" t="s">
        <v>55</v>
      </c>
      <c r="G361">
        <v>1</v>
      </c>
      <c r="H361" t="s">
        <v>56</v>
      </c>
      <c r="I361" t="s">
        <v>57</v>
      </c>
      <c r="K361" t="s">
        <v>856</v>
      </c>
      <c r="L361" t="s">
        <v>1074</v>
      </c>
      <c r="M361" t="s">
        <v>59</v>
      </c>
      <c r="P361" t="s">
        <v>259</v>
      </c>
      <c r="Q361" t="s">
        <v>502</v>
      </c>
      <c r="R361" t="s">
        <v>260</v>
      </c>
      <c r="S361" t="s">
        <v>98</v>
      </c>
      <c r="T361">
        <v>259.51</v>
      </c>
      <c r="U361">
        <v>251.90199999999999</v>
      </c>
      <c r="V361">
        <f>(T361+U361)/2</f>
        <v>255.70599999999999</v>
      </c>
      <c r="W361">
        <f>T361-U361</f>
        <v>7.6080000000000041</v>
      </c>
      <c r="X361">
        <v>44.416668000000001</v>
      </c>
      <c r="Y361">
        <v>-24</v>
      </c>
      <c r="Z361" t="s">
        <v>99</v>
      </c>
      <c r="AA361" t="s">
        <v>692</v>
      </c>
      <c r="AB361" t="s">
        <v>693</v>
      </c>
      <c r="AD361" t="s">
        <v>694</v>
      </c>
      <c r="AE361" t="s">
        <v>695</v>
      </c>
      <c r="AH361" t="s">
        <v>65</v>
      </c>
      <c r="AI361" t="s">
        <v>1063</v>
      </c>
      <c r="AJ361">
        <v>1926</v>
      </c>
      <c r="AK361" t="s">
        <v>697</v>
      </c>
      <c r="AM361" t="s">
        <v>698</v>
      </c>
      <c r="AN361" t="s">
        <v>121</v>
      </c>
      <c r="AO361" t="s">
        <v>330</v>
      </c>
      <c r="AP361" t="s">
        <v>182</v>
      </c>
      <c r="AQ361" t="s">
        <v>699</v>
      </c>
      <c r="AR361" t="s">
        <v>70</v>
      </c>
      <c r="AS361">
        <v>702</v>
      </c>
      <c r="AT361" t="s">
        <v>71</v>
      </c>
      <c r="AU361">
        <v>22.51</v>
      </c>
      <c r="AV361">
        <v>-42.93</v>
      </c>
      <c r="AW361" t="s">
        <v>72</v>
      </c>
      <c r="AX361">
        <v>702</v>
      </c>
      <c r="AY361" t="s">
        <v>71</v>
      </c>
      <c r="AZ361">
        <v>24.25</v>
      </c>
      <c r="BA361">
        <v>-52.74</v>
      </c>
      <c r="BB361" t="s">
        <v>73</v>
      </c>
    </row>
    <row r="362" spans="1:54" x14ac:dyDescent="0.4">
      <c r="A362">
        <v>1285964</v>
      </c>
      <c r="D362" t="s">
        <v>246</v>
      </c>
      <c r="E362" t="s">
        <v>55</v>
      </c>
      <c r="G362">
        <v>1</v>
      </c>
      <c r="H362" t="s">
        <v>56</v>
      </c>
      <c r="I362" t="s">
        <v>57</v>
      </c>
      <c r="K362" t="s">
        <v>856</v>
      </c>
      <c r="L362" t="s">
        <v>1074</v>
      </c>
      <c r="M362" t="s">
        <v>59</v>
      </c>
      <c r="P362" t="s">
        <v>259</v>
      </c>
      <c r="Q362" t="s">
        <v>502</v>
      </c>
      <c r="R362" t="s">
        <v>260</v>
      </c>
      <c r="S362" t="s">
        <v>98</v>
      </c>
      <c r="T362">
        <v>259.51</v>
      </c>
      <c r="U362">
        <v>251.90199999999999</v>
      </c>
      <c r="V362">
        <f>(T362+U362)/2</f>
        <v>255.70599999999999</v>
      </c>
      <c r="W362">
        <f>T362-U362</f>
        <v>7.6080000000000041</v>
      </c>
      <c r="X362">
        <v>44.416668000000001</v>
      </c>
      <c r="Y362">
        <v>-24</v>
      </c>
      <c r="Z362" t="s">
        <v>99</v>
      </c>
      <c r="AA362" t="s">
        <v>692</v>
      </c>
      <c r="AB362" t="s">
        <v>693</v>
      </c>
      <c r="AD362" t="s">
        <v>694</v>
      </c>
      <c r="AE362" t="s">
        <v>695</v>
      </c>
      <c r="AH362" t="s">
        <v>65</v>
      </c>
      <c r="AI362" t="s">
        <v>1063</v>
      </c>
      <c r="AJ362">
        <v>1926</v>
      </c>
      <c r="AK362" t="s">
        <v>697</v>
      </c>
      <c r="AM362" t="s">
        <v>698</v>
      </c>
      <c r="AN362" t="s">
        <v>121</v>
      </c>
      <c r="AO362" t="s">
        <v>330</v>
      </c>
      <c r="AP362" t="s">
        <v>182</v>
      </c>
      <c r="AQ362" t="s">
        <v>699</v>
      </c>
      <c r="AR362" t="s">
        <v>70</v>
      </c>
      <c r="AS362">
        <v>702</v>
      </c>
      <c r="AT362" t="s">
        <v>71</v>
      </c>
      <c r="AU362">
        <v>22.51</v>
      </c>
      <c r="AV362">
        <v>-42.93</v>
      </c>
      <c r="AW362" t="s">
        <v>72</v>
      </c>
      <c r="AX362">
        <v>702</v>
      </c>
      <c r="AY362" t="s">
        <v>71</v>
      </c>
      <c r="AZ362">
        <v>24.25</v>
      </c>
      <c r="BA362">
        <v>-52.74</v>
      </c>
      <c r="BB362" t="s">
        <v>73</v>
      </c>
    </row>
    <row r="363" spans="1:54" x14ac:dyDescent="0.4">
      <c r="A363">
        <v>1285964</v>
      </c>
      <c r="D363" t="s">
        <v>246</v>
      </c>
      <c r="E363" t="s">
        <v>55</v>
      </c>
      <c r="G363">
        <v>1</v>
      </c>
      <c r="H363" t="s">
        <v>56</v>
      </c>
      <c r="I363" t="s">
        <v>57</v>
      </c>
      <c r="K363" t="s">
        <v>856</v>
      </c>
      <c r="L363" t="s">
        <v>1074</v>
      </c>
      <c r="M363" t="s">
        <v>59</v>
      </c>
      <c r="P363" t="s">
        <v>259</v>
      </c>
      <c r="Q363" t="s">
        <v>502</v>
      </c>
      <c r="R363" t="s">
        <v>260</v>
      </c>
      <c r="S363" t="s">
        <v>98</v>
      </c>
      <c r="T363">
        <v>259.51</v>
      </c>
      <c r="U363">
        <v>251.90199999999999</v>
      </c>
      <c r="V363">
        <f>(T363+U363)/2</f>
        <v>255.70599999999999</v>
      </c>
      <c r="W363">
        <f>T363-U363</f>
        <v>7.6080000000000041</v>
      </c>
      <c r="X363">
        <v>44.416668000000001</v>
      </c>
      <c r="Y363">
        <v>-24</v>
      </c>
      <c r="Z363" t="s">
        <v>99</v>
      </c>
      <c r="AA363" t="s">
        <v>692</v>
      </c>
      <c r="AB363" t="s">
        <v>693</v>
      </c>
      <c r="AD363" t="s">
        <v>694</v>
      </c>
      <c r="AE363" t="s">
        <v>695</v>
      </c>
      <c r="AH363" t="s">
        <v>65</v>
      </c>
      <c r="AI363" t="s">
        <v>1063</v>
      </c>
      <c r="AJ363">
        <v>1926</v>
      </c>
      <c r="AK363" t="s">
        <v>697</v>
      </c>
      <c r="AM363" t="s">
        <v>698</v>
      </c>
      <c r="AN363" t="s">
        <v>121</v>
      </c>
      <c r="AO363" t="s">
        <v>330</v>
      </c>
      <c r="AP363" t="s">
        <v>182</v>
      </c>
      <c r="AQ363" t="s">
        <v>699</v>
      </c>
      <c r="AR363" t="s">
        <v>70</v>
      </c>
      <c r="AS363">
        <v>702</v>
      </c>
      <c r="AT363" t="s">
        <v>71</v>
      </c>
      <c r="AU363">
        <v>22.51</v>
      </c>
      <c r="AV363">
        <v>-42.93</v>
      </c>
      <c r="AW363" t="s">
        <v>72</v>
      </c>
      <c r="AX363">
        <v>702</v>
      </c>
      <c r="AY363" t="s">
        <v>71</v>
      </c>
      <c r="AZ363">
        <v>24.25</v>
      </c>
      <c r="BA363">
        <v>-52.74</v>
      </c>
      <c r="BB363" t="s">
        <v>73</v>
      </c>
    </row>
    <row r="364" spans="1:54" x14ac:dyDescent="0.4">
      <c r="A364">
        <v>1285964</v>
      </c>
      <c r="D364" t="s">
        <v>246</v>
      </c>
      <c r="E364" t="s">
        <v>55</v>
      </c>
      <c r="G364">
        <v>1</v>
      </c>
      <c r="H364" t="s">
        <v>56</v>
      </c>
      <c r="I364" t="s">
        <v>57</v>
      </c>
      <c r="K364" t="s">
        <v>856</v>
      </c>
      <c r="L364" t="s">
        <v>1074</v>
      </c>
      <c r="M364" t="s">
        <v>59</v>
      </c>
      <c r="P364" t="s">
        <v>259</v>
      </c>
      <c r="Q364" t="s">
        <v>502</v>
      </c>
      <c r="R364" t="s">
        <v>260</v>
      </c>
      <c r="S364" t="s">
        <v>98</v>
      </c>
      <c r="T364">
        <v>259.51</v>
      </c>
      <c r="U364">
        <v>251.90199999999999</v>
      </c>
      <c r="V364">
        <f>(T364+U364)/2</f>
        <v>255.70599999999999</v>
      </c>
      <c r="W364">
        <f>T364-U364</f>
        <v>7.6080000000000041</v>
      </c>
      <c r="X364">
        <v>44.416668000000001</v>
      </c>
      <c r="Y364">
        <v>-24</v>
      </c>
      <c r="Z364" t="s">
        <v>99</v>
      </c>
      <c r="AA364" t="s">
        <v>692</v>
      </c>
      <c r="AB364" t="s">
        <v>693</v>
      </c>
      <c r="AD364" t="s">
        <v>694</v>
      </c>
      <c r="AE364" t="s">
        <v>695</v>
      </c>
      <c r="AH364" t="s">
        <v>65</v>
      </c>
      <c r="AI364" t="s">
        <v>1063</v>
      </c>
      <c r="AJ364">
        <v>1926</v>
      </c>
      <c r="AK364" t="s">
        <v>697</v>
      </c>
      <c r="AM364" t="s">
        <v>698</v>
      </c>
      <c r="AN364" t="s">
        <v>121</v>
      </c>
      <c r="AO364" t="s">
        <v>330</v>
      </c>
      <c r="AP364" t="s">
        <v>182</v>
      </c>
      <c r="AQ364" t="s">
        <v>699</v>
      </c>
      <c r="AR364" t="s">
        <v>70</v>
      </c>
      <c r="AS364">
        <v>702</v>
      </c>
      <c r="AT364" t="s">
        <v>71</v>
      </c>
      <c r="AU364">
        <v>22.51</v>
      </c>
      <c r="AV364">
        <v>-42.93</v>
      </c>
      <c r="AW364" t="s">
        <v>72</v>
      </c>
      <c r="AX364">
        <v>702</v>
      </c>
      <c r="AY364" t="s">
        <v>71</v>
      </c>
      <c r="AZ364">
        <v>24.25</v>
      </c>
      <c r="BA364">
        <v>-52.74</v>
      </c>
      <c r="BB364" t="s">
        <v>73</v>
      </c>
    </row>
    <row r="365" spans="1:54" x14ac:dyDescent="0.4">
      <c r="A365">
        <v>1285964</v>
      </c>
      <c r="D365" t="s">
        <v>246</v>
      </c>
      <c r="E365" t="s">
        <v>55</v>
      </c>
      <c r="G365">
        <v>1</v>
      </c>
      <c r="H365" t="s">
        <v>56</v>
      </c>
      <c r="I365" t="s">
        <v>57</v>
      </c>
      <c r="K365" t="s">
        <v>856</v>
      </c>
      <c r="L365" t="s">
        <v>1074</v>
      </c>
      <c r="M365" t="s">
        <v>59</v>
      </c>
      <c r="P365" t="s">
        <v>259</v>
      </c>
      <c r="Q365" t="s">
        <v>502</v>
      </c>
      <c r="R365" t="s">
        <v>260</v>
      </c>
      <c r="S365" t="s">
        <v>98</v>
      </c>
      <c r="T365">
        <v>259.51</v>
      </c>
      <c r="U365">
        <v>251.90199999999999</v>
      </c>
      <c r="V365">
        <f>(T365+U365)/2</f>
        <v>255.70599999999999</v>
      </c>
      <c r="W365">
        <f>T365-U365</f>
        <v>7.6080000000000041</v>
      </c>
      <c r="X365">
        <v>44.416668000000001</v>
      </c>
      <c r="Y365">
        <v>-24</v>
      </c>
      <c r="Z365" t="s">
        <v>99</v>
      </c>
      <c r="AA365" t="s">
        <v>692</v>
      </c>
      <c r="AB365" t="s">
        <v>693</v>
      </c>
      <c r="AD365" t="s">
        <v>694</v>
      </c>
      <c r="AE365" t="s">
        <v>695</v>
      </c>
      <c r="AH365" t="s">
        <v>65</v>
      </c>
      <c r="AI365" t="s">
        <v>1063</v>
      </c>
      <c r="AJ365">
        <v>1926</v>
      </c>
      <c r="AK365" t="s">
        <v>697</v>
      </c>
      <c r="AM365" t="s">
        <v>698</v>
      </c>
      <c r="AN365" t="s">
        <v>121</v>
      </c>
      <c r="AO365" t="s">
        <v>330</v>
      </c>
      <c r="AP365" t="s">
        <v>182</v>
      </c>
      <c r="AQ365" t="s">
        <v>699</v>
      </c>
      <c r="AR365" t="s">
        <v>70</v>
      </c>
      <c r="AS365">
        <v>702</v>
      </c>
      <c r="AT365" t="s">
        <v>71</v>
      </c>
      <c r="AU365">
        <v>22.51</v>
      </c>
      <c r="AV365">
        <v>-42.93</v>
      </c>
      <c r="AW365" t="s">
        <v>72</v>
      </c>
      <c r="AX365">
        <v>702</v>
      </c>
      <c r="AY365" t="s">
        <v>71</v>
      </c>
      <c r="AZ365">
        <v>24.25</v>
      </c>
      <c r="BA365">
        <v>-52.74</v>
      </c>
      <c r="BB365" t="s">
        <v>73</v>
      </c>
    </row>
    <row r="366" spans="1:54" x14ac:dyDescent="0.4">
      <c r="A366">
        <v>1285964</v>
      </c>
      <c r="D366" t="s">
        <v>246</v>
      </c>
      <c r="E366" t="s">
        <v>55</v>
      </c>
      <c r="G366">
        <v>1</v>
      </c>
      <c r="H366" t="s">
        <v>56</v>
      </c>
      <c r="I366" t="s">
        <v>57</v>
      </c>
      <c r="K366" t="s">
        <v>856</v>
      </c>
      <c r="L366" t="s">
        <v>1074</v>
      </c>
      <c r="M366" t="s">
        <v>59</v>
      </c>
      <c r="P366" t="s">
        <v>259</v>
      </c>
      <c r="Q366" t="s">
        <v>502</v>
      </c>
      <c r="R366" t="s">
        <v>260</v>
      </c>
      <c r="S366" t="s">
        <v>98</v>
      </c>
      <c r="T366">
        <v>259.51</v>
      </c>
      <c r="U366">
        <v>251.90199999999999</v>
      </c>
      <c r="V366">
        <f>(T366+U366)/2</f>
        <v>255.70599999999999</v>
      </c>
      <c r="W366">
        <f>T366-U366</f>
        <v>7.6080000000000041</v>
      </c>
      <c r="X366">
        <v>44.416668000000001</v>
      </c>
      <c r="Y366">
        <v>-24</v>
      </c>
      <c r="Z366" t="s">
        <v>99</v>
      </c>
      <c r="AA366" t="s">
        <v>692</v>
      </c>
      <c r="AB366" t="s">
        <v>693</v>
      </c>
      <c r="AD366" t="s">
        <v>694</v>
      </c>
      <c r="AE366" t="s">
        <v>695</v>
      </c>
      <c r="AH366" t="s">
        <v>65</v>
      </c>
      <c r="AI366" t="s">
        <v>1063</v>
      </c>
      <c r="AJ366">
        <v>1926</v>
      </c>
      <c r="AK366" t="s">
        <v>697</v>
      </c>
      <c r="AM366" t="s">
        <v>698</v>
      </c>
      <c r="AN366" t="s">
        <v>121</v>
      </c>
      <c r="AO366" t="s">
        <v>330</v>
      </c>
      <c r="AP366" t="s">
        <v>182</v>
      </c>
      <c r="AQ366" t="s">
        <v>699</v>
      </c>
      <c r="AR366" t="s">
        <v>70</v>
      </c>
      <c r="AS366">
        <v>702</v>
      </c>
      <c r="AT366" t="s">
        <v>71</v>
      </c>
      <c r="AU366">
        <v>22.51</v>
      </c>
      <c r="AV366">
        <v>-42.93</v>
      </c>
      <c r="AW366" t="s">
        <v>72</v>
      </c>
      <c r="AX366">
        <v>702</v>
      </c>
      <c r="AY366" t="s">
        <v>71</v>
      </c>
      <c r="AZ366">
        <v>24.25</v>
      </c>
      <c r="BA366">
        <v>-52.74</v>
      </c>
      <c r="BB366" t="s">
        <v>73</v>
      </c>
    </row>
    <row r="367" spans="1:54" x14ac:dyDescent="0.4">
      <c r="A367">
        <v>1285964</v>
      </c>
      <c r="D367" t="s">
        <v>246</v>
      </c>
      <c r="E367" t="s">
        <v>55</v>
      </c>
      <c r="G367">
        <v>1</v>
      </c>
      <c r="H367" t="s">
        <v>56</v>
      </c>
      <c r="I367" t="s">
        <v>57</v>
      </c>
      <c r="K367" t="s">
        <v>856</v>
      </c>
      <c r="L367" t="s">
        <v>1074</v>
      </c>
      <c r="M367" t="s">
        <v>59</v>
      </c>
      <c r="P367" t="s">
        <v>259</v>
      </c>
      <c r="Q367" t="s">
        <v>502</v>
      </c>
      <c r="R367" t="s">
        <v>260</v>
      </c>
      <c r="S367" t="s">
        <v>98</v>
      </c>
      <c r="T367">
        <v>259.51</v>
      </c>
      <c r="U367">
        <v>251.90199999999999</v>
      </c>
      <c r="V367">
        <f>(T367+U367)/2</f>
        <v>255.70599999999999</v>
      </c>
      <c r="W367">
        <f>T367-U367</f>
        <v>7.6080000000000041</v>
      </c>
      <c r="X367">
        <v>44.416668000000001</v>
      </c>
      <c r="Y367">
        <v>-24</v>
      </c>
      <c r="Z367" t="s">
        <v>99</v>
      </c>
      <c r="AA367" t="s">
        <v>692</v>
      </c>
      <c r="AB367" t="s">
        <v>693</v>
      </c>
      <c r="AD367" t="s">
        <v>694</v>
      </c>
      <c r="AE367" t="s">
        <v>695</v>
      </c>
      <c r="AH367" t="s">
        <v>65</v>
      </c>
      <c r="AI367" t="s">
        <v>1063</v>
      </c>
      <c r="AJ367">
        <v>1926</v>
      </c>
      <c r="AK367" t="s">
        <v>697</v>
      </c>
      <c r="AM367" t="s">
        <v>698</v>
      </c>
      <c r="AN367" t="s">
        <v>121</v>
      </c>
      <c r="AO367" t="s">
        <v>330</v>
      </c>
      <c r="AP367" t="s">
        <v>182</v>
      </c>
      <c r="AQ367" t="s">
        <v>699</v>
      </c>
      <c r="AR367" t="s">
        <v>70</v>
      </c>
      <c r="AS367">
        <v>702</v>
      </c>
      <c r="AT367" t="s">
        <v>71</v>
      </c>
      <c r="AU367">
        <v>22.51</v>
      </c>
      <c r="AV367">
        <v>-42.93</v>
      </c>
      <c r="AW367" t="s">
        <v>72</v>
      </c>
      <c r="AX367">
        <v>702</v>
      </c>
      <c r="AY367" t="s">
        <v>71</v>
      </c>
      <c r="AZ367">
        <v>24.25</v>
      </c>
      <c r="BA367">
        <v>-52.74</v>
      </c>
      <c r="BB367" t="s">
        <v>73</v>
      </c>
    </row>
    <row r="368" spans="1:54" x14ac:dyDescent="0.4">
      <c r="A368">
        <v>1285964</v>
      </c>
      <c r="D368" t="s">
        <v>246</v>
      </c>
      <c r="E368" t="s">
        <v>55</v>
      </c>
      <c r="G368">
        <v>1</v>
      </c>
      <c r="H368" t="s">
        <v>56</v>
      </c>
      <c r="I368" t="s">
        <v>57</v>
      </c>
      <c r="K368" t="s">
        <v>856</v>
      </c>
      <c r="L368" t="s">
        <v>1074</v>
      </c>
      <c r="M368" t="s">
        <v>59</v>
      </c>
      <c r="P368" t="s">
        <v>259</v>
      </c>
      <c r="Q368" t="s">
        <v>502</v>
      </c>
      <c r="R368" t="s">
        <v>260</v>
      </c>
      <c r="S368" t="s">
        <v>98</v>
      </c>
      <c r="T368">
        <v>259.51</v>
      </c>
      <c r="U368">
        <v>251.90199999999999</v>
      </c>
      <c r="V368">
        <f>(T368+U368)/2</f>
        <v>255.70599999999999</v>
      </c>
      <c r="W368">
        <f>T368-U368</f>
        <v>7.6080000000000041</v>
      </c>
      <c r="X368">
        <v>44.416668000000001</v>
      </c>
      <c r="Y368">
        <v>-24</v>
      </c>
      <c r="Z368" t="s">
        <v>99</v>
      </c>
      <c r="AA368" t="s">
        <v>692</v>
      </c>
      <c r="AB368" t="s">
        <v>693</v>
      </c>
      <c r="AD368" t="s">
        <v>694</v>
      </c>
      <c r="AE368" t="s">
        <v>695</v>
      </c>
      <c r="AH368" t="s">
        <v>65</v>
      </c>
      <c r="AI368" t="s">
        <v>1063</v>
      </c>
      <c r="AJ368">
        <v>1926</v>
      </c>
      <c r="AK368" t="s">
        <v>697</v>
      </c>
      <c r="AM368" t="s">
        <v>698</v>
      </c>
      <c r="AN368" t="s">
        <v>121</v>
      </c>
      <c r="AO368" t="s">
        <v>330</v>
      </c>
      <c r="AP368" t="s">
        <v>182</v>
      </c>
      <c r="AQ368" t="s">
        <v>699</v>
      </c>
      <c r="AR368" t="s">
        <v>70</v>
      </c>
      <c r="AS368">
        <v>702</v>
      </c>
      <c r="AT368" t="s">
        <v>71</v>
      </c>
      <c r="AU368">
        <v>22.51</v>
      </c>
      <c r="AV368">
        <v>-42.93</v>
      </c>
      <c r="AW368" t="s">
        <v>72</v>
      </c>
      <c r="AX368">
        <v>702</v>
      </c>
      <c r="AY368" t="s">
        <v>71</v>
      </c>
      <c r="AZ368">
        <v>24.25</v>
      </c>
      <c r="BA368">
        <v>-52.74</v>
      </c>
      <c r="BB368" t="s">
        <v>73</v>
      </c>
    </row>
    <row r="369" spans="1:54" x14ac:dyDescent="0.4">
      <c r="A369">
        <v>1285964</v>
      </c>
      <c r="D369" t="s">
        <v>246</v>
      </c>
      <c r="E369" t="s">
        <v>55</v>
      </c>
      <c r="G369">
        <v>1</v>
      </c>
      <c r="H369" t="s">
        <v>56</v>
      </c>
      <c r="I369" t="s">
        <v>57</v>
      </c>
      <c r="K369" t="s">
        <v>856</v>
      </c>
      <c r="L369" t="s">
        <v>1074</v>
      </c>
      <c r="M369" t="s">
        <v>59</v>
      </c>
      <c r="P369" t="s">
        <v>259</v>
      </c>
      <c r="Q369" t="s">
        <v>502</v>
      </c>
      <c r="R369" t="s">
        <v>260</v>
      </c>
      <c r="S369" t="s">
        <v>98</v>
      </c>
      <c r="T369">
        <v>259.51</v>
      </c>
      <c r="U369">
        <v>251.90199999999999</v>
      </c>
      <c r="V369">
        <f>(T369+U369)/2</f>
        <v>255.70599999999999</v>
      </c>
      <c r="W369">
        <f>T369-U369</f>
        <v>7.6080000000000041</v>
      </c>
      <c r="X369">
        <v>44.416668000000001</v>
      </c>
      <c r="Y369">
        <v>-24</v>
      </c>
      <c r="Z369" t="s">
        <v>99</v>
      </c>
      <c r="AA369" t="s">
        <v>692</v>
      </c>
      <c r="AB369" t="s">
        <v>693</v>
      </c>
      <c r="AD369" t="s">
        <v>694</v>
      </c>
      <c r="AE369" t="s">
        <v>695</v>
      </c>
      <c r="AH369" t="s">
        <v>65</v>
      </c>
      <c r="AI369" t="s">
        <v>1063</v>
      </c>
      <c r="AJ369">
        <v>1926</v>
      </c>
      <c r="AK369" t="s">
        <v>697</v>
      </c>
      <c r="AM369" t="s">
        <v>698</v>
      </c>
      <c r="AN369" t="s">
        <v>121</v>
      </c>
      <c r="AO369" t="s">
        <v>330</v>
      </c>
      <c r="AP369" t="s">
        <v>182</v>
      </c>
      <c r="AQ369" t="s">
        <v>699</v>
      </c>
      <c r="AR369" t="s">
        <v>70</v>
      </c>
      <c r="AS369">
        <v>702</v>
      </c>
      <c r="AT369" t="s">
        <v>71</v>
      </c>
      <c r="AU369">
        <v>22.51</v>
      </c>
      <c r="AV369">
        <v>-42.93</v>
      </c>
      <c r="AW369" t="s">
        <v>72</v>
      </c>
      <c r="AX369">
        <v>702</v>
      </c>
      <c r="AY369" t="s">
        <v>71</v>
      </c>
      <c r="AZ369">
        <v>24.25</v>
      </c>
      <c r="BA369">
        <v>-52.74</v>
      </c>
      <c r="BB369" t="s">
        <v>73</v>
      </c>
    </row>
    <row r="370" spans="1:54" x14ac:dyDescent="0.4">
      <c r="A370">
        <v>1285964</v>
      </c>
      <c r="D370" t="s">
        <v>246</v>
      </c>
      <c r="E370" t="s">
        <v>55</v>
      </c>
      <c r="G370">
        <v>1</v>
      </c>
      <c r="H370" t="s">
        <v>56</v>
      </c>
      <c r="I370" t="s">
        <v>57</v>
      </c>
      <c r="K370" t="s">
        <v>856</v>
      </c>
      <c r="L370" t="s">
        <v>1074</v>
      </c>
      <c r="M370" t="s">
        <v>59</v>
      </c>
      <c r="P370" t="s">
        <v>259</v>
      </c>
      <c r="Q370" t="s">
        <v>502</v>
      </c>
      <c r="R370" t="s">
        <v>260</v>
      </c>
      <c r="S370" t="s">
        <v>98</v>
      </c>
      <c r="T370">
        <v>259.51</v>
      </c>
      <c r="U370">
        <v>251.90199999999999</v>
      </c>
      <c r="V370">
        <f>(T370+U370)/2</f>
        <v>255.70599999999999</v>
      </c>
      <c r="W370">
        <f>T370-U370</f>
        <v>7.6080000000000041</v>
      </c>
      <c r="X370">
        <v>44.416668000000001</v>
      </c>
      <c r="Y370">
        <v>-24</v>
      </c>
      <c r="Z370" t="s">
        <v>99</v>
      </c>
      <c r="AA370" t="s">
        <v>692</v>
      </c>
      <c r="AB370" t="s">
        <v>693</v>
      </c>
      <c r="AD370" t="s">
        <v>694</v>
      </c>
      <c r="AE370" t="s">
        <v>695</v>
      </c>
      <c r="AH370" t="s">
        <v>65</v>
      </c>
      <c r="AI370" t="s">
        <v>1063</v>
      </c>
      <c r="AJ370">
        <v>1926</v>
      </c>
      <c r="AK370" t="s">
        <v>697</v>
      </c>
      <c r="AM370" t="s">
        <v>698</v>
      </c>
      <c r="AN370" t="s">
        <v>121</v>
      </c>
      <c r="AO370" t="s">
        <v>330</v>
      </c>
      <c r="AP370" t="s">
        <v>182</v>
      </c>
      <c r="AQ370" t="s">
        <v>699</v>
      </c>
      <c r="AR370" t="s">
        <v>70</v>
      </c>
      <c r="AS370">
        <v>702</v>
      </c>
      <c r="AT370" t="s">
        <v>71</v>
      </c>
      <c r="AU370">
        <v>22.51</v>
      </c>
      <c r="AV370">
        <v>-42.93</v>
      </c>
      <c r="AW370" t="s">
        <v>72</v>
      </c>
      <c r="AX370">
        <v>702</v>
      </c>
      <c r="AY370" t="s">
        <v>71</v>
      </c>
      <c r="AZ370">
        <v>24.25</v>
      </c>
      <c r="BA370">
        <v>-52.74</v>
      </c>
      <c r="BB370" t="s">
        <v>73</v>
      </c>
    </row>
    <row r="371" spans="1:54" x14ac:dyDescent="0.4">
      <c r="A371">
        <v>1285964</v>
      </c>
      <c r="D371" t="s">
        <v>246</v>
      </c>
      <c r="E371" t="s">
        <v>55</v>
      </c>
      <c r="G371">
        <v>1</v>
      </c>
      <c r="H371" t="s">
        <v>56</v>
      </c>
      <c r="I371" t="s">
        <v>57</v>
      </c>
      <c r="K371" t="s">
        <v>856</v>
      </c>
      <c r="L371" t="s">
        <v>1074</v>
      </c>
      <c r="M371" t="s">
        <v>59</v>
      </c>
      <c r="P371" t="s">
        <v>259</v>
      </c>
      <c r="Q371" t="s">
        <v>502</v>
      </c>
      <c r="R371" t="s">
        <v>260</v>
      </c>
      <c r="S371" t="s">
        <v>98</v>
      </c>
      <c r="T371">
        <v>259.51</v>
      </c>
      <c r="U371">
        <v>251.90199999999999</v>
      </c>
      <c r="V371">
        <f>(T371+U371)/2</f>
        <v>255.70599999999999</v>
      </c>
      <c r="W371">
        <f>T371-U371</f>
        <v>7.6080000000000041</v>
      </c>
      <c r="X371">
        <v>44.416668000000001</v>
      </c>
      <c r="Y371">
        <v>-24</v>
      </c>
      <c r="Z371" t="s">
        <v>99</v>
      </c>
      <c r="AA371" t="s">
        <v>692</v>
      </c>
      <c r="AB371" t="s">
        <v>693</v>
      </c>
      <c r="AD371" t="s">
        <v>694</v>
      </c>
      <c r="AE371" t="s">
        <v>695</v>
      </c>
      <c r="AH371" t="s">
        <v>65</v>
      </c>
      <c r="AI371" t="s">
        <v>1063</v>
      </c>
      <c r="AJ371">
        <v>1926</v>
      </c>
      <c r="AK371" t="s">
        <v>697</v>
      </c>
      <c r="AM371" t="s">
        <v>698</v>
      </c>
      <c r="AN371" t="s">
        <v>121</v>
      </c>
      <c r="AO371" t="s">
        <v>330</v>
      </c>
      <c r="AP371" t="s">
        <v>182</v>
      </c>
      <c r="AQ371" t="s">
        <v>699</v>
      </c>
      <c r="AR371" t="s">
        <v>70</v>
      </c>
      <c r="AS371">
        <v>702</v>
      </c>
      <c r="AT371" t="s">
        <v>71</v>
      </c>
      <c r="AU371">
        <v>22.51</v>
      </c>
      <c r="AV371">
        <v>-42.93</v>
      </c>
      <c r="AW371" t="s">
        <v>72</v>
      </c>
      <c r="AX371">
        <v>702</v>
      </c>
      <c r="AY371" t="s">
        <v>71</v>
      </c>
      <c r="AZ371">
        <v>24.25</v>
      </c>
      <c r="BA371">
        <v>-52.74</v>
      </c>
      <c r="BB371" t="s">
        <v>73</v>
      </c>
    </row>
    <row r="372" spans="1:54" x14ac:dyDescent="0.4">
      <c r="A372">
        <v>1285964</v>
      </c>
      <c r="D372" t="s">
        <v>246</v>
      </c>
      <c r="E372" t="s">
        <v>55</v>
      </c>
      <c r="G372">
        <v>1</v>
      </c>
      <c r="H372" t="s">
        <v>56</v>
      </c>
      <c r="I372" t="s">
        <v>57</v>
      </c>
      <c r="K372" t="s">
        <v>856</v>
      </c>
      <c r="L372" t="s">
        <v>1074</v>
      </c>
      <c r="M372" t="s">
        <v>59</v>
      </c>
      <c r="P372" t="s">
        <v>259</v>
      </c>
      <c r="Q372" t="s">
        <v>502</v>
      </c>
      <c r="R372" t="s">
        <v>260</v>
      </c>
      <c r="S372" t="s">
        <v>98</v>
      </c>
      <c r="T372">
        <v>259.51</v>
      </c>
      <c r="U372">
        <v>251.90199999999999</v>
      </c>
      <c r="V372">
        <f>(T372+U372)/2</f>
        <v>255.70599999999999</v>
      </c>
      <c r="W372">
        <f>T372-U372</f>
        <v>7.6080000000000041</v>
      </c>
      <c r="X372">
        <v>44.416668000000001</v>
      </c>
      <c r="Y372">
        <v>-24</v>
      </c>
      <c r="Z372" t="s">
        <v>99</v>
      </c>
      <c r="AA372" t="s">
        <v>692</v>
      </c>
      <c r="AB372" t="s">
        <v>693</v>
      </c>
      <c r="AD372" t="s">
        <v>694</v>
      </c>
      <c r="AE372" t="s">
        <v>695</v>
      </c>
      <c r="AH372" t="s">
        <v>65</v>
      </c>
      <c r="AI372" t="s">
        <v>1063</v>
      </c>
      <c r="AJ372">
        <v>1926</v>
      </c>
      <c r="AK372" t="s">
        <v>697</v>
      </c>
      <c r="AM372" t="s">
        <v>698</v>
      </c>
      <c r="AN372" t="s">
        <v>121</v>
      </c>
      <c r="AO372" t="s">
        <v>330</v>
      </c>
      <c r="AP372" t="s">
        <v>182</v>
      </c>
      <c r="AQ372" t="s">
        <v>699</v>
      </c>
      <c r="AR372" t="s">
        <v>70</v>
      </c>
      <c r="AS372">
        <v>702</v>
      </c>
      <c r="AT372" t="s">
        <v>71</v>
      </c>
      <c r="AU372">
        <v>22.51</v>
      </c>
      <c r="AV372">
        <v>-42.93</v>
      </c>
      <c r="AW372" t="s">
        <v>72</v>
      </c>
      <c r="AX372">
        <v>702</v>
      </c>
      <c r="AY372" t="s">
        <v>71</v>
      </c>
      <c r="AZ372">
        <v>24.25</v>
      </c>
      <c r="BA372">
        <v>-52.74</v>
      </c>
      <c r="BB372" t="s">
        <v>73</v>
      </c>
    </row>
    <row r="373" spans="1:54" x14ac:dyDescent="0.4">
      <c r="A373">
        <v>1285964</v>
      </c>
      <c r="D373" t="s">
        <v>246</v>
      </c>
      <c r="E373" t="s">
        <v>55</v>
      </c>
      <c r="G373">
        <v>1</v>
      </c>
      <c r="H373" t="s">
        <v>56</v>
      </c>
      <c r="I373" t="s">
        <v>57</v>
      </c>
      <c r="K373" t="s">
        <v>856</v>
      </c>
      <c r="L373" t="s">
        <v>1074</v>
      </c>
      <c r="M373" t="s">
        <v>59</v>
      </c>
      <c r="P373" t="s">
        <v>259</v>
      </c>
      <c r="Q373" t="s">
        <v>502</v>
      </c>
      <c r="R373" t="s">
        <v>260</v>
      </c>
      <c r="S373" t="s">
        <v>98</v>
      </c>
      <c r="T373">
        <v>259.51</v>
      </c>
      <c r="U373">
        <v>251.90199999999999</v>
      </c>
      <c r="V373">
        <f>(T373+U373)/2</f>
        <v>255.70599999999999</v>
      </c>
      <c r="W373">
        <f>T373-U373</f>
        <v>7.6080000000000041</v>
      </c>
      <c r="X373">
        <v>44.416668000000001</v>
      </c>
      <c r="Y373">
        <v>-24</v>
      </c>
      <c r="Z373" t="s">
        <v>99</v>
      </c>
      <c r="AA373" t="s">
        <v>692</v>
      </c>
      <c r="AB373" t="s">
        <v>693</v>
      </c>
      <c r="AD373" t="s">
        <v>694</v>
      </c>
      <c r="AE373" t="s">
        <v>695</v>
      </c>
      <c r="AH373" t="s">
        <v>65</v>
      </c>
      <c r="AI373" t="s">
        <v>1063</v>
      </c>
      <c r="AJ373">
        <v>1926</v>
      </c>
      <c r="AK373" t="s">
        <v>697</v>
      </c>
      <c r="AM373" t="s">
        <v>698</v>
      </c>
      <c r="AN373" t="s">
        <v>121</v>
      </c>
      <c r="AO373" t="s">
        <v>330</v>
      </c>
      <c r="AP373" t="s">
        <v>182</v>
      </c>
      <c r="AQ373" t="s">
        <v>699</v>
      </c>
      <c r="AR373" t="s">
        <v>70</v>
      </c>
      <c r="AS373">
        <v>702</v>
      </c>
      <c r="AT373" t="s">
        <v>71</v>
      </c>
      <c r="AU373">
        <v>22.51</v>
      </c>
      <c r="AV373">
        <v>-42.93</v>
      </c>
      <c r="AW373" t="s">
        <v>72</v>
      </c>
      <c r="AX373">
        <v>702</v>
      </c>
      <c r="AY373" t="s">
        <v>71</v>
      </c>
      <c r="AZ373">
        <v>24.25</v>
      </c>
      <c r="BA373">
        <v>-52.74</v>
      </c>
      <c r="BB373" t="s">
        <v>73</v>
      </c>
    </row>
    <row r="374" spans="1:54" x14ac:dyDescent="0.4">
      <c r="A374">
        <v>1285964</v>
      </c>
      <c r="D374" t="s">
        <v>246</v>
      </c>
      <c r="E374" t="s">
        <v>55</v>
      </c>
      <c r="G374">
        <v>1</v>
      </c>
      <c r="H374" t="s">
        <v>56</v>
      </c>
      <c r="I374" t="s">
        <v>57</v>
      </c>
      <c r="K374" t="s">
        <v>856</v>
      </c>
      <c r="L374" t="s">
        <v>1074</v>
      </c>
      <c r="M374" t="s">
        <v>59</v>
      </c>
      <c r="P374" t="s">
        <v>259</v>
      </c>
      <c r="Q374" t="s">
        <v>502</v>
      </c>
      <c r="R374" t="s">
        <v>260</v>
      </c>
      <c r="S374" t="s">
        <v>98</v>
      </c>
      <c r="T374">
        <v>259.51</v>
      </c>
      <c r="U374">
        <v>251.90199999999999</v>
      </c>
      <c r="V374">
        <f>(T374+U374)/2</f>
        <v>255.70599999999999</v>
      </c>
      <c r="W374">
        <f>T374-U374</f>
        <v>7.6080000000000041</v>
      </c>
      <c r="X374">
        <v>44.416668000000001</v>
      </c>
      <c r="Y374">
        <v>-24</v>
      </c>
      <c r="Z374" t="s">
        <v>99</v>
      </c>
      <c r="AA374" t="s">
        <v>692</v>
      </c>
      <c r="AB374" t="s">
        <v>693</v>
      </c>
      <c r="AD374" t="s">
        <v>694</v>
      </c>
      <c r="AE374" t="s">
        <v>695</v>
      </c>
      <c r="AH374" t="s">
        <v>65</v>
      </c>
      <c r="AI374" t="s">
        <v>1063</v>
      </c>
      <c r="AJ374">
        <v>1926</v>
      </c>
      <c r="AK374" t="s">
        <v>697</v>
      </c>
      <c r="AM374" t="s">
        <v>698</v>
      </c>
      <c r="AN374" t="s">
        <v>121</v>
      </c>
      <c r="AO374" t="s">
        <v>330</v>
      </c>
      <c r="AP374" t="s">
        <v>182</v>
      </c>
      <c r="AQ374" t="s">
        <v>699</v>
      </c>
      <c r="AR374" t="s">
        <v>70</v>
      </c>
      <c r="AS374">
        <v>702</v>
      </c>
      <c r="AT374" t="s">
        <v>71</v>
      </c>
      <c r="AU374">
        <v>22.51</v>
      </c>
      <c r="AV374">
        <v>-42.93</v>
      </c>
      <c r="AW374" t="s">
        <v>72</v>
      </c>
      <c r="AX374">
        <v>702</v>
      </c>
      <c r="AY374" t="s">
        <v>71</v>
      </c>
      <c r="AZ374">
        <v>24.25</v>
      </c>
      <c r="BA374">
        <v>-52.74</v>
      </c>
      <c r="BB374" t="s">
        <v>73</v>
      </c>
    </row>
    <row r="375" spans="1:54" x14ac:dyDescent="0.4">
      <c r="A375">
        <v>1285964</v>
      </c>
      <c r="D375" t="s">
        <v>246</v>
      </c>
      <c r="E375" t="s">
        <v>55</v>
      </c>
      <c r="G375">
        <v>1</v>
      </c>
      <c r="H375" t="s">
        <v>56</v>
      </c>
      <c r="I375" t="s">
        <v>57</v>
      </c>
      <c r="K375" t="s">
        <v>856</v>
      </c>
      <c r="L375" t="s">
        <v>1074</v>
      </c>
      <c r="M375" t="s">
        <v>59</v>
      </c>
      <c r="P375" t="s">
        <v>259</v>
      </c>
      <c r="Q375" t="s">
        <v>502</v>
      </c>
      <c r="R375" t="s">
        <v>260</v>
      </c>
      <c r="S375" t="s">
        <v>98</v>
      </c>
      <c r="T375">
        <v>259.51</v>
      </c>
      <c r="U375">
        <v>251.90199999999999</v>
      </c>
      <c r="V375">
        <f>(T375+U375)/2</f>
        <v>255.70599999999999</v>
      </c>
      <c r="W375">
        <f>T375-U375</f>
        <v>7.6080000000000041</v>
      </c>
      <c r="X375">
        <v>44.416668000000001</v>
      </c>
      <c r="Y375">
        <v>-24</v>
      </c>
      <c r="Z375" t="s">
        <v>99</v>
      </c>
      <c r="AA375" t="s">
        <v>692</v>
      </c>
      <c r="AB375" t="s">
        <v>693</v>
      </c>
      <c r="AD375" t="s">
        <v>694</v>
      </c>
      <c r="AE375" t="s">
        <v>695</v>
      </c>
      <c r="AH375" t="s">
        <v>65</v>
      </c>
      <c r="AI375" t="s">
        <v>1063</v>
      </c>
      <c r="AJ375">
        <v>1926</v>
      </c>
      <c r="AK375" t="s">
        <v>697</v>
      </c>
      <c r="AM375" t="s">
        <v>698</v>
      </c>
      <c r="AN375" t="s">
        <v>121</v>
      </c>
      <c r="AO375" t="s">
        <v>330</v>
      </c>
      <c r="AP375" t="s">
        <v>182</v>
      </c>
      <c r="AQ375" t="s">
        <v>699</v>
      </c>
      <c r="AR375" t="s">
        <v>70</v>
      </c>
      <c r="AS375">
        <v>702</v>
      </c>
      <c r="AT375" t="s">
        <v>71</v>
      </c>
      <c r="AU375">
        <v>22.51</v>
      </c>
      <c r="AV375">
        <v>-42.93</v>
      </c>
      <c r="AW375" t="s">
        <v>72</v>
      </c>
      <c r="AX375">
        <v>702</v>
      </c>
      <c r="AY375" t="s">
        <v>71</v>
      </c>
      <c r="AZ375">
        <v>24.25</v>
      </c>
      <c r="BA375">
        <v>-52.74</v>
      </c>
      <c r="BB375" t="s">
        <v>73</v>
      </c>
    </row>
    <row r="376" spans="1:54" x14ac:dyDescent="0.4">
      <c r="A376">
        <v>1285964</v>
      </c>
      <c r="D376" t="s">
        <v>246</v>
      </c>
      <c r="E376" t="s">
        <v>55</v>
      </c>
      <c r="G376">
        <v>1</v>
      </c>
      <c r="H376" t="s">
        <v>56</v>
      </c>
      <c r="I376" t="s">
        <v>57</v>
      </c>
      <c r="K376" t="s">
        <v>856</v>
      </c>
      <c r="L376" t="s">
        <v>1074</v>
      </c>
      <c r="M376" t="s">
        <v>59</v>
      </c>
      <c r="P376" t="s">
        <v>259</v>
      </c>
      <c r="Q376" t="s">
        <v>502</v>
      </c>
      <c r="R376" t="s">
        <v>260</v>
      </c>
      <c r="S376" t="s">
        <v>98</v>
      </c>
      <c r="T376">
        <v>259.51</v>
      </c>
      <c r="U376">
        <v>251.90199999999999</v>
      </c>
      <c r="V376">
        <f>(T376+U376)/2</f>
        <v>255.70599999999999</v>
      </c>
      <c r="W376">
        <f>T376-U376</f>
        <v>7.6080000000000041</v>
      </c>
      <c r="X376">
        <v>44.416668000000001</v>
      </c>
      <c r="Y376">
        <v>-24</v>
      </c>
      <c r="Z376" t="s">
        <v>99</v>
      </c>
      <c r="AA376" t="s">
        <v>692</v>
      </c>
      <c r="AB376" t="s">
        <v>693</v>
      </c>
      <c r="AD376" t="s">
        <v>694</v>
      </c>
      <c r="AE376" t="s">
        <v>695</v>
      </c>
      <c r="AH376" t="s">
        <v>65</v>
      </c>
      <c r="AI376" t="s">
        <v>1063</v>
      </c>
      <c r="AJ376">
        <v>1926</v>
      </c>
      <c r="AK376" t="s">
        <v>697</v>
      </c>
      <c r="AM376" t="s">
        <v>698</v>
      </c>
      <c r="AN376" t="s">
        <v>121</v>
      </c>
      <c r="AO376" t="s">
        <v>330</v>
      </c>
      <c r="AP376" t="s">
        <v>182</v>
      </c>
      <c r="AQ376" t="s">
        <v>699</v>
      </c>
      <c r="AR376" t="s">
        <v>70</v>
      </c>
      <c r="AS376">
        <v>702</v>
      </c>
      <c r="AT376" t="s">
        <v>71</v>
      </c>
      <c r="AU376">
        <v>22.51</v>
      </c>
      <c r="AV376">
        <v>-42.93</v>
      </c>
      <c r="AW376" t="s">
        <v>72</v>
      </c>
      <c r="AX376">
        <v>702</v>
      </c>
      <c r="AY376" t="s">
        <v>71</v>
      </c>
      <c r="AZ376">
        <v>24.25</v>
      </c>
      <c r="BA376">
        <v>-52.74</v>
      </c>
      <c r="BB376" t="s">
        <v>73</v>
      </c>
    </row>
    <row r="377" spans="1:54" x14ac:dyDescent="0.4">
      <c r="A377">
        <v>1285964</v>
      </c>
      <c r="D377" t="s">
        <v>246</v>
      </c>
      <c r="E377" t="s">
        <v>55</v>
      </c>
      <c r="G377">
        <v>1</v>
      </c>
      <c r="H377" t="s">
        <v>56</v>
      </c>
      <c r="I377" t="s">
        <v>57</v>
      </c>
      <c r="K377" t="s">
        <v>856</v>
      </c>
      <c r="L377" t="s">
        <v>1074</v>
      </c>
      <c r="M377" t="s">
        <v>59</v>
      </c>
      <c r="P377" t="s">
        <v>259</v>
      </c>
      <c r="Q377" t="s">
        <v>502</v>
      </c>
      <c r="R377" t="s">
        <v>260</v>
      </c>
      <c r="S377" t="s">
        <v>98</v>
      </c>
      <c r="T377">
        <v>259.51</v>
      </c>
      <c r="U377">
        <v>251.90199999999999</v>
      </c>
      <c r="V377">
        <f>(T377+U377)/2</f>
        <v>255.70599999999999</v>
      </c>
      <c r="W377">
        <f>T377-U377</f>
        <v>7.6080000000000041</v>
      </c>
      <c r="X377">
        <v>44.416668000000001</v>
      </c>
      <c r="Y377">
        <v>-24</v>
      </c>
      <c r="Z377" t="s">
        <v>99</v>
      </c>
      <c r="AA377" t="s">
        <v>692</v>
      </c>
      <c r="AB377" t="s">
        <v>693</v>
      </c>
      <c r="AD377" t="s">
        <v>694</v>
      </c>
      <c r="AE377" t="s">
        <v>695</v>
      </c>
      <c r="AH377" t="s">
        <v>65</v>
      </c>
      <c r="AI377" t="s">
        <v>1063</v>
      </c>
      <c r="AJ377">
        <v>1926</v>
      </c>
      <c r="AK377" t="s">
        <v>697</v>
      </c>
      <c r="AM377" t="s">
        <v>698</v>
      </c>
      <c r="AN377" t="s">
        <v>121</v>
      </c>
      <c r="AO377" t="s">
        <v>330</v>
      </c>
      <c r="AP377" t="s">
        <v>182</v>
      </c>
      <c r="AQ377" t="s">
        <v>699</v>
      </c>
      <c r="AR377" t="s">
        <v>70</v>
      </c>
      <c r="AS377">
        <v>702</v>
      </c>
      <c r="AT377" t="s">
        <v>71</v>
      </c>
      <c r="AU377">
        <v>22.51</v>
      </c>
      <c r="AV377">
        <v>-42.93</v>
      </c>
      <c r="AW377" t="s">
        <v>72</v>
      </c>
      <c r="AX377">
        <v>702</v>
      </c>
      <c r="AY377" t="s">
        <v>71</v>
      </c>
      <c r="AZ377">
        <v>24.25</v>
      </c>
      <c r="BA377">
        <v>-52.74</v>
      </c>
      <c r="BB377" t="s">
        <v>73</v>
      </c>
    </row>
    <row r="378" spans="1:54" x14ac:dyDescent="0.4">
      <c r="A378">
        <v>1285964</v>
      </c>
      <c r="D378" t="s">
        <v>246</v>
      </c>
      <c r="E378" t="s">
        <v>55</v>
      </c>
      <c r="G378">
        <v>1</v>
      </c>
      <c r="H378" t="s">
        <v>56</v>
      </c>
      <c r="I378" t="s">
        <v>57</v>
      </c>
      <c r="K378" t="s">
        <v>856</v>
      </c>
      <c r="L378" t="s">
        <v>1074</v>
      </c>
      <c r="M378" t="s">
        <v>59</v>
      </c>
      <c r="P378" t="s">
        <v>259</v>
      </c>
      <c r="Q378" t="s">
        <v>502</v>
      </c>
      <c r="R378" t="s">
        <v>260</v>
      </c>
      <c r="S378" t="s">
        <v>98</v>
      </c>
      <c r="T378">
        <v>259.51</v>
      </c>
      <c r="U378">
        <v>251.90199999999999</v>
      </c>
      <c r="V378">
        <f>(T378+U378)/2</f>
        <v>255.70599999999999</v>
      </c>
      <c r="W378">
        <f>T378-U378</f>
        <v>7.6080000000000041</v>
      </c>
      <c r="X378">
        <v>44.416668000000001</v>
      </c>
      <c r="Y378">
        <v>-24</v>
      </c>
      <c r="Z378" t="s">
        <v>99</v>
      </c>
      <c r="AA378" t="s">
        <v>692</v>
      </c>
      <c r="AB378" t="s">
        <v>693</v>
      </c>
      <c r="AD378" t="s">
        <v>694</v>
      </c>
      <c r="AE378" t="s">
        <v>695</v>
      </c>
      <c r="AH378" t="s">
        <v>65</v>
      </c>
      <c r="AI378" t="s">
        <v>1063</v>
      </c>
      <c r="AJ378">
        <v>1926</v>
      </c>
      <c r="AK378" t="s">
        <v>697</v>
      </c>
      <c r="AM378" t="s">
        <v>698</v>
      </c>
      <c r="AN378" t="s">
        <v>121</v>
      </c>
      <c r="AO378" t="s">
        <v>330</v>
      </c>
      <c r="AP378" t="s">
        <v>182</v>
      </c>
      <c r="AQ378" t="s">
        <v>699</v>
      </c>
      <c r="AR378" t="s">
        <v>70</v>
      </c>
      <c r="AS378">
        <v>702</v>
      </c>
      <c r="AT378" t="s">
        <v>71</v>
      </c>
      <c r="AU378">
        <v>22.51</v>
      </c>
      <c r="AV378">
        <v>-42.93</v>
      </c>
      <c r="AW378" t="s">
        <v>72</v>
      </c>
      <c r="AX378">
        <v>702</v>
      </c>
      <c r="AY378" t="s">
        <v>71</v>
      </c>
      <c r="AZ378">
        <v>24.25</v>
      </c>
      <c r="BA378">
        <v>-52.74</v>
      </c>
      <c r="BB378" t="s">
        <v>73</v>
      </c>
    </row>
    <row r="379" spans="1:54" x14ac:dyDescent="0.4">
      <c r="A379">
        <v>1285964</v>
      </c>
      <c r="D379" t="s">
        <v>246</v>
      </c>
      <c r="E379" t="s">
        <v>55</v>
      </c>
      <c r="G379">
        <v>1</v>
      </c>
      <c r="H379" t="s">
        <v>56</v>
      </c>
      <c r="I379" t="s">
        <v>57</v>
      </c>
      <c r="K379" t="s">
        <v>856</v>
      </c>
      <c r="L379" t="s">
        <v>1074</v>
      </c>
      <c r="M379" t="s">
        <v>59</v>
      </c>
      <c r="P379" t="s">
        <v>259</v>
      </c>
      <c r="Q379" t="s">
        <v>502</v>
      </c>
      <c r="R379" t="s">
        <v>260</v>
      </c>
      <c r="S379" t="s">
        <v>98</v>
      </c>
      <c r="T379">
        <v>259.51</v>
      </c>
      <c r="U379">
        <v>251.90199999999999</v>
      </c>
      <c r="V379">
        <f>(T379+U379)/2</f>
        <v>255.70599999999999</v>
      </c>
      <c r="W379">
        <f>T379-U379</f>
        <v>7.6080000000000041</v>
      </c>
      <c r="X379">
        <v>44.416668000000001</v>
      </c>
      <c r="Y379">
        <v>-24</v>
      </c>
      <c r="Z379" t="s">
        <v>99</v>
      </c>
      <c r="AA379" t="s">
        <v>692</v>
      </c>
      <c r="AB379" t="s">
        <v>693</v>
      </c>
      <c r="AD379" t="s">
        <v>694</v>
      </c>
      <c r="AE379" t="s">
        <v>695</v>
      </c>
      <c r="AH379" t="s">
        <v>65</v>
      </c>
      <c r="AI379" t="s">
        <v>1063</v>
      </c>
      <c r="AJ379">
        <v>1926</v>
      </c>
      <c r="AK379" t="s">
        <v>697</v>
      </c>
      <c r="AM379" t="s">
        <v>698</v>
      </c>
      <c r="AN379" t="s">
        <v>121</v>
      </c>
      <c r="AO379" t="s">
        <v>330</v>
      </c>
      <c r="AP379" t="s">
        <v>182</v>
      </c>
      <c r="AQ379" t="s">
        <v>699</v>
      </c>
      <c r="AR379" t="s">
        <v>70</v>
      </c>
      <c r="AS379">
        <v>702</v>
      </c>
      <c r="AT379" t="s">
        <v>71</v>
      </c>
      <c r="AU379">
        <v>22.51</v>
      </c>
      <c r="AV379">
        <v>-42.93</v>
      </c>
      <c r="AW379" t="s">
        <v>72</v>
      </c>
      <c r="AX379">
        <v>702</v>
      </c>
      <c r="AY379" t="s">
        <v>71</v>
      </c>
      <c r="AZ379">
        <v>24.25</v>
      </c>
      <c r="BA379">
        <v>-52.74</v>
      </c>
      <c r="BB379" t="s">
        <v>73</v>
      </c>
    </row>
    <row r="380" spans="1:54" x14ac:dyDescent="0.4">
      <c r="A380">
        <v>1285964</v>
      </c>
      <c r="D380" t="s">
        <v>246</v>
      </c>
      <c r="E380" t="s">
        <v>55</v>
      </c>
      <c r="G380">
        <v>1</v>
      </c>
      <c r="H380" t="s">
        <v>56</v>
      </c>
      <c r="I380" t="s">
        <v>57</v>
      </c>
      <c r="K380" t="s">
        <v>856</v>
      </c>
      <c r="L380" t="s">
        <v>1074</v>
      </c>
      <c r="M380" t="s">
        <v>59</v>
      </c>
      <c r="P380" t="s">
        <v>259</v>
      </c>
      <c r="Q380" t="s">
        <v>502</v>
      </c>
      <c r="R380" t="s">
        <v>260</v>
      </c>
      <c r="S380" t="s">
        <v>98</v>
      </c>
      <c r="T380">
        <v>259.51</v>
      </c>
      <c r="U380">
        <v>251.90199999999999</v>
      </c>
      <c r="V380">
        <f>(T380+U380)/2</f>
        <v>255.70599999999999</v>
      </c>
      <c r="W380">
        <f>T380-U380</f>
        <v>7.6080000000000041</v>
      </c>
      <c r="X380">
        <v>44.416668000000001</v>
      </c>
      <c r="Y380">
        <v>-24</v>
      </c>
      <c r="Z380" t="s">
        <v>99</v>
      </c>
      <c r="AA380" t="s">
        <v>692</v>
      </c>
      <c r="AB380" t="s">
        <v>693</v>
      </c>
      <c r="AD380" t="s">
        <v>694</v>
      </c>
      <c r="AE380" t="s">
        <v>695</v>
      </c>
      <c r="AH380" t="s">
        <v>65</v>
      </c>
      <c r="AI380" t="s">
        <v>1063</v>
      </c>
      <c r="AJ380">
        <v>1926</v>
      </c>
      <c r="AK380" t="s">
        <v>697</v>
      </c>
      <c r="AM380" t="s">
        <v>698</v>
      </c>
      <c r="AN380" t="s">
        <v>121</v>
      </c>
      <c r="AO380" t="s">
        <v>330</v>
      </c>
      <c r="AP380" t="s">
        <v>182</v>
      </c>
      <c r="AQ380" t="s">
        <v>699</v>
      </c>
      <c r="AR380" t="s">
        <v>70</v>
      </c>
      <c r="AS380">
        <v>702</v>
      </c>
      <c r="AT380" t="s">
        <v>71</v>
      </c>
      <c r="AU380">
        <v>22.51</v>
      </c>
      <c r="AV380">
        <v>-42.93</v>
      </c>
      <c r="AW380" t="s">
        <v>72</v>
      </c>
      <c r="AX380">
        <v>702</v>
      </c>
      <c r="AY380" t="s">
        <v>71</v>
      </c>
      <c r="AZ380">
        <v>24.25</v>
      </c>
      <c r="BA380">
        <v>-52.74</v>
      </c>
      <c r="BB380" t="s">
        <v>73</v>
      </c>
    </row>
    <row r="381" spans="1:54" x14ac:dyDescent="0.4">
      <c r="A381">
        <v>1285964</v>
      </c>
      <c r="D381" t="s">
        <v>246</v>
      </c>
      <c r="E381" t="s">
        <v>55</v>
      </c>
      <c r="G381">
        <v>1</v>
      </c>
      <c r="H381" t="s">
        <v>56</v>
      </c>
      <c r="I381" t="s">
        <v>57</v>
      </c>
      <c r="K381" t="s">
        <v>856</v>
      </c>
      <c r="L381" t="s">
        <v>1074</v>
      </c>
      <c r="M381" t="s">
        <v>59</v>
      </c>
      <c r="P381" t="s">
        <v>259</v>
      </c>
      <c r="Q381" t="s">
        <v>502</v>
      </c>
      <c r="R381" t="s">
        <v>260</v>
      </c>
      <c r="S381" t="s">
        <v>98</v>
      </c>
      <c r="T381">
        <v>259.51</v>
      </c>
      <c r="U381">
        <v>251.90199999999999</v>
      </c>
      <c r="V381">
        <f>(T381+U381)/2</f>
        <v>255.70599999999999</v>
      </c>
      <c r="W381">
        <f>T381-U381</f>
        <v>7.6080000000000041</v>
      </c>
      <c r="X381">
        <v>44.416668000000001</v>
      </c>
      <c r="Y381">
        <v>-24</v>
      </c>
      <c r="Z381" t="s">
        <v>99</v>
      </c>
      <c r="AA381" t="s">
        <v>692</v>
      </c>
      <c r="AB381" t="s">
        <v>693</v>
      </c>
      <c r="AD381" t="s">
        <v>694</v>
      </c>
      <c r="AE381" t="s">
        <v>695</v>
      </c>
      <c r="AH381" t="s">
        <v>65</v>
      </c>
      <c r="AI381" t="s">
        <v>1063</v>
      </c>
      <c r="AJ381">
        <v>1926</v>
      </c>
      <c r="AK381" t="s">
        <v>697</v>
      </c>
      <c r="AM381" t="s">
        <v>698</v>
      </c>
      <c r="AN381" t="s">
        <v>121</v>
      </c>
      <c r="AO381" t="s">
        <v>330</v>
      </c>
      <c r="AP381" t="s">
        <v>182</v>
      </c>
      <c r="AQ381" t="s">
        <v>699</v>
      </c>
      <c r="AR381" t="s">
        <v>70</v>
      </c>
      <c r="AS381">
        <v>702</v>
      </c>
      <c r="AT381" t="s">
        <v>71</v>
      </c>
      <c r="AU381">
        <v>22.51</v>
      </c>
      <c r="AV381">
        <v>-42.93</v>
      </c>
      <c r="AW381" t="s">
        <v>72</v>
      </c>
      <c r="AX381">
        <v>702</v>
      </c>
      <c r="AY381" t="s">
        <v>71</v>
      </c>
      <c r="AZ381">
        <v>24.25</v>
      </c>
      <c r="BA381">
        <v>-52.74</v>
      </c>
      <c r="BB381" t="s">
        <v>73</v>
      </c>
    </row>
    <row r="382" spans="1:54" x14ac:dyDescent="0.4">
      <c r="A382">
        <v>1285964</v>
      </c>
      <c r="D382" t="s">
        <v>246</v>
      </c>
      <c r="E382" t="s">
        <v>55</v>
      </c>
      <c r="G382">
        <v>1</v>
      </c>
      <c r="H382" t="s">
        <v>56</v>
      </c>
      <c r="I382" t="s">
        <v>57</v>
      </c>
      <c r="K382" t="s">
        <v>856</v>
      </c>
      <c r="L382" t="s">
        <v>1074</v>
      </c>
      <c r="M382" t="s">
        <v>59</v>
      </c>
      <c r="P382" t="s">
        <v>259</v>
      </c>
      <c r="Q382" t="s">
        <v>502</v>
      </c>
      <c r="R382" t="s">
        <v>260</v>
      </c>
      <c r="S382" t="s">
        <v>98</v>
      </c>
      <c r="T382">
        <v>259.51</v>
      </c>
      <c r="U382">
        <v>251.90199999999999</v>
      </c>
      <c r="V382">
        <f>(T382+U382)/2</f>
        <v>255.70599999999999</v>
      </c>
      <c r="W382">
        <f>T382-U382</f>
        <v>7.6080000000000041</v>
      </c>
      <c r="X382">
        <v>44.416668000000001</v>
      </c>
      <c r="Y382">
        <v>-24</v>
      </c>
      <c r="Z382" t="s">
        <v>99</v>
      </c>
      <c r="AA382" t="s">
        <v>692</v>
      </c>
      <c r="AB382" t="s">
        <v>693</v>
      </c>
      <c r="AD382" t="s">
        <v>694</v>
      </c>
      <c r="AE382" t="s">
        <v>695</v>
      </c>
      <c r="AH382" t="s">
        <v>65</v>
      </c>
      <c r="AI382" t="s">
        <v>1063</v>
      </c>
      <c r="AJ382">
        <v>1926</v>
      </c>
      <c r="AK382" t="s">
        <v>697</v>
      </c>
      <c r="AM382" t="s">
        <v>698</v>
      </c>
      <c r="AN382" t="s">
        <v>121</v>
      </c>
      <c r="AO382" t="s">
        <v>330</v>
      </c>
      <c r="AP382" t="s">
        <v>182</v>
      </c>
      <c r="AQ382" t="s">
        <v>699</v>
      </c>
      <c r="AR382" t="s">
        <v>70</v>
      </c>
      <c r="AS382">
        <v>702</v>
      </c>
      <c r="AT382" t="s">
        <v>71</v>
      </c>
      <c r="AU382">
        <v>22.51</v>
      </c>
      <c r="AV382">
        <v>-42.93</v>
      </c>
      <c r="AW382" t="s">
        <v>72</v>
      </c>
      <c r="AX382">
        <v>702</v>
      </c>
      <c r="AY382" t="s">
        <v>71</v>
      </c>
      <c r="AZ382">
        <v>24.25</v>
      </c>
      <c r="BA382">
        <v>-52.74</v>
      </c>
      <c r="BB382" t="s">
        <v>73</v>
      </c>
    </row>
    <row r="383" spans="1:54" x14ac:dyDescent="0.4">
      <c r="A383">
        <v>1285964</v>
      </c>
      <c r="D383" t="s">
        <v>246</v>
      </c>
      <c r="E383" t="s">
        <v>55</v>
      </c>
      <c r="G383">
        <v>1</v>
      </c>
      <c r="H383" t="s">
        <v>56</v>
      </c>
      <c r="I383" t="s">
        <v>57</v>
      </c>
      <c r="K383" t="s">
        <v>856</v>
      </c>
      <c r="L383" t="s">
        <v>1074</v>
      </c>
      <c r="M383" t="s">
        <v>59</v>
      </c>
      <c r="P383" t="s">
        <v>259</v>
      </c>
      <c r="Q383" t="s">
        <v>502</v>
      </c>
      <c r="R383" t="s">
        <v>260</v>
      </c>
      <c r="S383" t="s">
        <v>98</v>
      </c>
      <c r="T383">
        <v>259.51</v>
      </c>
      <c r="U383">
        <v>251.90199999999999</v>
      </c>
      <c r="V383">
        <f>(T383+U383)/2</f>
        <v>255.70599999999999</v>
      </c>
      <c r="W383">
        <f>T383-U383</f>
        <v>7.6080000000000041</v>
      </c>
      <c r="X383">
        <v>44.416668000000001</v>
      </c>
      <c r="Y383">
        <v>-24</v>
      </c>
      <c r="Z383" t="s">
        <v>99</v>
      </c>
      <c r="AA383" t="s">
        <v>692</v>
      </c>
      <c r="AB383" t="s">
        <v>693</v>
      </c>
      <c r="AD383" t="s">
        <v>694</v>
      </c>
      <c r="AE383" t="s">
        <v>695</v>
      </c>
      <c r="AH383" t="s">
        <v>65</v>
      </c>
      <c r="AI383" t="s">
        <v>1063</v>
      </c>
      <c r="AJ383">
        <v>1926</v>
      </c>
      <c r="AK383" t="s">
        <v>697</v>
      </c>
      <c r="AM383" t="s">
        <v>698</v>
      </c>
      <c r="AN383" t="s">
        <v>121</v>
      </c>
      <c r="AO383" t="s">
        <v>330</v>
      </c>
      <c r="AP383" t="s">
        <v>182</v>
      </c>
      <c r="AQ383" t="s">
        <v>699</v>
      </c>
      <c r="AR383" t="s">
        <v>70</v>
      </c>
      <c r="AS383">
        <v>702</v>
      </c>
      <c r="AT383" t="s">
        <v>71</v>
      </c>
      <c r="AU383">
        <v>22.51</v>
      </c>
      <c r="AV383">
        <v>-42.93</v>
      </c>
      <c r="AW383" t="s">
        <v>72</v>
      </c>
      <c r="AX383">
        <v>702</v>
      </c>
      <c r="AY383" t="s">
        <v>71</v>
      </c>
      <c r="AZ383">
        <v>24.25</v>
      </c>
      <c r="BA383">
        <v>-52.74</v>
      </c>
      <c r="BB383" t="s">
        <v>73</v>
      </c>
    </row>
    <row r="384" spans="1:54" x14ac:dyDescent="0.4">
      <c r="A384">
        <v>1285964</v>
      </c>
      <c r="D384" t="s">
        <v>246</v>
      </c>
      <c r="E384" t="s">
        <v>55</v>
      </c>
      <c r="G384">
        <v>1</v>
      </c>
      <c r="H384" t="s">
        <v>56</v>
      </c>
      <c r="I384" t="s">
        <v>57</v>
      </c>
      <c r="K384" t="s">
        <v>856</v>
      </c>
      <c r="L384" t="s">
        <v>1074</v>
      </c>
      <c r="M384" t="s">
        <v>59</v>
      </c>
      <c r="P384" t="s">
        <v>259</v>
      </c>
      <c r="Q384" t="s">
        <v>502</v>
      </c>
      <c r="R384" t="s">
        <v>260</v>
      </c>
      <c r="S384" t="s">
        <v>98</v>
      </c>
      <c r="T384">
        <v>259.51</v>
      </c>
      <c r="U384">
        <v>251.90199999999999</v>
      </c>
      <c r="V384">
        <f>(T384+U384)/2</f>
        <v>255.70599999999999</v>
      </c>
      <c r="W384">
        <f>T384-U384</f>
        <v>7.6080000000000041</v>
      </c>
      <c r="X384">
        <v>44.416668000000001</v>
      </c>
      <c r="Y384">
        <v>-24</v>
      </c>
      <c r="Z384" t="s">
        <v>99</v>
      </c>
      <c r="AA384" t="s">
        <v>692</v>
      </c>
      <c r="AB384" t="s">
        <v>693</v>
      </c>
      <c r="AD384" t="s">
        <v>694</v>
      </c>
      <c r="AE384" t="s">
        <v>695</v>
      </c>
      <c r="AH384" t="s">
        <v>65</v>
      </c>
      <c r="AI384" t="s">
        <v>1063</v>
      </c>
      <c r="AJ384">
        <v>1926</v>
      </c>
      <c r="AK384" t="s">
        <v>697</v>
      </c>
      <c r="AM384" t="s">
        <v>698</v>
      </c>
      <c r="AN384" t="s">
        <v>121</v>
      </c>
      <c r="AO384" t="s">
        <v>330</v>
      </c>
      <c r="AP384" t="s">
        <v>182</v>
      </c>
      <c r="AQ384" t="s">
        <v>699</v>
      </c>
      <c r="AR384" t="s">
        <v>70</v>
      </c>
      <c r="AS384">
        <v>702</v>
      </c>
      <c r="AT384" t="s">
        <v>71</v>
      </c>
      <c r="AU384">
        <v>22.51</v>
      </c>
      <c r="AV384">
        <v>-42.93</v>
      </c>
      <c r="AW384" t="s">
        <v>72</v>
      </c>
      <c r="AX384">
        <v>702</v>
      </c>
      <c r="AY384" t="s">
        <v>71</v>
      </c>
      <c r="AZ384">
        <v>24.25</v>
      </c>
      <c r="BA384">
        <v>-52.74</v>
      </c>
      <c r="BB384" t="s">
        <v>73</v>
      </c>
    </row>
    <row r="385" spans="1:54" x14ac:dyDescent="0.4">
      <c r="A385">
        <v>1285964</v>
      </c>
      <c r="D385" t="s">
        <v>246</v>
      </c>
      <c r="E385" t="s">
        <v>55</v>
      </c>
      <c r="G385">
        <v>1</v>
      </c>
      <c r="H385" t="s">
        <v>56</v>
      </c>
      <c r="I385" t="s">
        <v>57</v>
      </c>
      <c r="K385" t="s">
        <v>856</v>
      </c>
      <c r="L385" t="s">
        <v>1074</v>
      </c>
      <c r="M385" t="s">
        <v>59</v>
      </c>
      <c r="P385" t="s">
        <v>259</v>
      </c>
      <c r="Q385" t="s">
        <v>502</v>
      </c>
      <c r="R385" t="s">
        <v>260</v>
      </c>
      <c r="S385" t="s">
        <v>98</v>
      </c>
      <c r="T385">
        <v>259.51</v>
      </c>
      <c r="U385">
        <v>251.90199999999999</v>
      </c>
      <c r="V385">
        <f>(T385+U385)/2</f>
        <v>255.70599999999999</v>
      </c>
      <c r="W385">
        <f>T385-U385</f>
        <v>7.6080000000000041</v>
      </c>
      <c r="X385">
        <v>44.416668000000001</v>
      </c>
      <c r="Y385">
        <v>-24</v>
      </c>
      <c r="Z385" t="s">
        <v>99</v>
      </c>
      <c r="AA385" t="s">
        <v>692</v>
      </c>
      <c r="AB385" t="s">
        <v>693</v>
      </c>
      <c r="AD385" t="s">
        <v>694</v>
      </c>
      <c r="AE385" t="s">
        <v>695</v>
      </c>
      <c r="AH385" t="s">
        <v>65</v>
      </c>
      <c r="AI385" t="s">
        <v>1063</v>
      </c>
      <c r="AJ385">
        <v>1926</v>
      </c>
      <c r="AK385" t="s">
        <v>697</v>
      </c>
      <c r="AM385" t="s">
        <v>698</v>
      </c>
      <c r="AN385" t="s">
        <v>121</v>
      </c>
      <c r="AO385" t="s">
        <v>330</v>
      </c>
      <c r="AP385" t="s">
        <v>182</v>
      </c>
      <c r="AQ385" t="s">
        <v>699</v>
      </c>
      <c r="AR385" t="s">
        <v>70</v>
      </c>
      <c r="AS385">
        <v>702</v>
      </c>
      <c r="AT385" t="s">
        <v>71</v>
      </c>
      <c r="AU385">
        <v>22.51</v>
      </c>
      <c r="AV385">
        <v>-42.93</v>
      </c>
      <c r="AW385" t="s">
        <v>72</v>
      </c>
      <c r="AX385">
        <v>702</v>
      </c>
      <c r="AY385" t="s">
        <v>71</v>
      </c>
      <c r="AZ385">
        <v>24.25</v>
      </c>
      <c r="BA385">
        <v>-52.74</v>
      </c>
      <c r="BB385" t="s">
        <v>73</v>
      </c>
    </row>
    <row r="386" spans="1:54" x14ac:dyDescent="0.4">
      <c r="A386">
        <v>1285964</v>
      </c>
      <c r="D386" t="s">
        <v>246</v>
      </c>
      <c r="E386" t="s">
        <v>55</v>
      </c>
      <c r="G386">
        <v>1</v>
      </c>
      <c r="H386" t="s">
        <v>56</v>
      </c>
      <c r="I386" t="s">
        <v>57</v>
      </c>
      <c r="K386" t="s">
        <v>856</v>
      </c>
      <c r="L386" t="s">
        <v>1074</v>
      </c>
      <c r="M386" t="s">
        <v>59</v>
      </c>
      <c r="P386" t="s">
        <v>259</v>
      </c>
      <c r="Q386" t="s">
        <v>502</v>
      </c>
      <c r="R386" t="s">
        <v>260</v>
      </c>
      <c r="S386" t="s">
        <v>98</v>
      </c>
      <c r="T386">
        <v>259.51</v>
      </c>
      <c r="U386">
        <v>251.90199999999999</v>
      </c>
      <c r="V386">
        <f>(T386+U386)/2</f>
        <v>255.70599999999999</v>
      </c>
      <c r="W386">
        <f>T386-U386</f>
        <v>7.6080000000000041</v>
      </c>
      <c r="X386">
        <v>44.416668000000001</v>
      </c>
      <c r="Y386">
        <v>-24</v>
      </c>
      <c r="Z386" t="s">
        <v>99</v>
      </c>
      <c r="AA386" t="s">
        <v>692</v>
      </c>
      <c r="AB386" t="s">
        <v>693</v>
      </c>
      <c r="AD386" t="s">
        <v>694</v>
      </c>
      <c r="AE386" t="s">
        <v>695</v>
      </c>
      <c r="AH386" t="s">
        <v>65</v>
      </c>
      <c r="AI386" t="s">
        <v>1063</v>
      </c>
      <c r="AJ386">
        <v>1926</v>
      </c>
      <c r="AK386" t="s">
        <v>697</v>
      </c>
      <c r="AM386" t="s">
        <v>698</v>
      </c>
      <c r="AN386" t="s">
        <v>121</v>
      </c>
      <c r="AO386" t="s">
        <v>330</v>
      </c>
      <c r="AP386" t="s">
        <v>182</v>
      </c>
      <c r="AQ386" t="s">
        <v>699</v>
      </c>
      <c r="AR386" t="s">
        <v>70</v>
      </c>
      <c r="AS386">
        <v>702</v>
      </c>
      <c r="AT386" t="s">
        <v>71</v>
      </c>
      <c r="AU386">
        <v>22.51</v>
      </c>
      <c r="AV386">
        <v>-42.93</v>
      </c>
      <c r="AW386" t="s">
        <v>72</v>
      </c>
      <c r="AX386">
        <v>702</v>
      </c>
      <c r="AY386" t="s">
        <v>71</v>
      </c>
      <c r="AZ386">
        <v>24.25</v>
      </c>
      <c r="BA386">
        <v>-52.74</v>
      </c>
      <c r="BB386" t="s">
        <v>73</v>
      </c>
    </row>
    <row r="387" spans="1:54" x14ac:dyDescent="0.4">
      <c r="A387">
        <v>1285964</v>
      </c>
      <c r="D387" t="s">
        <v>246</v>
      </c>
      <c r="E387" t="s">
        <v>55</v>
      </c>
      <c r="G387">
        <v>1</v>
      </c>
      <c r="H387" t="s">
        <v>56</v>
      </c>
      <c r="I387" t="s">
        <v>57</v>
      </c>
      <c r="K387" t="s">
        <v>856</v>
      </c>
      <c r="L387" t="s">
        <v>1074</v>
      </c>
      <c r="M387" t="s">
        <v>59</v>
      </c>
      <c r="P387" t="s">
        <v>259</v>
      </c>
      <c r="Q387" t="s">
        <v>502</v>
      </c>
      <c r="R387" t="s">
        <v>260</v>
      </c>
      <c r="S387" t="s">
        <v>98</v>
      </c>
      <c r="T387">
        <v>259.51</v>
      </c>
      <c r="U387">
        <v>251.90199999999999</v>
      </c>
      <c r="V387">
        <f>(T387+U387)/2</f>
        <v>255.70599999999999</v>
      </c>
      <c r="W387">
        <f>T387-U387</f>
        <v>7.6080000000000041</v>
      </c>
      <c r="X387">
        <v>44.416668000000001</v>
      </c>
      <c r="Y387">
        <v>-24</v>
      </c>
      <c r="Z387" t="s">
        <v>99</v>
      </c>
      <c r="AA387" t="s">
        <v>692</v>
      </c>
      <c r="AB387" t="s">
        <v>693</v>
      </c>
      <c r="AD387" t="s">
        <v>694</v>
      </c>
      <c r="AE387" t="s">
        <v>695</v>
      </c>
      <c r="AH387" t="s">
        <v>65</v>
      </c>
      <c r="AI387" t="s">
        <v>1063</v>
      </c>
      <c r="AJ387">
        <v>1926</v>
      </c>
      <c r="AK387" t="s">
        <v>697</v>
      </c>
      <c r="AM387" t="s">
        <v>698</v>
      </c>
      <c r="AN387" t="s">
        <v>121</v>
      </c>
      <c r="AO387" t="s">
        <v>330</v>
      </c>
      <c r="AP387" t="s">
        <v>182</v>
      </c>
      <c r="AQ387" t="s">
        <v>699</v>
      </c>
      <c r="AR387" t="s">
        <v>70</v>
      </c>
      <c r="AS387">
        <v>702</v>
      </c>
      <c r="AT387" t="s">
        <v>71</v>
      </c>
      <c r="AU387">
        <v>22.51</v>
      </c>
      <c r="AV387">
        <v>-42.93</v>
      </c>
      <c r="AW387" t="s">
        <v>72</v>
      </c>
      <c r="AX387">
        <v>702</v>
      </c>
      <c r="AY387" t="s">
        <v>71</v>
      </c>
      <c r="AZ387">
        <v>24.25</v>
      </c>
      <c r="BA387">
        <v>-52.74</v>
      </c>
      <c r="BB387" t="s">
        <v>73</v>
      </c>
    </row>
    <row r="388" spans="1:54" x14ac:dyDescent="0.4">
      <c r="A388">
        <v>1285964</v>
      </c>
      <c r="D388" t="s">
        <v>246</v>
      </c>
      <c r="E388" t="s">
        <v>55</v>
      </c>
      <c r="G388">
        <v>1</v>
      </c>
      <c r="H388" t="s">
        <v>56</v>
      </c>
      <c r="I388" t="s">
        <v>57</v>
      </c>
      <c r="K388" t="s">
        <v>856</v>
      </c>
      <c r="L388" t="s">
        <v>1074</v>
      </c>
      <c r="M388" t="s">
        <v>59</v>
      </c>
      <c r="P388" t="s">
        <v>259</v>
      </c>
      <c r="Q388" t="s">
        <v>502</v>
      </c>
      <c r="R388" t="s">
        <v>260</v>
      </c>
      <c r="S388" t="s">
        <v>98</v>
      </c>
      <c r="T388">
        <v>259.51</v>
      </c>
      <c r="U388">
        <v>251.90199999999999</v>
      </c>
      <c r="V388">
        <f>(T388+U388)/2</f>
        <v>255.70599999999999</v>
      </c>
      <c r="W388">
        <f>T388-U388</f>
        <v>7.6080000000000041</v>
      </c>
      <c r="X388">
        <v>44.416668000000001</v>
      </c>
      <c r="Y388">
        <v>-24</v>
      </c>
      <c r="Z388" t="s">
        <v>99</v>
      </c>
      <c r="AA388" t="s">
        <v>692</v>
      </c>
      <c r="AB388" t="s">
        <v>693</v>
      </c>
      <c r="AD388" t="s">
        <v>694</v>
      </c>
      <c r="AE388" t="s">
        <v>695</v>
      </c>
      <c r="AH388" t="s">
        <v>65</v>
      </c>
      <c r="AI388" t="s">
        <v>1063</v>
      </c>
      <c r="AJ388">
        <v>1926</v>
      </c>
      <c r="AK388" t="s">
        <v>697</v>
      </c>
      <c r="AM388" t="s">
        <v>698</v>
      </c>
      <c r="AN388" t="s">
        <v>121</v>
      </c>
      <c r="AO388" t="s">
        <v>330</v>
      </c>
      <c r="AP388" t="s">
        <v>182</v>
      </c>
      <c r="AQ388" t="s">
        <v>699</v>
      </c>
      <c r="AR388" t="s">
        <v>70</v>
      </c>
      <c r="AS388">
        <v>702</v>
      </c>
      <c r="AT388" t="s">
        <v>71</v>
      </c>
      <c r="AU388">
        <v>22.51</v>
      </c>
      <c r="AV388">
        <v>-42.93</v>
      </c>
      <c r="AW388" t="s">
        <v>72</v>
      </c>
      <c r="AX388">
        <v>702</v>
      </c>
      <c r="AY388" t="s">
        <v>71</v>
      </c>
      <c r="AZ388">
        <v>24.25</v>
      </c>
      <c r="BA388">
        <v>-52.74</v>
      </c>
      <c r="BB388" t="s">
        <v>73</v>
      </c>
    </row>
    <row r="389" spans="1:54" x14ac:dyDescent="0.4">
      <c r="A389">
        <v>1285964</v>
      </c>
      <c r="D389" t="s">
        <v>246</v>
      </c>
      <c r="E389" t="s">
        <v>55</v>
      </c>
      <c r="G389">
        <v>1</v>
      </c>
      <c r="H389" t="s">
        <v>56</v>
      </c>
      <c r="I389" t="s">
        <v>57</v>
      </c>
      <c r="K389" t="s">
        <v>856</v>
      </c>
      <c r="L389" t="s">
        <v>1074</v>
      </c>
      <c r="M389" t="s">
        <v>59</v>
      </c>
      <c r="P389" t="s">
        <v>259</v>
      </c>
      <c r="Q389" t="s">
        <v>502</v>
      </c>
      <c r="R389" t="s">
        <v>260</v>
      </c>
      <c r="S389" t="s">
        <v>98</v>
      </c>
      <c r="T389">
        <v>259.51</v>
      </c>
      <c r="U389">
        <v>251.90199999999999</v>
      </c>
      <c r="V389">
        <f>(T389+U389)/2</f>
        <v>255.70599999999999</v>
      </c>
      <c r="W389">
        <f>T389-U389</f>
        <v>7.6080000000000041</v>
      </c>
      <c r="X389">
        <v>44.416668000000001</v>
      </c>
      <c r="Y389">
        <v>-24</v>
      </c>
      <c r="Z389" t="s">
        <v>99</v>
      </c>
      <c r="AA389" t="s">
        <v>692</v>
      </c>
      <c r="AB389" t="s">
        <v>693</v>
      </c>
      <c r="AD389" t="s">
        <v>694</v>
      </c>
      <c r="AE389" t="s">
        <v>695</v>
      </c>
      <c r="AH389" t="s">
        <v>65</v>
      </c>
      <c r="AI389" t="s">
        <v>1063</v>
      </c>
      <c r="AJ389">
        <v>1926</v>
      </c>
      <c r="AK389" t="s">
        <v>697</v>
      </c>
      <c r="AM389" t="s">
        <v>698</v>
      </c>
      <c r="AN389" t="s">
        <v>121</v>
      </c>
      <c r="AO389" t="s">
        <v>330</v>
      </c>
      <c r="AP389" t="s">
        <v>182</v>
      </c>
      <c r="AQ389" t="s">
        <v>699</v>
      </c>
      <c r="AR389" t="s">
        <v>70</v>
      </c>
      <c r="AS389">
        <v>702</v>
      </c>
      <c r="AT389" t="s">
        <v>71</v>
      </c>
      <c r="AU389">
        <v>22.51</v>
      </c>
      <c r="AV389">
        <v>-42.93</v>
      </c>
      <c r="AW389" t="s">
        <v>72</v>
      </c>
      <c r="AX389">
        <v>702</v>
      </c>
      <c r="AY389" t="s">
        <v>71</v>
      </c>
      <c r="AZ389">
        <v>24.25</v>
      </c>
      <c r="BA389">
        <v>-52.74</v>
      </c>
      <c r="BB389" t="s">
        <v>73</v>
      </c>
    </row>
    <row r="390" spans="1:54" x14ac:dyDescent="0.4">
      <c r="A390">
        <v>1285964</v>
      </c>
      <c r="D390" t="s">
        <v>246</v>
      </c>
      <c r="E390" t="s">
        <v>55</v>
      </c>
      <c r="G390">
        <v>1</v>
      </c>
      <c r="H390" t="s">
        <v>56</v>
      </c>
      <c r="I390" t="s">
        <v>57</v>
      </c>
      <c r="K390" t="s">
        <v>856</v>
      </c>
      <c r="L390" t="s">
        <v>1074</v>
      </c>
      <c r="M390" t="s">
        <v>59</v>
      </c>
      <c r="P390" t="s">
        <v>259</v>
      </c>
      <c r="Q390" t="s">
        <v>502</v>
      </c>
      <c r="R390" t="s">
        <v>260</v>
      </c>
      <c r="S390" t="s">
        <v>98</v>
      </c>
      <c r="T390">
        <v>259.51</v>
      </c>
      <c r="U390">
        <v>251.90199999999999</v>
      </c>
      <c r="V390">
        <f>(T390+U390)/2</f>
        <v>255.70599999999999</v>
      </c>
      <c r="W390">
        <f>T390-U390</f>
        <v>7.6080000000000041</v>
      </c>
      <c r="X390">
        <v>44.416668000000001</v>
      </c>
      <c r="Y390">
        <v>-24</v>
      </c>
      <c r="Z390" t="s">
        <v>99</v>
      </c>
      <c r="AA390" t="s">
        <v>692</v>
      </c>
      <c r="AB390" t="s">
        <v>693</v>
      </c>
      <c r="AD390" t="s">
        <v>694</v>
      </c>
      <c r="AE390" t="s">
        <v>695</v>
      </c>
      <c r="AH390" t="s">
        <v>65</v>
      </c>
      <c r="AI390" t="s">
        <v>1063</v>
      </c>
      <c r="AJ390">
        <v>1926</v>
      </c>
      <c r="AK390" t="s">
        <v>697</v>
      </c>
      <c r="AM390" t="s">
        <v>698</v>
      </c>
      <c r="AN390" t="s">
        <v>121</v>
      </c>
      <c r="AO390" t="s">
        <v>330</v>
      </c>
      <c r="AP390" t="s">
        <v>182</v>
      </c>
      <c r="AQ390" t="s">
        <v>699</v>
      </c>
      <c r="AR390" t="s">
        <v>70</v>
      </c>
      <c r="AS390">
        <v>702</v>
      </c>
      <c r="AT390" t="s">
        <v>71</v>
      </c>
      <c r="AU390">
        <v>22.51</v>
      </c>
      <c r="AV390">
        <v>-42.93</v>
      </c>
      <c r="AW390" t="s">
        <v>72</v>
      </c>
      <c r="AX390">
        <v>702</v>
      </c>
      <c r="AY390" t="s">
        <v>71</v>
      </c>
      <c r="AZ390">
        <v>24.25</v>
      </c>
      <c r="BA390">
        <v>-52.74</v>
      </c>
      <c r="BB390" t="s">
        <v>73</v>
      </c>
    </row>
    <row r="391" spans="1:54" x14ac:dyDescent="0.4">
      <c r="A391">
        <v>1285964</v>
      </c>
      <c r="D391" t="s">
        <v>246</v>
      </c>
      <c r="E391" t="s">
        <v>55</v>
      </c>
      <c r="G391">
        <v>1</v>
      </c>
      <c r="H391" t="s">
        <v>56</v>
      </c>
      <c r="I391" t="s">
        <v>57</v>
      </c>
      <c r="K391" t="s">
        <v>856</v>
      </c>
      <c r="L391" t="s">
        <v>1074</v>
      </c>
      <c r="M391" t="s">
        <v>59</v>
      </c>
      <c r="P391" t="s">
        <v>259</v>
      </c>
      <c r="Q391" t="s">
        <v>502</v>
      </c>
      <c r="R391" t="s">
        <v>260</v>
      </c>
      <c r="S391" t="s">
        <v>98</v>
      </c>
      <c r="T391">
        <v>259.51</v>
      </c>
      <c r="U391">
        <v>251.90199999999999</v>
      </c>
      <c r="V391">
        <f>(T391+U391)/2</f>
        <v>255.70599999999999</v>
      </c>
      <c r="W391">
        <f>T391-U391</f>
        <v>7.6080000000000041</v>
      </c>
      <c r="X391">
        <v>44.416668000000001</v>
      </c>
      <c r="Y391">
        <v>-24</v>
      </c>
      <c r="Z391" t="s">
        <v>99</v>
      </c>
      <c r="AA391" t="s">
        <v>692</v>
      </c>
      <c r="AB391" t="s">
        <v>693</v>
      </c>
      <c r="AD391" t="s">
        <v>694</v>
      </c>
      <c r="AE391" t="s">
        <v>695</v>
      </c>
      <c r="AH391" t="s">
        <v>65</v>
      </c>
      <c r="AI391" t="s">
        <v>1063</v>
      </c>
      <c r="AJ391">
        <v>1926</v>
      </c>
      <c r="AK391" t="s">
        <v>697</v>
      </c>
      <c r="AM391" t="s">
        <v>698</v>
      </c>
      <c r="AN391" t="s">
        <v>121</v>
      </c>
      <c r="AO391" t="s">
        <v>330</v>
      </c>
      <c r="AP391" t="s">
        <v>182</v>
      </c>
      <c r="AQ391" t="s">
        <v>699</v>
      </c>
      <c r="AR391" t="s">
        <v>70</v>
      </c>
      <c r="AS391">
        <v>702</v>
      </c>
      <c r="AT391" t="s">
        <v>71</v>
      </c>
      <c r="AU391">
        <v>22.51</v>
      </c>
      <c r="AV391">
        <v>-42.93</v>
      </c>
      <c r="AW391" t="s">
        <v>72</v>
      </c>
      <c r="AX391">
        <v>702</v>
      </c>
      <c r="AY391" t="s">
        <v>71</v>
      </c>
      <c r="AZ391">
        <v>24.25</v>
      </c>
      <c r="BA391">
        <v>-52.74</v>
      </c>
      <c r="BB391" t="s">
        <v>73</v>
      </c>
    </row>
    <row r="392" spans="1:54" x14ac:dyDescent="0.4">
      <c r="A392">
        <v>1285964</v>
      </c>
      <c r="D392" t="s">
        <v>246</v>
      </c>
      <c r="E392" t="s">
        <v>55</v>
      </c>
      <c r="G392">
        <v>1</v>
      </c>
      <c r="H392" t="s">
        <v>56</v>
      </c>
      <c r="I392" t="s">
        <v>57</v>
      </c>
      <c r="K392" t="s">
        <v>856</v>
      </c>
      <c r="L392" t="s">
        <v>1074</v>
      </c>
      <c r="M392" t="s">
        <v>59</v>
      </c>
      <c r="P392" t="s">
        <v>259</v>
      </c>
      <c r="Q392" t="s">
        <v>502</v>
      </c>
      <c r="R392" t="s">
        <v>260</v>
      </c>
      <c r="S392" t="s">
        <v>98</v>
      </c>
      <c r="T392">
        <v>259.51</v>
      </c>
      <c r="U392">
        <v>251.90199999999999</v>
      </c>
      <c r="V392">
        <f>(T392+U392)/2</f>
        <v>255.70599999999999</v>
      </c>
      <c r="W392">
        <f>T392-U392</f>
        <v>7.6080000000000041</v>
      </c>
      <c r="X392">
        <v>44.416668000000001</v>
      </c>
      <c r="Y392">
        <v>-24</v>
      </c>
      <c r="Z392" t="s">
        <v>99</v>
      </c>
      <c r="AA392" t="s">
        <v>692</v>
      </c>
      <c r="AB392" t="s">
        <v>693</v>
      </c>
      <c r="AD392" t="s">
        <v>694</v>
      </c>
      <c r="AE392" t="s">
        <v>695</v>
      </c>
      <c r="AH392" t="s">
        <v>65</v>
      </c>
      <c r="AI392" t="s">
        <v>1063</v>
      </c>
      <c r="AJ392">
        <v>1926</v>
      </c>
      <c r="AK392" t="s">
        <v>697</v>
      </c>
      <c r="AM392" t="s">
        <v>698</v>
      </c>
      <c r="AN392" t="s">
        <v>121</v>
      </c>
      <c r="AO392" t="s">
        <v>330</v>
      </c>
      <c r="AP392" t="s">
        <v>182</v>
      </c>
      <c r="AQ392" t="s">
        <v>699</v>
      </c>
      <c r="AR392" t="s">
        <v>70</v>
      </c>
      <c r="AS392">
        <v>702</v>
      </c>
      <c r="AT392" t="s">
        <v>71</v>
      </c>
      <c r="AU392">
        <v>22.51</v>
      </c>
      <c r="AV392">
        <v>-42.93</v>
      </c>
      <c r="AW392" t="s">
        <v>72</v>
      </c>
      <c r="AX392">
        <v>702</v>
      </c>
      <c r="AY392" t="s">
        <v>71</v>
      </c>
      <c r="AZ392">
        <v>24.25</v>
      </c>
      <c r="BA392">
        <v>-52.74</v>
      </c>
      <c r="BB392" t="s">
        <v>73</v>
      </c>
    </row>
    <row r="393" spans="1:54" x14ac:dyDescent="0.4">
      <c r="A393">
        <v>1285964</v>
      </c>
      <c r="D393" t="s">
        <v>246</v>
      </c>
      <c r="E393" t="s">
        <v>55</v>
      </c>
      <c r="G393">
        <v>1</v>
      </c>
      <c r="H393" t="s">
        <v>56</v>
      </c>
      <c r="I393" t="s">
        <v>57</v>
      </c>
      <c r="K393" t="s">
        <v>856</v>
      </c>
      <c r="L393" t="s">
        <v>1074</v>
      </c>
      <c r="M393" t="s">
        <v>59</v>
      </c>
      <c r="P393" t="s">
        <v>259</v>
      </c>
      <c r="Q393" t="s">
        <v>502</v>
      </c>
      <c r="R393" t="s">
        <v>260</v>
      </c>
      <c r="S393" t="s">
        <v>98</v>
      </c>
      <c r="T393">
        <v>259.51</v>
      </c>
      <c r="U393">
        <v>251.90199999999999</v>
      </c>
      <c r="V393">
        <f>(T393+U393)/2</f>
        <v>255.70599999999999</v>
      </c>
      <c r="W393">
        <f>T393-U393</f>
        <v>7.6080000000000041</v>
      </c>
      <c r="X393">
        <v>44.416668000000001</v>
      </c>
      <c r="Y393">
        <v>-24</v>
      </c>
      <c r="Z393" t="s">
        <v>99</v>
      </c>
      <c r="AA393" t="s">
        <v>692</v>
      </c>
      <c r="AB393" t="s">
        <v>693</v>
      </c>
      <c r="AD393" t="s">
        <v>694</v>
      </c>
      <c r="AE393" t="s">
        <v>695</v>
      </c>
      <c r="AH393" t="s">
        <v>65</v>
      </c>
      <c r="AI393" t="s">
        <v>1063</v>
      </c>
      <c r="AJ393">
        <v>1926</v>
      </c>
      <c r="AK393" t="s">
        <v>697</v>
      </c>
      <c r="AM393" t="s">
        <v>698</v>
      </c>
      <c r="AN393" t="s">
        <v>121</v>
      </c>
      <c r="AO393" t="s">
        <v>330</v>
      </c>
      <c r="AP393" t="s">
        <v>182</v>
      </c>
      <c r="AQ393" t="s">
        <v>699</v>
      </c>
      <c r="AR393" t="s">
        <v>70</v>
      </c>
      <c r="AS393">
        <v>702</v>
      </c>
      <c r="AT393" t="s">
        <v>71</v>
      </c>
      <c r="AU393">
        <v>22.51</v>
      </c>
      <c r="AV393">
        <v>-42.93</v>
      </c>
      <c r="AW393" t="s">
        <v>72</v>
      </c>
      <c r="AX393">
        <v>702</v>
      </c>
      <c r="AY393" t="s">
        <v>71</v>
      </c>
      <c r="AZ393">
        <v>24.25</v>
      </c>
      <c r="BA393">
        <v>-52.74</v>
      </c>
      <c r="BB393" t="s">
        <v>73</v>
      </c>
    </row>
    <row r="394" spans="1:54" x14ac:dyDescent="0.4">
      <c r="A394">
        <v>1285964</v>
      </c>
      <c r="D394" t="s">
        <v>246</v>
      </c>
      <c r="E394" t="s">
        <v>55</v>
      </c>
      <c r="G394">
        <v>1</v>
      </c>
      <c r="H394" t="s">
        <v>56</v>
      </c>
      <c r="I394" t="s">
        <v>57</v>
      </c>
      <c r="K394" t="s">
        <v>856</v>
      </c>
      <c r="L394" t="s">
        <v>1074</v>
      </c>
      <c r="M394" t="s">
        <v>59</v>
      </c>
      <c r="P394" t="s">
        <v>259</v>
      </c>
      <c r="Q394" t="s">
        <v>502</v>
      </c>
      <c r="R394" t="s">
        <v>260</v>
      </c>
      <c r="S394" t="s">
        <v>98</v>
      </c>
      <c r="T394">
        <v>259.51</v>
      </c>
      <c r="U394">
        <v>251.90199999999999</v>
      </c>
      <c r="V394">
        <f>(T394+U394)/2</f>
        <v>255.70599999999999</v>
      </c>
      <c r="W394">
        <f>T394-U394</f>
        <v>7.6080000000000041</v>
      </c>
      <c r="X394">
        <v>44.416668000000001</v>
      </c>
      <c r="Y394">
        <v>-24</v>
      </c>
      <c r="Z394" t="s">
        <v>99</v>
      </c>
      <c r="AA394" t="s">
        <v>692</v>
      </c>
      <c r="AB394" t="s">
        <v>693</v>
      </c>
      <c r="AD394" t="s">
        <v>694</v>
      </c>
      <c r="AE394" t="s">
        <v>695</v>
      </c>
      <c r="AH394" t="s">
        <v>65</v>
      </c>
      <c r="AI394" t="s">
        <v>1063</v>
      </c>
      <c r="AJ394">
        <v>1926</v>
      </c>
      <c r="AK394" t="s">
        <v>697</v>
      </c>
      <c r="AM394" t="s">
        <v>698</v>
      </c>
      <c r="AN394" t="s">
        <v>121</v>
      </c>
      <c r="AO394" t="s">
        <v>330</v>
      </c>
      <c r="AP394" t="s">
        <v>182</v>
      </c>
      <c r="AQ394" t="s">
        <v>699</v>
      </c>
      <c r="AR394" t="s">
        <v>70</v>
      </c>
      <c r="AS394">
        <v>702</v>
      </c>
      <c r="AT394" t="s">
        <v>71</v>
      </c>
      <c r="AU394">
        <v>22.51</v>
      </c>
      <c r="AV394">
        <v>-42.93</v>
      </c>
      <c r="AW394" t="s">
        <v>72</v>
      </c>
      <c r="AX394">
        <v>702</v>
      </c>
      <c r="AY394" t="s">
        <v>71</v>
      </c>
      <c r="AZ394">
        <v>24.25</v>
      </c>
      <c r="BA394">
        <v>-52.74</v>
      </c>
      <c r="BB394" t="s">
        <v>73</v>
      </c>
    </row>
    <row r="395" spans="1:54" x14ac:dyDescent="0.4">
      <c r="A395">
        <v>1285964</v>
      </c>
      <c r="D395" t="s">
        <v>246</v>
      </c>
      <c r="E395" t="s">
        <v>55</v>
      </c>
      <c r="G395">
        <v>1</v>
      </c>
      <c r="H395" t="s">
        <v>56</v>
      </c>
      <c r="I395" t="s">
        <v>57</v>
      </c>
      <c r="K395" t="s">
        <v>856</v>
      </c>
      <c r="L395" t="s">
        <v>1074</v>
      </c>
      <c r="M395" t="s">
        <v>59</v>
      </c>
      <c r="P395" t="s">
        <v>259</v>
      </c>
      <c r="Q395" t="s">
        <v>502</v>
      </c>
      <c r="R395" t="s">
        <v>260</v>
      </c>
      <c r="S395" t="s">
        <v>98</v>
      </c>
      <c r="T395">
        <v>259.51</v>
      </c>
      <c r="U395">
        <v>251.90199999999999</v>
      </c>
      <c r="V395">
        <f>(T395+U395)/2</f>
        <v>255.70599999999999</v>
      </c>
      <c r="W395">
        <f>T395-U395</f>
        <v>7.6080000000000041</v>
      </c>
      <c r="X395">
        <v>44.416668000000001</v>
      </c>
      <c r="Y395">
        <v>-24</v>
      </c>
      <c r="Z395" t="s">
        <v>99</v>
      </c>
      <c r="AA395" t="s">
        <v>692</v>
      </c>
      <c r="AB395" t="s">
        <v>693</v>
      </c>
      <c r="AD395" t="s">
        <v>694</v>
      </c>
      <c r="AE395" t="s">
        <v>695</v>
      </c>
      <c r="AH395" t="s">
        <v>65</v>
      </c>
      <c r="AI395" t="s">
        <v>1063</v>
      </c>
      <c r="AJ395">
        <v>1926</v>
      </c>
      <c r="AK395" t="s">
        <v>697</v>
      </c>
      <c r="AM395" t="s">
        <v>698</v>
      </c>
      <c r="AN395" t="s">
        <v>121</v>
      </c>
      <c r="AO395" t="s">
        <v>330</v>
      </c>
      <c r="AP395" t="s">
        <v>182</v>
      </c>
      <c r="AQ395" t="s">
        <v>699</v>
      </c>
      <c r="AR395" t="s">
        <v>70</v>
      </c>
      <c r="AS395">
        <v>702</v>
      </c>
      <c r="AT395" t="s">
        <v>71</v>
      </c>
      <c r="AU395">
        <v>22.51</v>
      </c>
      <c r="AV395">
        <v>-42.93</v>
      </c>
      <c r="AW395" t="s">
        <v>72</v>
      </c>
      <c r="AX395">
        <v>702</v>
      </c>
      <c r="AY395" t="s">
        <v>71</v>
      </c>
      <c r="AZ395">
        <v>24.25</v>
      </c>
      <c r="BA395">
        <v>-52.74</v>
      </c>
      <c r="BB395" t="s">
        <v>73</v>
      </c>
    </row>
    <row r="396" spans="1:54" x14ac:dyDescent="0.4">
      <c r="A396">
        <v>1285964</v>
      </c>
      <c r="D396" t="s">
        <v>246</v>
      </c>
      <c r="E396" t="s">
        <v>55</v>
      </c>
      <c r="G396">
        <v>1</v>
      </c>
      <c r="H396" t="s">
        <v>56</v>
      </c>
      <c r="I396" t="s">
        <v>57</v>
      </c>
      <c r="K396" t="s">
        <v>856</v>
      </c>
      <c r="L396" t="s">
        <v>1074</v>
      </c>
      <c r="M396" t="s">
        <v>59</v>
      </c>
      <c r="P396" t="s">
        <v>259</v>
      </c>
      <c r="Q396" t="s">
        <v>502</v>
      </c>
      <c r="R396" t="s">
        <v>260</v>
      </c>
      <c r="S396" t="s">
        <v>98</v>
      </c>
      <c r="T396">
        <v>259.51</v>
      </c>
      <c r="U396">
        <v>251.90199999999999</v>
      </c>
      <c r="V396">
        <f>(T396+U396)/2</f>
        <v>255.70599999999999</v>
      </c>
      <c r="W396">
        <f>T396-U396</f>
        <v>7.6080000000000041</v>
      </c>
      <c r="X396">
        <v>44.416668000000001</v>
      </c>
      <c r="Y396">
        <v>-24</v>
      </c>
      <c r="Z396" t="s">
        <v>99</v>
      </c>
      <c r="AA396" t="s">
        <v>692</v>
      </c>
      <c r="AB396" t="s">
        <v>693</v>
      </c>
      <c r="AD396" t="s">
        <v>694</v>
      </c>
      <c r="AE396" t="s">
        <v>695</v>
      </c>
      <c r="AH396" t="s">
        <v>65</v>
      </c>
      <c r="AI396" t="s">
        <v>1063</v>
      </c>
      <c r="AJ396">
        <v>1926</v>
      </c>
      <c r="AK396" t="s">
        <v>697</v>
      </c>
      <c r="AM396" t="s">
        <v>698</v>
      </c>
      <c r="AN396" t="s">
        <v>121</v>
      </c>
      <c r="AO396" t="s">
        <v>330</v>
      </c>
      <c r="AP396" t="s">
        <v>182</v>
      </c>
      <c r="AQ396" t="s">
        <v>699</v>
      </c>
      <c r="AR396" t="s">
        <v>70</v>
      </c>
      <c r="AS396">
        <v>702</v>
      </c>
      <c r="AT396" t="s">
        <v>71</v>
      </c>
      <c r="AU396">
        <v>22.51</v>
      </c>
      <c r="AV396">
        <v>-42.93</v>
      </c>
      <c r="AW396" t="s">
        <v>72</v>
      </c>
      <c r="AX396">
        <v>702</v>
      </c>
      <c r="AY396" t="s">
        <v>71</v>
      </c>
      <c r="AZ396">
        <v>24.25</v>
      </c>
      <c r="BA396">
        <v>-52.74</v>
      </c>
      <c r="BB396" t="s">
        <v>73</v>
      </c>
    </row>
    <row r="397" spans="1:54" x14ac:dyDescent="0.4">
      <c r="A397">
        <v>1285964</v>
      </c>
      <c r="D397" t="s">
        <v>246</v>
      </c>
      <c r="E397" t="s">
        <v>55</v>
      </c>
      <c r="G397">
        <v>1</v>
      </c>
      <c r="H397" t="s">
        <v>56</v>
      </c>
      <c r="I397" t="s">
        <v>57</v>
      </c>
      <c r="K397" t="s">
        <v>856</v>
      </c>
      <c r="L397" t="s">
        <v>1074</v>
      </c>
      <c r="M397" t="s">
        <v>59</v>
      </c>
      <c r="P397" t="s">
        <v>259</v>
      </c>
      <c r="Q397" t="s">
        <v>502</v>
      </c>
      <c r="R397" t="s">
        <v>260</v>
      </c>
      <c r="S397" t="s">
        <v>98</v>
      </c>
      <c r="T397">
        <v>259.51</v>
      </c>
      <c r="U397">
        <v>251.90199999999999</v>
      </c>
      <c r="V397">
        <f>(T397+U397)/2</f>
        <v>255.70599999999999</v>
      </c>
      <c r="W397">
        <f>T397-U397</f>
        <v>7.6080000000000041</v>
      </c>
      <c r="X397">
        <v>44.416668000000001</v>
      </c>
      <c r="Y397">
        <v>-24</v>
      </c>
      <c r="Z397" t="s">
        <v>99</v>
      </c>
      <c r="AA397" t="s">
        <v>692</v>
      </c>
      <c r="AB397" t="s">
        <v>693</v>
      </c>
      <c r="AD397" t="s">
        <v>694</v>
      </c>
      <c r="AE397" t="s">
        <v>695</v>
      </c>
      <c r="AH397" t="s">
        <v>65</v>
      </c>
      <c r="AI397" t="s">
        <v>1063</v>
      </c>
      <c r="AJ397">
        <v>1926</v>
      </c>
      <c r="AK397" t="s">
        <v>697</v>
      </c>
      <c r="AM397" t="s">
        <v>698</v>
      </c>
      <c r="AN397" t="s">
        <v>121</v>
      </c>
      <c r="AO397" t="s">
        <v>330</v>
      </c>
      <c r="AP397" t="s">
        <v>182</v>
      </c>
      <c r="AQ397" t="s">
        <v>699</v>
      </c>
      <c r="AR397" t="s">
        <v>70</v>
      </c>
      <c r="AS397">
        <v>702</v>
      </c>
      <c r="AT397" t="s">
        <v>71</v>
      </c>
      <c r="AU397">
        <v>22.51</v>
      </c>
      <c r="AV397">
        <v>-42.93</v>
      </c>
      <c r="AW397" t="s">
        <v>72</v>
      </c>
      <c r="AX397">
        <v>702</v>
      </c>
      <c r="AY397" t="s">
        <v>71</v>
      </c>
      <c r="AZ397">
        <v>24.25</v>
      </c>
      <c r="BA397">
        <v>-52.74</v>
      </c>
      <c r="BB397" t="s">
        <v>73</v>
      </c>
    </row>
    <row r="398" spans="1:54" x14ac:dyDescent="0.4">
      <c r="A398">
        <v>1285964</v>
      </c>
      <c r="D398" t="s">
        <v>246</v>
      </c>
      <c r="E398" t="s">
        <v>55</v>
      </c>
      <c r="G398">
        <v>1</v>
      </c>
      <c r="H398" t="s">
        <v>56</v>
      </c>
      <c r="I398" t="s">
        <v>57</v>
      </c>
      <c r="K398" t="s">
        <v>856</v>
      </c>
      <c r="L398" t="s">
        <v>1074</v>
      </c>
      <c r="M398" t="s">
        <v>59</v>
      </c>
      <c r="P398" t="s">
        <v>259</v>
      </c>
      <c r="Q398" t="s">
        <v>502</v>
      </c>
      <c r="R398" t="s">
        <v>260</v>
      </c>
      <c r="S398" t="s">
        <v>98</v>
      </c>
      <c r="T398">
        <v>259.51</v>
      </c>
      <c r="U398">
        <v>251.90199999999999</v>
      </c>
      <c r="V398">
        <f>(T398+U398)/2</f>
        <v>255.70599999999999</v>
      </c>
      <c r="W398">
        <f>T398-U398</f>
        <v>7.6080000000000041</v>
      </c>
      <c r="X398">
        <v>44.416668000000001</v>
      </c>
      <c r="Y398">
        <v>-24</v>
      </c>
      <c r="Z398" t="s">
        <v>99</v>
      </c>
      <c r="AA398" t="s">
        <v>692</v>
      </c>
      <c r="AB398" t="s">
        <v>693</v>
      </c>
      <c r="AD398" t="s">
        <v>694</v>
      </c>
      <c r="AE398" t="s">
        <v>695</v>
      </c>
      <c r="AH398" t="s">
        <v>65</v>
      </c>
      <c r="AI398" t="s">
        <v>1063</v>
      </c>
      <c r="AJ398">
        <v>1926</v>
      </c>
      <c r="AK398" t="s">
        <v>697</v>
      </c>
      <c r="AM398" t="s">
        <v>698</v>
      </c>
      <c r="AN398" t="s">
        <v>121</v>
      </c>
      <c r="AO398" t="s">
        <v>330</v>
      </c>
      <c r="AP398" t="s">
        <v>182</v>
      </c>
      <c r="AQ398" t="s">
        <v>699</v>
      </c>
      <c r="AR398" t="s">
        <v>70</v>
      </c>
      <c r="AS398">
        <v>702</v>
      </c>
      <c r="AT398" t="s">
        <v>71</v>
      </c>
      <c r="AU398">
        <v>22.51</v>
      </c>
      <c r="AV398">
        <v>-42.93</v>
      </c>
      <c r="AW398" t="s">
        <v>72</v>
      </c>
      <c r="AX398">
        <v>702</v>
      </c>
      <c r="AY398" t="s">
        <v>71</v>
      </c>
      <c r="AZ398">
        <v>24.25</v>
      </c>
      <c r="BA398">
        <v>-52.74</v>
      </c>
      <c r="BB398" t="s">
        <v>73</v>
      </c>
    </row>
    <row r="399" spans="1:54" x14ac:dyDescent="0.4">
      <c r="A399">
        <v>1285964</v>
      </c>
      <c r="D399" t="s">
        <v>246</v>
      </c>
      <c r="E399" t="s">
        <v>55</v>
      </c>
      <c r="G399">
        <v>1</v>
      </c>
      <c r="H399" t="s">
        <v>56</v>
      </c>
      <c r="I399" t="s">
        <v>57</v>
      </c>
      <c r="K399" t="s">
        <v>856</v>
      </c>
      <c r="L399" t="s">
        <v>1074</v>
      </c>
      <c r="M399" t="s">
        <v>59</v>
      </c>
      <c r="P399" t="s">
        <v>259</v>
      </c>
      <c r="Q399" t="s">
        <v>502</v>
      </c>
      <c r="R399" t="s">
        <v>260</v>
      </c>
      <c r="S399" t="s">
        <v>98</v>
      </c>
      <c r="T399">
        <v>259.51</v>
      </c>
      <c r="U399">
        <v>251.90199999999999</v>
      </c>
      <c r="V399">
        <f>(T399+U399)/2</f>
        <v>255.70599999999999</v>
      </c>
      <c r="W399">
        <f>T399-U399</f>
        <v>7.6080000000000041</v>
      </c>
      <c r="X399">
        <v>44.416668000000001</v>
      </c>
      <c r="Y399">
        <v>-24</v>
      </c>
      <c r="Z399" t="s">
        <v>99</v>
      </c>
      <c r="AA399" t="s">
        <v>692</v>
      </c>
      <c r="AB399" t="s">
        <v>693</v>
      </c>
      <c r="AD399" t="s">
        <v>694</v>
      </c>
      <c r="AE399" t="s">
        <v>695</v>
      </c>
      <c r="AH399" t="s">
        <v>65</v>
      </c>
      <c r="AI399" t="s">
        <v>1063</v>
      </c>
      <c r="AJ399">
        <v>1926</v>
      </c>
      <c r="AK399" t="s">
        <v>697</v>
      </c>
      <c r="AM399" t="s">
        <v>698</v>
      </c>
      <c r="AN399" t="s">
        <v>121</v>
      </c>
      <c r="AO399" t="s">
        <v>330</v>
      </c>
      <c r="AP399" t="s">
        <v>182</v>
      </c>
      <c r="AQ399" t="s">
        <v>699</v>
      </c>
      <c r="AR399" t="s">
        <v>70</v>
      </c>
      <c r="AS399">
        <v>702</v>
      </c>
      <c r="AT399" t="s">
        <v>71</v>
      </c>
      <c r="AU399">
        <v>22.51</v>
      </c>
      <c r="AV399">
        <v>-42.93</v>
      </c>
      <c r="AW399" t="s">
        <v>72</v>
      </c>
      <c r="AX399">
        <v>702</v>
      </c>
      <c r="AY399" t="s">
        <v>71</v>
      </c>
      <c r="AZ399">
        <v>24.25</v>
      </c>
      <c r="BA399">
        <v>-52.74</v>
      </c>
      <c r="BB399" t="s">
        <v>73</v>
      </c>
    </row>
    <row r="400" spans="1:54" x14ac:dyDescent="0.4">
      <c r="A400">
        <v>1285964</v>
      </c>
      <c r="D400" t="s">
        <v>246</v>
      </c>
      <c r="E400" t="s">
        <v>55</v>
      </c>
      <c r="G400">
        <v>1</v>
      </c>
      <c r="H400" t="s">
        <v>56</v>
      </c>
      <c r="I400" t="s">
        <v>57</v>
      </c>
      <c r="K400" t="s">
        <v>856</v>
      </c>
      <c r="L400" t="s">
        <v>1074</v>
      </c>
      <c r="M400" t="s">
        <v>59</v>
      </c>
      <c r="P400" t="s">
        <v>259</v>
      </c>
      <c r="Q400" t="s">
        <v>502</v>
      </c>
      <c r="R400" t="s">
        <v>260</v>
      </c>
      <c r="S400" t="s">
        <v>98</v>
      </c>
      <c r="T400">
        <v>259.51</v>
      </c>
      <c r="U400">
        <v>251.90199999999999</v>
      </c>
      <c r="V400">
        <f>(T400+U400)/2</f>
        <v>255.70599999999999</v>
      </c>
      <c r="W400">
        <f>T400-U400</f>
        <v>7.6080000000000041</v>
      </c>
      <c r="X400">
        <v>44.416668000000001</v>
      </c>
      <c r="Y400">
        <v>-24</v>
      </c>
      <c r="Z400" t="s">
        <v>99</v>
      </c>
      <c r="AA400" t="s">
        <v>692</v>
      </c>
      <c r="AB400" t="s">
        <v>693</v>
      </c>
      <c r="AD400" t="s">
        <v>694</v>
      </c>
      <c r="AE400" t="s">
        <v>695</v>
      </c>
      <c r="AH400" t="s">
        <v>65</v>
      </c>
      <c r="AI400" t="s">
        <v>1063</v>
      </c>
      <c r="AJ400">
        <v>1926</v>
      </c>
      <c r="AK400" t="s">
        <v>697</v>
      </c>
      <c r="AM400" t="s">
        <v>698</v>
      </c>
      <c r="AN400" t="s">
        <v>121</v>
      </c>
      <c r="AO400" t="s">
        <v>330</v>
      </c>
      <c r="AP400" t="s">
        <v>182</v>
      </c>
      <c r="AQ400" t="s">
        <v>699</v>
      </c>
      <c r="AR400" t="s">
        <v>70</v>
      </c>
      <c r="AS400">
        <v>702</v>
      </c>
      <c r="AT400" t="s">
        <v>71</v>
      </c>
      <c r="AU400">
        <v>22.51</v>
      </c>
      <c r="AV400">
        <v>-42.93</v>
      </c>
      <c r="AW400" t="s">
        <v>72</v>
      </c>
      <c r="AX400">
        <v>702</v>
      </c>
      <c r="AY400" t="s">
        <v>71</v>
      </c>
      <c r="AZ400">
        <v>24.25</v>
      </c>
      <c r="BA400">
        <v>-52.74</v>
      </c>
      <c r="BB400" t="s">
        <v>73</v>
      </c>
    </row>
    <row r="401" spans="1:54" x14ac:dyDescent="0.4">
      <c r="A401">
        <v>1285964</v>
      </c>
      <c r="D401" t="s">
        <v>246</v>
      </c>
      <c r="E401" t="s">
        <v>55</v>
      </c>
      <c r="G401">
        <v>1</v>
      </c>
      <c r="H401" t="s">
        <v>56</v>
      </c>
      <c r="I401" t="s">
        <v>57</v>
      </c>
      <c r="K401" t="s">
        <v>856</v>
      </c>
      <c r="L401" t="s">
        <v>1074</v>
      </c>
      <c r="M401" t="s">
        <v>59</v>
      </c>
      <c r="P401" t="s">
        <v>259</v>
      </c>
      <c r="Q401" t="s">
        <v>502</v>
      </c>
      <c r="R401" t="s">
        <v>260</v>
      </c>
      <c r="S401" t="s">
        <v>98</v>
      </c>
      <c r="T401">
        <v>259.51</v>
      </c>
      <c r="U401">
        <v>251.90199999999999</v>
      </c>
      <c r="V401">
        <f>(T401+U401)/2</f>
        <v>255.70599999999999</v>
      </c>
      <c r="W401">
        <f>T401-U401</f>
        <v>7.6080000000000041</v>
      </c>
      <c r="X401">
        <v>44.416668000000001</v>
      </c>
      <c r="Y401">
        <v>-24</v>
      </c>
      <c r="Z401" t="s">
        <v>99</v>
      </c>
      <c r="AA401" t="s">
        <v>692</v>
      </c>
      <c r="AB401" t="s">
        <v>693</v>
      </c>
      <c r="AD401" t="s">
        <v>694</v>
      </c>
      <c r="AE401" t="s">
        <v>695</v>
      </c>
      <c r="AH401" t="s">
        <v>65</v>
      </c>
      <c r="AI401" t="s">
        <v>1063</v>
      </c>
      <c r="AJ401">
        <v>1926</v>
      </c>
      <c r="AK401" t="s">
        <v>697</v>
      </c>
      <c r="AM401" t="s">
        <v>698</v>
      </c>
      <c r="AN401" t="s">
        <v>121</v>
      </c>
      <c r="AO401" t="s">
        <v>330</v>
      </c>
      <c r="AP401" t="s">
        <v>182</v>
      </c>
      <c r="AQ401" t="s">
        <v>699</v>
      </c>
      <c r="AR401" t="s">
        <v>70</v>
      </c>
      <c r="AS401">
        <v>702</v>
      </c>
      <c r="AT401" t="s">
        <v>71</v>
      </c>
      <c r="AU401">
        <v>22.51</v>
      </c>
      <c r="AV401">
        <v>-42.93</v>
      </c>
      <c r="AW401" t="s">
        <v>72</v>
      </c>
      <c r="AX401">
        <v>702</v>
      </c>
      <c r="AY401" t="s">
        <v>71</v>
      </c>
      <c r="AZ401">
        <v>24.25</v>
      </c>
      <c r="BA401">
        <v>-52.74</v>
      </c>
      <c r="BB401" t="s">
        <v>73</v>
      </c>
    </row>
    <row r="402" spans="1:54" x14ac:dyDescent="0.4">
      <c r="A402">
        <v>1285964</v>
      </c>
      <c r="D402" t="s">
        <v>246</v>
      </c>
      <c r="E402" t="s">
        <v>55</v>
      </c>
      <c r="G402">
        <v>1</v>
      </c>
      <c r="H402" t="s">
        <v>56</v>
      </c>
      <c r="I402" t="s">
        <v>57</v>
      </c>
      <c r="K402" t="s">
        <v>856</v>
      </c>
      <c r="L402" t="s">
        <v>1074</v>
      </c>
      <c r="M402" t="s">
        <v>59</v>
      </c>
      <c r="P402" t="s">
        <v>259</v>
      </c>
      <c r="Q402" t="s">
        <v>502</v>
      </c>
      <c r="R402" t="s">
        <v>260</v>
      </c>
      <c r="S402" t="s">
        <v>98</v>
      </c>
      <c r="T402">
        <v>259.51</v>
      </c>
      <c r="U402">
        <v>251.90199999999999</v>
      </c>
      <c r="V402">
        <f>(T402+U402)/2</f>
        <v>255.70599999999999</v>
      </c>
      <c r="W402">
        <f>T402-U402</f>
        <v>7.6080000000000041</v>
      </c>
      <c r="X402">
        <v>44.416668000000001</v>
      </c>
      <c r="Y402">
        <v>-24</v>
      </c>
      <c r="Z402" t="s">
        <v>99</v>
      </c>
      <c r="AA402" t="s">
        <v>692</v>
      </c>
      <c r="AB402" t="s">
        <v>693</v>
      </c>
      <c r="AD402" t="s">
        <v>694</v>
      </c>
      <c r="AE402" t="s">
        <v>695</v>
      </c>
      <c r="AH402" t="s">
        <v>65</v>
      </c>
      <c r="AI402" t="s">
        <v>1063</v>
      </c>
      <c r="AJ402">
        <v>1926</v>
      </c>
      <c r="AK402" t="s">
        <v>697</v>
      </c>
      <c r="AM402" t="s">
        <v>698</v>
      </c>
      <c r="AN402" t="s">
        <v>121</v>
      </c>
      <c r="AO402" t="s">
        <v>330</v>
      </c>
      <c r="AP402" t="s">
        <v>182</v>
      </c>
      <c r="AQ402" t="s">
        <v>699</v>
      </c>
      <c r="AR402" t="s">
        <v>70</v>
      </c>
      <c r="AS402">
        <v>702</v>
      </c>
      <c r="AT402" t="s">
        <v>71</v>
      </c>
      <c r="AU402">
        <v>22.51</v>
      </c>
      <c r="AV402">
        <v>-42.93</v>
      </c>
      <c r="AW402" t="s">
        <v>72</v>
      </c>
      <c r="AX402">
        <v>702</v>
      </c>
      <c r="AY402" t="s">
        <v>71</v>
      </c>
      <c r="AZ402">
        <v>24.25</v>
      </c>
      <c r="BA402">
        <v>-52.74</v>
      </c>
      <c r="BB402" t="s">
        <v>73</v>
      </c>
    </row>
    <row r="403" spans="1:54" x14ac:dyDescent="0.4">
      <c r="A403">
        <v>1285964</v>
      </c>
      <c r="D403" t="s">
        <v>246</v>
      </c>
      <c r="E403" t="s">
        <v>55</v>
      </c>
      <c r="G403">
        <v>1</v>
      </c>
      <c r="H403" t="s">
        <v>56</v>
      </c>
      <c r="I403" t="s">
        <v>57</v>
      </c>
      <c r="K403" t="s">
        <v>856</v>
      </c>
      <c r="L403" t="s">
        <v>1074</v>
      </c>
      <c r="M403" t="s">
        <v>59</v>
      </c>
      <c r="P403" t="s">
        <v>259</v>
      </c>
      <c r="Q403" t="s">
        <v>502</v>
      </c>
      <c r="R403" t="s">
        <v>260</v>
      </c>
      <c r="S403" t="s">
        <v>98</v>
      </c>
      <c r="T403">
        <v>259.51</v>
      </c>
      <c r="U403">
        <v>251.90199999999999</v>
      </c>
      <c r="V403">
        <f>(T403+U403)/2</f>
        <v>255.70599999999999</v>
      </c>
      <c r="W403">
        <f>T403-U403</f>
        <v>7.6080000000000041</v>
      </c>
      <c r="X403">
        <v>44.416668000000001</v>
      </c>
      <c r="Y403">
        <v>-24</v>
      </c>
      <c r="Z403" t="s">
        <v>99</v>
      </c>
      <c r="AA403" t="s">
        <v>692</v>
      </c>
      <c r="AB403" t="s">
        <v>693</v>
      </c>
      <c r="AD403" t="s">
        <v>694</v>
      </c>
      <c r="AE403" t="s">
        <v>695</v>
      </c>
      <c r="AH403" t="s">
        <v>65</v>
      </c>
      <c r="AI403" t="s">
        <v>1063</v>
      </c>
      <c r="AJ403">
        <v>1926</v>
      </c>
      <c r="AK403" t="s">
        <v>697</v>
      </c>
      <c r="AM403" t="s">
        <v>698</v>
      </c>
      <c r="AN403" t="s">
        <v>121</v>
      </c>
      <c r="AO403" t="s">
        <v>330</v>
      </c>
      <c r="AP403" t="s">
        <v>182</v>
      </c>
      <c r="AQ403" t="s">
        <v>699</v>
      </c>
      <c r="AR403" t="s">
        <v>70</v>
      </c>
      <c r="AS403">
        <v>702</v>
      </c>
      <c r="AT403" t="s">
        <v>71</v>
      </c>
      <c r="AU403">
        <v>22.51</v>
      </c>
      <c r="AV403">
        <v>-42.93</v>
      </c>
      <c r="AW403" t="s">
        <v>72</v>
      </c>
      <c r="AX403">
        <v>702</v>
      </c>
      <c r="AY403" t="s">
        <v>71</v>
      </c>
      <c r="AZ403">
        <v>24.25</v>
      </c>
      <c r="BA403">
        <v>-52.74</v>
      </c>
      <c r="BB403" t="s">
        <v>73</v>
      </c>
    </row>
    <row r="404" spans="1:54" x14ac:dyDescent="0.4">
      <c r="A404">
        <v>1285964</v>
      </c>
      <c r="D404" t="s">
        <v>246</v>
      </c>
      <c r="E404" t="s">
        <v>55</v>
      </c>
      <c r="G404">
        <v>1</v>
      </c>
      <c r="H404" t="s">
        <v>56</v>
      </c>
      <c r="I404" t="s">
        <v>57</v>
      </c>
      <c r="K404" t="s">
        <v>856</v>
      </c>
      <c r="L404" t="s">
        <v>1074</v>
      </c>
      <c r="M404" t="s">
        <v>59</v>
      </c>
      <c r="P404" t="s">
        <v>259</v>
      </c>
      <c r="Q404" t="s">
        <v>502</v>
      </c>
      <c r="R404" t="s">
        <v>260</v>
      </c>
      <c r="S404" t="s">
        <v>98</v>
      </c>
      <c r="T404">
        <v>259.51</v>
      </c>
      <c r="U404">
        <v>251.90199999999999</v>
      </c>
      <c r="V404">
        <f>(T404+U404)/2</f>
        <v>255.70599999999999</v>
      </c>
      <c r="W404">
        <f>T404-U404</f>
        <v>7.6080000000000041</v>
      </c>
      <c r="X404">
        <v>44.416668000000001</v>
      </c>
      <c r="Y404">
        <v>-24</v>
      </c>
      <c r="Z404" t="s">
        <v>99</v>
      </c>
      <c r="AA404" t="s">
        <v>692</v>
      </c>
      <c r="AB404" t="s">
        <v>693</v>
      </c>
      <c r="AD404" t="s">
        <v>694</v>
      </c>
      <c r="AE404" t="s">
        <v>695</v>
      </c>
      <c r="AH404" t="s">
        <v>65</v>
      </c>
      <c r="AI404" t="s">
        <v>1063</v>
      </c>
      <c r="AJ404">
        <v>1926</v>
      </c>
      <c r="AK404" t="s">
        <v>697</v>
      </c>
      <c r="AM404" t="s">
        <v>698</v>
      </c>
      <c r="AN404" t="s">
        <v>121</v>
      </c>
      <c r="AO404" t="s">
        <v>330</v>
      </c>
      <c r="AP404" t="s">
        <v>182</v>
      </c>
      <c r="AQ404" t="s">
        <v>699</v>
      </c>
      <c r="AR404" t="s">
        <v>70</v>
      </c>
      <c r="AS404">
        <v>702</v>
      </c>
      <c r="AT404" t="s">
        <v>71</v>
      </c>
      <c r="AU404">
        <v>22.51</v>
      </c>
      <c r="AV404">
        <v>-42.93</v>
      </c>
      <c r="AW404" t="s">
        <v>72</v>
      </c>
      <c r="AX404">
        <v>702</v>
      </c>
      <c r="AY404" t="s">
        <v>71</v>
      </c>
      <c r="AZ404">
        <v>24.25</v>
      </c>
      <c r="BA404">
        <v>-52.74</v>
      </c>
      <c r="BB404" t="s">
        <v>73</v>
      </c>
    </row>
    <row r="405" spans="1:54" x14ac:dyDescent="0.4">
      <c r="A405">
        <v>1285964</v>
      </c>
      <c r="D405" t="s">
        <v>246</v>
      </c>
      <c r="E405" t="s">
        <v>55</v>
      </c>
      <c r="G405">
        <v>1</v>
      </c>
      <c r="H405" t="s">
        <v>56</v>
      </c>
      <c r="I405" t="s">
        <v>57</v>
      </c>
      <c r="K405" t="s">
        <v>856</v>
      </c>
      <c r="L405" t="s">
        <v>1074</v>
      </c>
      <c r="M405" t="s">
        <v>59</v>
      </c>
      <c r="P405" t="s">
        <v>259</v>
      </c>
      <c r="Q405" t="s">
        <v>502</v>
      </c>
      <c r="R405" t="s">
        <v>260</v>
      </c>
      <c r="S405" t="s">
        <v>98</v>
      </c>
      <c r="T405">
        <v>259.51</v>
      </c>
      <c r="U405">
        <v>251.90199999999999</v>
      </c>
      <c r="V405">
        <f>(T405+U405)/2</f>
        <v>255.70599999999999</v>
      </c>
      <c r="W405">
        <f>T405-U405</f>
        <v>7.6080000000000041</v>
      </c>
      <c r="X405">
        <v>44.416668000000001</v>
      </c>
      <c r="Y405">
        <v>-24</v>
      </c>
      <c r="Z405" t="s">
        <v>99</v>
      </c>
      <c r="AA405" t="s">
        <v>692</v>
      </c>
      <c r="AB405" t="s">
        <v>693</v>
      </c>
      <c r="AD405" t="s">
        <v>694</v>
      </c>
      <c r="AE405" t="s">
        <v>695</v>
      </c>
      <c r="AH405" t="s">
        <v>65</v>
      </c>
      <c r="AI405" t="s">
        <v>1063</v>
      </c>
      <c r="AJ405">
        <v>1926</v>
      </c>
      <c r="AK405" t="s">
        <v>697</v>
      </c>
      <c r="AM405" t="s">
        <v>698</v>
      </c>
      <c r="AN405" t="s">
        <v>121</v>
      </c>
      <c r="AO405" t="s">
        <v>330</v>
      </c>
      <c r="AP405" t="s">
        <v>182</v>
      </c>
      <c r="AQ405" t="s">
        <v>699</v>
      </c>
      <c r="AR405" t="s">
        <v>70</v>
      </c>
      <c r="AS405">
        <v>702</v>
      </c>
      <c r="AT405" t="s">
        <v>71</v>
      </c>
      <c r="AU405">
        <v>22.51</v>
      </c>
      <c r="AV405">
        <v>-42.93</v>
      </c>
      <c r="AW405" t="s">
        <v>72</v>
      </c>
      <c r="AX405">
        <v>702</v>
      </c>
      <c r="AY405" t="s">
        <v>71</v>
      </c>
      <c r="AZ405">
        <v>24.25</v>
      </c>
      <c r="BA405">
        <v>-52.74</v>
      </c>
      <c r="BB405" t="s">
        <v>73</v>
      </c>
    </row>
    <row r="406" spans="1:54" x14ac:dyDescent="0.4">
      <c r="A406">
        <v>1285964</v>
      </c>
      <c r="D406" t="s">
        <v>246</v>
      </c>
      <c r="E406" t="s">
        <v>55</v>
      </c>
      <c r="G406">
        <v>1</v>
      </c>
      <c r="H406" t="s">
        <v>56</v>
      </c>
      <c r="I406" t="s">
        <v>57</v>
      </c>
      <c r="K406" t="s">
        <v>856</v>
      </c>
      <c r="L406" t="s">
        <v>1074</v>
      </c>
      <c r="M406" t="s">
        <v>59</v>
      </c>
      <c r="P406" t="s">
        <v>259</v>
      </c>
      <c r="Q406" t="s">
        <v>502</v>
      </c>
      <c r="R406" t="s">
        <v>260</v>
      </c>
      <c r="S406" t="s">
        <v>98</v>
      </c>
      <c r="T406">
        <v>259.51</v>
      </c>
      <c r="U406">
        <v>251.90199999999999</v>
      </c>
      <c r="V406">
        <f>(T406+U406)/2</f>
        <v>255.70599999999999</v>
      </c>
      <c r="W406">
        <f>T406-U406</f>
        <v>7.6080000000000041</v>
      </c>
      <c r="X406">
        <v>44.416668000000001</v>
      </c>
      <c r="Y406">
        <v>-24</v>
      </c>
      <c r="Z406" t="s">
        <v>99</v>
      </c>
      <c r="AA406" t="s">
        <v>692</v>
      </c>
      <c r="AB406" t="s">
        <v>693</v>
      </c>
      <c r="AD406" t="s">
        <v>694</v>
      </c>
      <c r="AE406" t="s">
        <v>695</v>
      </c>
      <c r="AH406" t="s">
        <v>65</v>
      </c>
      <c r="AI406" t="s">
        <v>1063</v>
      </c>
      <c r="AJ406">
        <v>1926</v>
      </c>
      <c r="AK406" t="s">
        <v>697</v>
      </c>
      <c r="AM406" t="s">
        <v>698</v>
      </c>
      <c r="AN406" t="s">
        <v>121</v>
      </c>
      <c r="AO406" t="s">
        <v>330</v>
      </c>
      <c r="AP406" t="s">
        <v>182</v>
      </c>
      <c r="AQ406" t="s">
        <v>699</v>
      </c>
      <c r="AR406" t="s">
        <v>70</v>
      </c>
      <c r="AS406">
        <v>702</v>
      </c>
      <c r="AT406" t="s">
        <v>71</v>
      </c>
      <c r="AU406">
        <v>22.51</v>
      </c>
      <c r="AV406">
        <v>-42.93</v>
      </c>
      <c r="AW406" t="s">
        <v>72</v>
      </c>
      <c r="AX406">
        <v>702</v>
      </c>
      <c r="AY406" t="s">
        <v>71</v>
      </c>
      <c r="AZ406">
        <v>24.25</v>
      </c>
      <c r="BA406">
        <v>-52.74</v>
      </c>
      <c r="BB406" t="s">
        <v>73</v>
      </c>
    </row>
    <row r="407" spans="1:54" x14ac:dyDescent="0.4">
      <c r="A407">
        <v>1285964</v>
      </c>
      <c r="D407" t="s">
        <v>246</v>
      </c>
      <c r="E407" t="s">
        <v>55</v>
      </c>
      <c r="G407">
        <v>1</v>
      </c>
      <c r="H407" t="s">
        <v>56</v>
      </c>
      <c r="I407" t="s">
        <v>57</v>
      </c>
      <c r="K407" t="s">
        <v>856</v>
      </c>
      <c r="L407" t="s">
        <v>1074</v>
      </c>
      <c r="M407" t="s">
        <v>59</v>
      </c>
      <c r="P407" t="s">
        <v>259</v>
      </c>
      <c r="Q407" t="s">
        <v>502</v>
      </c>
      <c r="R407" t="s">
        <v>260</v>
      </c>
      <c r="S407" t="s">
        <v>98</v>
      </c>
      <c r="T407">
        <v>259.51</v>
      </c>
      <c r="U407">
        <v>251.90199999999999</v>
      </c>
      <c r="V407">
        <f>(T407+U407)/2</f>
        <v>255.70599999999999</v>
      </c>
      <c r="W407">
        <f>T407-U407</f>
        <v>7.6080000000000041</v>
      </c>
      <c r="X407">
        <v>44.416668000000001</v>
      </c>
      <c r="Y407">
        <v>-24</v>
      </c>
      <c r="Z407" t="s">
        <v>99</v>
      </c>
      <c r="AA407" t="s">
        <v>692</v>
      </c>
      <c r="AB407" t="s">
        <v>693</v>
      </c>
      <c r="AD407" t="s">
        <v>694</v>
      </c>
      <c r="AE407" t="s">
        <v>695</v>
      </c>
      <c r="AH407" t="s">
        <v>65</v>
      </c>
      <c r="AI407" t="s">
        <v>1063</v>
      </c>
      <c r="AJ407">
        <v>1926</v>
      </c>
      <c r="AK407" t="s">
        <v>697</v>
      </c>
      <c r="AM407" t="s">
        <v>698</v>
      </c>
      <c r="AN407" t="s">
        <v>121</v>
      </c>
      <c r="AO407" t="s">
        <v>330</v>
      </c>
      <c r="AP407" t="s">
        <v>182</v>
      </c>
      <c r="AQ407" t="s">
        <v>699</v>
      </c>
      <c r="AR407" t="s">
        <v>70</v>
      </c>
      <c r="AS407">
        <v>702</v>
      </c>
      <c r="AT407" t="s">
        <v>71</v>
      </c>
      <c r="AU407">
        <v>22.51</v>
      </c>
      <c r="AV407">
        <v>-42.93</v>
      </c>
      <c r="AW407" t="s">
        <v>72</v>
      </c>
      <c r="AX407">
        <v>702</v>
      </c>
      <c r="AY407" t="s">
        <v>71</v>
      </c>
      <c r="AZ407">
        <v>24.25</v>
      </c>
      <c r="BA407">
        <v>-52.74</v>
      </c>
      <c r="BB407" t="s">
        <v>73</v>
      </c>
    </row>
    <row r="408" spans="1:54" x14ac:dyDescent="0.4">
      <c r="A408">
        <v>1285964</v>
      </c>
      <c r="D408" t="s">
        <v>246</v>
      </c>
      <c r="E408" t="s">
        <v>55</v>
      </c>
      <c r="G408">
        <v>1</v>
      </c>
      <c r="H408" t="s">
        <v>56</v>
      </c>
      <c r="I408" t="s">
        <v>57</v>
      </c>
      <c r="K408" t="s">
        <v>856</v>
      </c>
      <c r="L408" t="s">
        <v>1074</v>
      </c>
      <c r="M408" t="s">
        <v>59</v>
      </c>
      <c r="P408" t="s">
        <v>259</v>
      </c>
      <c r="Q408" t="s">
        <v>502</v>
      </c>
      <c r="R408" t="s">
        <v>260</v>
      </c>
      <c r="S408" t="s">
        <v>98</v>
      </c>
      <c r="T408">
        <v>259.51</v>
      </c>
      <c r="U408">
        <v>251.90199999999999</v>
      </c>
      <c r="V408">
        <f>(T408+U408)/2</f>
        <v>255.70599999999999</v>
      </c>
      <c r="W408">
        <f>T408-U408</f>
        <v>7.6080000000000041</v>
      </c>
      <c r="X408">
        <v>44.416668000000001</v>
      </c>
      <c r="Y408">
        <v>-24</v>
      </c>
      <c r="Z408" t="s">
        <v>99</v>
      </c>
      <c r="AA408" t="s">
        <v>692</v>
      </c>
      <c r="AB408" t="s">
        <v>693</v>
      </c>
      <c r="AD408" t="s">
        <v>694</v>
      </c>
      <c r="AE408" t="s">
        <v>695</v>
      </c>
      <c r="AH408" t="s">
        <v>65</v>
      </c>
      <c r="AI408" t="s">
        <v>1063</v>
      </c>
      <c r="AJ408">
        <v>1926</v>
      </c>
      <c r="AK408" t="s">
        <v>697</v>
      </c>
      <c r="AM408" t="s">
        <v>698</v>
      </c>
      <c r="AN408" t="s">
        <v>121</v>
      </c>
      <c r="AO408" t="s">
        <v>330</v>
      </c>
      <c r="AP408" t="s">
        <v>182</v>
      </c>
      <c r="AQ408" t="s">
        <v>699</v>
      </c>
      <c r="AR408" t="s">
        <v>70</v>
      </c>
      <c r="AS408">
        <v>702</v>
      </c>
      <c r="AT408" t="s">
        <v>71</v>
      </c>
      <c r="AU408">
        <v>22.51</v>
      </c>
      <c r="AV408">
        <v>-42.93</v>
      </c>
      <c r="AW408" t="s">
        <v>72</v>
      </c>
      <c r="AX408">
        <v>702</v>
      </c>
      <c r="AY408" t="s">
        <v>71</v>
      </c>
      <c r="AZ408">
        <v>24.25</v>
      </c>
      <c r="BA408">
        <v>-52.74</v>
      </c>
      <c r="BB408" t="s">
        <v>73</v>
      </c>
    </row>
    <row r="409" spans="1:54" x14ac:dyDescent="0.4">
      <c r="A409">
        <v>1285964</v>
      </c>
      <c r="D409" t="s">
        <v>246</v>
      </c>
      <c r="E409" t="s">
        <v>55</v>
      </c>
      <c r="G409">
        <v>1</v>
      </c>
      <c r="H409" t="s">
        <v>56</v>
      </c>
      <c r="I409" t="s">
        <v>57</v>
      </c>
      <c r="K409" t="s">
        <v>856</v>
      </c>
      <c r="L409" t="s">
        <v>1074</v>
      </c>
      <c r="M409" t="s">
        <v>59</v>
      </c>
      <c r="P409" t="s">
        <v>259</v>
      </c>
      <c r="Q409" t="s">
        <v>502</v>
      </c>
      <c r="R409" t="s">
        <v>260</v>
      </c>
      <c r="S409" t="s">
        <v>98</v>
      </c>
      <c r="T409">
        <v>259.51</v>
      </c>
      <c r="U409">
        <v>251.90199999999999</v>
      </c>
      <c r="V409">
        <f>(T409+U409)/2</f>
        <v>255.70599999999999</v>
      </c>
      <c r="W409">
        <f>T409-U409</f>
        <v>7.6080000000000041</v>
      </c>
      <c r="X409">
        <v>44.416668000000001</v>
      </c>
      <c r="Y409">
        <v>-24</v>
      </c>
      <c r="Z409" t="s">
        <v>99</v>
      </c>
      <c r="AA409" t="s">
        <v>692</v>
      </c>
      <c r="AB409" t="s">
        <v>693</v>
      </c>
      <c r="AD409" t="s">
        <v>694</v>
      </c>
      <c r="AE409" t="s">
        <v>695</v>
      </c>
      <c r="AH409" t="s">
        <v>65</v>
      </c>
      <c r="AI409" t="s">
        <v>1063</v>
      </c>
      <c r="AJ409">
        <v>1926</v>
      </c>
      <c r="AK409" t="s">
        <v>697</v>
      </c>
      <c r="AM409" t="s">
        <v>698</v>
      </c>
      <c r="AN409" t="s">
        <v>121</v>
      </c>
      <c r="AO409" t="s">
        <v>330</v>
      </c>
      <c r="AP409" t="s">
        <v>182</v>
      </c>
      <c r="AQ409" t="s">
        <v>699</v>
      </c>
      <c r="AR409" t="s">
        <v>70</v>
      </c>
      <c r="AS409">
        <v>702</v>
      </c>
      <c r="AT409" t="s">
        <v>71</v>
      </c>
      <c r="AU409">
        <v>22.51</v>
      </c>
      <c r="AV409">
        <v>-42.93</v>
      </c>
      <c r="AW409" t="s">
        <v>72</v>
      </c>
      <c r="AX409">
        <v>702</v>
      </c>
      <c r="AY409" t="s">
        <v>71</v>
      </c>
      <c r="AZ409">
        <v>24.25</v>
      </c>
      <c r="BA409">
        <v>-52.74</v>
      </c>
      <c r="BB409" t="s">
        <v>73</v>
      </c>
    </row>
    <row r="410" spans="1:54" x14ac:dyDescent="0.4">
      <c r="A410">
        <v>1285964</v>
      </c>
      <c r="D410" t="s">
        <v>246</v>
      </c>
      <c r="E410" t="s">
        <v>55</v>
      </c>
      <c r="G410">
        <v>1</v>
      </c>
      <c r="H410" t="s">
        <v>56</v>
      </c>
      <c r="I410" t="s">
        <v>57</v>
      </c>
      <c r="K410" t="s">
        <v>856</v>
      </c>
      <c r="L410" t="s">
        <v>1074</v>
      </c>
      <c r="M410" t="s">
        <v>59</v>
      </c>
      <c r="P410" t="s">
        <v>259</v>
      </c>
      <c r="Q410" t="s">
        <v>502</v>
      </c>
      <c r="R410" t="s">
        <v>260</v>
      </c>
      <c r="S410" t="s">
        <v>98</v>
      </c>
      <c r="T410">
        <v>259.51</v>
      </c>
      <c r="U410">
        <v>251.90199999999999</v>
      </c>
      <c r="V410">
        <f>(T410+U410)/2</f>
        <v>255.70599999999999</v>
      </c>
      <c r="W410">
        <f>T410-U410</f>
        <v>7.6080000000000041</v>
      </c>
      <c r="X410">
        <v>44.416668000000001</v>
      </c>
      <c r="Y410">
        <v>-24</v>
      </c>
      <c r="Z410" t="s">
        <v>99</v>
      </c>
      <c r="AA410" t="s">
        <v>692</v>
      </c>
      <c r="AB410" t="s">
        <v>693</v>
      </c>
      <c r="AD410" t="s">
        <v>694</v>
      </c>
      <c r="AE410" t="s">
        <v>695</v>
      </c>
      <c r="AH410" t="s">
        <v>65</v>
      </c>
      <c r="AI410" t="s">
        <v>1063</v>
      </c>
      <c r="AJ410">
        <v>1926</v>
      </c>
      <c r="AK410" t="s">
        <v>697</v>
      </c>
      <c r="AM410" t="s">
        <v>698</v>
      </c>
      <c r="AN410" t="s">
        <v>121</v>
      </c>
      <c r="AO410" t="s">
        <v>330</v>
      </c>
      <c r="AP410" t="s">
        <v>182</v>
      </c>
      <c r="AQ410" t="s">
        <v>699</v>
      </c>
      <c r="AR410" t="s">
        <v>70</v>
      </c>
      <c r="AS410">
        <v>702</v>
      </c>
      <c r="AT410" t="s">
        <v>71</v>
      </c>
      <c r="AU410">
        <v>22.51</v>
      </c>
      <c r="AV410">
        <v>-42.93</v>
      </c>
      <c r="AW410" t="s">
        <v>72</v>
      </c>
      <c r="AX410">
        <v>702</v>
      </c>
      <c r="AY410" t="s">
        <v>71</v>
      </c>
      <c r="AZ410">
        <v>24.25</v>
      </c>
      <c r="BA410">
        <v>-52.74</v>
      </c>
      <c r="BB410" t="s">
        <v>73</v>
      </c>
    </row>
    <row r="411" spans="1:54" x14ac:dyDescent="0.4">
      <c r="A411">
        <v>1285964</v>
      </c>
      <c r="D411" t="s">
        <v>246</v>
      </c>
      <c r="E411" t="s">
        <v>55</v>
      </c>
      <c r="G411">
        <v>1</v>
      </c>
      <c r="H411" t="s">
        <v>56</v>
      </c>
      <c r="I411" t="s">
        <v>57</v>
      </c>
      <c r="K411" t="s">
        <v>856</v>
      </c>
      <c r="L411" t="s">
        <v>1074</v>
      </c>
      <c r="M411" t="s">
        <v>59</v>
      </c>
      <c r="P411" t="s">
        <v>259</v>
      </c>
      <c r="Q411" t="s">
        <v>502</v>
      </c>
      <c r="R411" t="s">
        <v>260</v>
      </c>
      <c r="S411" t="s">
        <v>98</v>
      </c>
      <c r="T411">
        <v>259.51</v>
      </c>
      <c r="U411">
        <v>251.90199999999999</v>
      </c>
      <c r="V411">
        <f>(T411+U411)/2</f>
        <v>255.70599999999999</v>
      </c>
      <c r="W411">
        <f>T411-U411</f>
        <v>7.6080000000000041</v>
      </c>
      <c r="X411">
        <v>44.416668000000001</v>
      </c>
      <c r="Y411">
        <v>-24</v>
      </c>
      <c r="Z411" t="s">
        <v>99</v>
      </c>
      <c r="AA411" t="s">
        <v>692</v>
      </c>
      <c r="AB411" t="s">
        <v>693</v>
      </c>
      <c r="AD411" t="s">
        <v>694</v>
      </c>
      <c r="AE411" t="s">
        <v>695</v>
      </c>
      <c r="AH411" t="s">
        <v>65</v>
      </c>
      <c r="AI411" t="s">
        <v>1063</v>
      </c>
      <c r="AJ411">
        <v>1926</v>
      </c>
      <c r="AK411" t="s">
        <v>697</v>
      </c>
      <c r="AM411" t="s">
        <v>698</v>
      </c>
      <c r="AN411" t="s">
        <v>121</v>
      </c>
      <c r="AO411" t="s">
        <v>330</v>
      </c>
      <c r="AP411" t="s">
        <v>182</v>
      </c>
      <c r="AQ411" t="s">
        <v>699</v>
      </c>
      <c r="AR411" t="s">
        <v>70</v>
      </c>
      <c r="AS411">
        <v>702</v>
      </c>
      <c r="AT411" t="s">
        <v>71</v>
      </c>
      <c r="AU411">
        <v>22.51</v>
      </c>
      <c r="AV411">
        <v>-42.93</v>
      </c>
      <c r="AW411" t="s">
        <v>72</v>
      </c>
      <c r="AX411">
        <v>702</v>
      </c>
      <c r="AY411" t="s">
        <v>71</v>
      </c>
      <c r="AZ411">
        <v>24.25</v>
      </c>
      <c r="BA411">
        <v>-52.74</v>
      </c>
      <c r="BB411" t="s">
        <v>73</v>
      </c>
    </row>
    <row r="412" spans="1:54" x14ac:dyDescent="0.4">
      <c r="A412">
        <v>1285964</v>
      </c>
      <c r="D412" t="s">
        <v>246</v>
      </c>
      <c r="E412" t="s">
        <v>55</v>
      </c>
      <c r="G412">
        <v>1</v>
      </c>
      <c r="H412" t="s">
        <v>56</v>
      </c>
      <c r="I412" t="s">
        <v>57</v>
      </c>
      <c r="K412" t="s">
        <v>856</v>
      </c>
      <c r="L412" t="s">
        <v>1074</v>
      </c>
      <c r="M412" t="s">
        <v>59</v>
      </c>
      <c r="P412" t="s">
        <v>259</v>
      </c>
      <c r="Q412" t="s">
        <v>502</v>
      </c>
      <c r="R412" t="s">
        <v>260</v>
      </c>
      <c r="S412" t="s">
        <v>98</v>
      </c>
      <c r="T412">
        <v>259.51</v>
      </c>
      <c r="U412">
        <v>251.90199999999999</v>
      </c>
      <c r="V412">
        <f>(T412+U412)/2</f>
        <v>255.70599999999999</v>
      </c>
      <c r="W412">
        <f>T412-U412</f>
        <v>7.6080000000000041</v>
      </c>
      <c r="X412">
        <v>44.416668000000001</v>
      </c>
      <c r="Y412">
        <v>-24</v>
      </c>
      <c r="Z412" t="s">
        <v>99</v>
      </c>
      <c r="AA412" t="s">
        <v>692</v>
      </c>
      <c r="AB412" t="s">
        <v>693</v>
      </c>
      <c r="AD412" t="s">
        <v>694</v>
      </c>
      <c r="AE412" t="s">
        <v>695</v>
      </c>
      <c r="AH412" t="s">
        <v>65</v>
      </c>
      <c r="AI412" t="s">
        <v>1063</v>
      </c>
      <c r="AJ412">
        <v>1926</v>
      </c>
      <c r="AK412" t="s">
        <v>697</v>
      </c>
      <c r="AM412" t="s">
        <v>698</v>
      </c>
      <c r="AN412" t="s">
        <v>121</v>
      </c>
      <c r="AO412" t="s">
        <v>330</v>
      </c>
      <c r="AP412" t="s">
        <v>182</v>
      </c>
      <c r="AQ412" t="s">
        <v>699</v>
      </c>
      <c r="AR412" t="s">
        <v>70</v>
      </c>
      <c r="AS412">
        <v>702</v>
      </c>
      <c r="AT412" t="s">
        <v>71</v>
      </c>
      <c r="AU412">
        <v>22.51</v>
      </c>
      <c r="AV412">
        <v>-42.93</v>
      </c>
      <c r="AW412" t="s">
        <v>72</v>
      </c>
      <c r="AX412">
        <v>702</v>
      </c>
      <c r="AY412" t="s">
        <v>71</v>
      </c>
      <c r="AZ412">
        <v>24.25</v>
      </c>
      <c r="BA412">
        <v>-52.74</v>
      </c>
      <c r="BB412" t="s">
        <v>73</v>
      </c>
    </row>
    <row r="413" spans="1:54" x14ac:dyDescent="0.4">
      <c r="A413">
        <v>1285964</v>
      </c>
      <c r="D413" t="s">
        <v>246</v>
      </c>
      <c r="E413" t="s">
        <v>55</v>
      </c>
      <c r="G413">
        <v>1</v>
      </c>
      <c r="H413" t="s">
        <v>56</v>
      </c>
      <c r="I413" t="s">
        <v>57</v>
      </c>
      <c r="K413" t="s">
        <v>856</v>
      </c>
      <c r="L413" t="s">
        <v>1074</v>
      </c>
      <c r="M413" t="s">
        <v>59</v>
      </c>
      <c r="P413" t="s">
        <v>259</v>
      </c>
      <c r="Q413" t="s">
        <v>502</v>
      </c>
      <c r="R413" t="s">
        <v>260</v>
      </c>
      <c r="S413" t="s">
        <v>98</v>
      </c>
      <c r="T413">
        <v>259.51</v>
      </c>
      <c r="U413">
        <v>251.90199999999999</v>
      </c>
      <c r="V413">
        <f>(T413+U413)/2</f>
        <v>255.70599999999999</v>
      </c>
      <c r="W413">
        <f>T413-U413</f>
        <v>7.6080000000000041</v>
      </c>
      <c r="X413">
        <v>44.416668000000001</v>
      </c>
      <c r="Y413">
        <v>-24</v>
      </c>
      <c r="Z413" t="s">
        <v>99</v>
      </c>
      <c r="AA413" t="s">
        <v>692</v>
      </c>
      <c r="AB413" t="s">
        <v>693</v>
      </c>
      <c r="AD413" t="s">
        <v>694</v>
      </c>
      <c r="AE413" t="s">
        <v>695</v>
      </c>
      <c r="AH413" t="s">
        <v>65</v>
      </c>
      <c r="AI413" t="s">
        <v>1063</v>
      </c>
      <c r="AJ413">
        <v>1926</v>
      </c>
      <c r="AK413" t="s">
        <v>697</v>
      </c>
      <c r="AM413" t="s">
        <v>698</v>
      </c>
      <c r="AN413" t="s">
        <v>121</v>
      </c>
      <c r="AO413" t="s">
        <v>330</v>
      </c>
      <c r="AP413" t="s">
        <v>182</v>
      </c>
      <c r="AQ413" t="s">
        <v>699</v>
      </c>
      <c r="AR413" t="s">
        <v>70</v>
      </c>
      <c r="AS413">
        <v>702</v>
      </c>
      <c r="AT413" t="s">
        <v>71</v>
      </c>
      <c r="AU413">
        <v>22.51</v>
      </c>
      <c r="AV413">
        <v>-42.93</v>
      </c>
      <c r="AW413" t="s">
        <v>72</v>
      </c>
      <c r="AX413">
        <v>702</v>
      </c>
      <c r="AY413" t="s">
        <v>71</v>
      </c>
      <c r="AZ413">
        <v>24.25</v>
      </c>
      <c r="BA413">
        <v>-52.74</v>
      </c>
      <c r="BB413" t="s">
        <v>73</v>
      </c>
    </row>
    <row r="414" spans="1:54" x14ac:dyDescent="0.4">
      <c r="A414">
        <v>1285964</v>
      </c>
      <c r="D414" t="s">
        <v>246</v>
      </c>
      <c r="E414" t="s">
        <v>55</v>
      </c>
      <c r="G414">
        <v>1</v>
      </c>
      <c r="H414" t="s">
        <v>56</v>
      </c>
      <c r="I414" t="s">
        <v>57</v>
      </c>
      <c r="K414" t="s">
        <v>856</v>
      </c>
      <c r="L414" t="s">
        <v>1074</v>
      </c>
      <c r="M414" t="s">
        <v>59</v>
      </c>
      <c r="P414" t="s">
        <v>259</v>
      </c>
      <c r="Q414" t="s">
        <v>502</v>
      </c>
      <c r="R414" t="s">
        <v>260</v>
      </c>
      <c r="S414" t="s">
        <v>98</v>
      </c>
      <c r="T414">
        <v>259.51</v>
      </c>
      <c r="U414">
        <v>251.90199999999999</v>
      </c>
      <c r="V414">
        <f>(T414+U414)/2</f>
        <v>255.70599999999999</v>
      </c>
      <c r="W414">
        <f>T414-U414</f>
        <v>7.6080000000000041</v>
      </c>
      <c r="X414">
        <v>44.416668000000001</v>
      </c>
      <c r="Y414">
        <v>-24</v>
      </c>
      <c r="Z414" t="s">
        <v>99</v>
      </c>
      <c r="AA414" t="s">
        <v>692</v>
      </c>
      <c r="AB414" t="s">
        <v>693</v>
      </c>
      <c r="AD414" t="s">
        <v>694</v>
      </c>
      <c r="AE414" t="s">
        <v>695</v>
      </c>
      <c r="AH414" t="s">
        <v>65</v>
      </c>
      <c r="AI414" t="s">
        <v>1063</v>
      </c>
      <c r="AJ414">
        <v>1926</v>
      </c>
      <c r="AK414" t="s">
        <v>697</v>
      </c>
      <c r="AM414" t="s">
        <v>698</v>
      </c>
      <c r="AN414" t="s">
        <v>121</v>
      </c>
      <c r="AO414" t="s">
        <v>330</v>
      </c>
      <c r="AP414" t="s">
        <v>182</v>
      </c>
      <c r="AQ414" t="s">
        <v>699</v>
      </c>
      <c r="AR414" t="s">
        <v>70</v>
      </c>
      <c r="AS414">
        <v>702</v>
      </c>
      <c r="AT414" t="s">
        <v>71</v>
      </c>
      <c r="AU414">
        <v>22.51</v>
      </c>
      <c r="AV414">
        <v>-42.93</v>
      </c>
      <c r="AW414" t="s">
        <v>72</v>
      </c>
      <c r="AX414">
        <v>702</v>
      </c>
      <c r="AY414" t="s">
        <v>71</v>
      </c>
      <c r="AZ414">
        <v>24.25</v>
      </c>
      <c r="BA414">
        <v>-52.74</v>
      </c>
      <c r="BB414" t="s">
        <v>73</v>
      </c>
    </row>
    <row r="415" spans="1:54" x14ac:dyDescent="0.4">
      <c r="A415">
        <v>1285964</v>
      </c>
      <c r="D415" t="s">
        <v>246</v>
      </c>
      <c r="E415" t="s">
        <v>55</v>
      </c>
      <c r="G415">
        <v>1</v>
      </c>
      <c r="H415" t="s">
        <v>56</v>
      </c>
      <c r="I415" t="s">
        <v>57</v>
      </c>
      <c r="K415" t="s">
        <v>856</v>
      </c>
      <c r="L415" t="s">
        <v>1074</v>
      </c>
      <c r="M415" t="s">
        <v>59</v>
      </c>
      <c r="P415" t="s">
        <v>259</v>
      </c>
      <c r="Q415" t="s">
        <v>502</v>
      </c>
      <c r="R415" t="s">
        <v>260</v>
      </c>
      <c r="S415" t="s">
        <v>98</v>
      </c>
      <c r="T415">
        <v>259.51</v>
      </c>
      <c r="U415">
        <v>251.90199999999999</v>
      </c>
      <c r="V415">
        <f>(T415+U415)/2</f>
        <v>255.70599999999999</v>
      </c>
      <c r="W415">
        <f>T415-U415</f>
        <v>7.6080000000000041</v>
      </c>
      <c r="X415">
        <v>44.416668000000001</v>
      </c>
      <c r="Y415">
        <v>-24</v>
      </c>
      <c r="Z415" t="s">
        <v>99</v>
      </c>
      <c r="AA415" t="s">
        <v>692</v>
      </c>
      <c r="AB415" t="s">
        <v>693</v>
      </c>
      <c r="AD415" t="s">
        <v>694</v>
      </c>
      <c r="AE415" t="s">
        <v>695</v>
      </c>
      <c r="AH415" t="s">
        <v>65</v>
      </c>
      <c r="AI415" t="s">
        <v>1063</v>
      </c>
      <c r="AJ415">
        <v>1926</v>
      </c>
      <c r="AK415" t="s">
        <v>697</v>
      </c>
      <c r="AM415" t="s">
        <v>698</v>
      </c>
      <c r="AN415" t="s">
        <v>121</v>
      </c>
      <c r="AO415" t="s">
        <v>330</v>
      </c>
      <c r="AP415" t="s">
        <v>182</v>
      </c>
      <c r="AQ415" t="s">
        <v>699</v>
      </c>
      <c r="AR415" t="s">
        <v>70</v>
      </c>
      <c r="AS415">
        <v>702</v>
      </c>
      <c r="AT415" t="s">
        <v>71</v>
      </c>
      <c r="AU415">
        <v>22.51</v>
      </c>
      <c r="AV415">
        <v>-42.93</v>
      </c>
      <c r="AW415" t="s">
        <v>72</v>
      </c>
      <c r="AX415">
        <v>702</v>
      </c>
      <c r="AY415" t="s">
        <v>71</v>
      </c>
      <c r="AZ415">
        <v>24.25</v>
      </c>
      <c r="BA415">
        <v>-52.74</v>
      </c>
      <c r="BB415" t="s">
        <v>73</v>
      </c>
    </row>
    <row r="416" spans="1:54" x14ac:dyDescent="0.4">
      <c r="A416">
        <v>1285964</v>
      </c>
      <c r="D416" t="s">
        <v>246</v>
      </c>
      <c r="E416" t="s">
        <v>55</v>
      </c>
      <c r="G416">
        <v>1</v>
      </c>
      <c r="H416" t="s">
        <v>56</v>
      </c>
      <c r="I416" t="s">
        <v>57</v>
      </c>
      <c r="K416" t="s">
        <v>856</v>
      </c>
      <c r="L416" t="s">
        <v>1074</v>
      </c>
      <c r="M416" t="s">
        <v>59</v>
      </c>
      <c r="P416" t="s">
        <v>259</v>
      </c>
      <c r="Q416" t="s">
        <v>502</v>
      </c>
      <c r="R416" t="s">
        <v>260</v>
      </c>
      <c r="S416" t="s">
        <v>98</v>
      </c>
      <c r="T416">
        <v>259.51</v>
      </c>
      <c r="U416">
        <v>251.90199999999999</v>
      </c>
      <c r="V416">
        <f>(T416+U416)/2</f>
        <v>255.70599999999999</v>
      </c>
      <c r="W416">
        <f>T416-U416</f>
        <v>7.6080000000000041</v>
      </c>
      <c r="X416">
        <v>44.416668000000001</v>
      </c>
      <c r="Y416">
        <v>-24</v>
      </c>
      <c r="Z416" t="s">
        <v>99</v>
      </c>
      <c r="AA416" t="s">
        <v>692</v>
      </c>
      <c r="AB416" t="s">
        <v>693</v>
      </c>
      <c r="AD416" t="s">
        <v>694</v>
      </c>
      <c r="AE416" t="s">
        <v>695</v>
      </c>
      <c r="AH416" t="s">
        <v>65</v>
      </c>
      <c r="AI416" t="s">
        <v>1063</v>
      </c>
      <c r="AJ416">
        <v>1926</v>
      </c>
      <c r="AK416" t="s">
        <v>697</v>
      </c>
      <c r="AM416" t="s">
        <v>698</v>
      </c>
      <c r="AN416" t="s">
        <v>121</v>
      </c>
      <c r="AO416" t="s">
        <v>330</v>
      </c>
      <c r="AP416" t="s">
        <v>182</v>
      </c>
      <c r="AQ416" t="s">
        <v>699</v>
      </c>
      <c r="AR416" t="s">
        <v>70</v>
      </c>
      <c r="AS416">
        <v>702</v>
      </c>
      <c r="AT416" t="s">
        <v>71</v>
      </c>
      <c r="AU416">
        <v>22.51</v>
      </c>
      <c r="AV416">
        <v>-42.93</v>
      </c>
      <c r="AW416" t="s">
        <v>72</v>
      </c>
      <c r="AX416">
        <v>702</v>
      </c>
      <c r="AY416" t="s">
        <v>71</v>
      </c>
      <c r="AZ416">
        <v>24.25</v>
      </c>
      <c r="BA416">
        <v>-52.74</v>
      </c>
      <c r="BB416" t="s">
        <v>73</v>
      </c>
    </row>
    <row r="417" spans="1:54" x14ac:dyDescent="0.4">
      <c r="A417">
        <v>1285964</v>
      </c>
      <c r="D417" t="s">
        <v>246</v>
      </c>
      <c r="E417" t="s">
        <v>55</v>
      </c>
      <c r="G417">
        <v>1</v>
      </c>
      <c r="H417" t="s">
        <v>56</v>
      </c>
      <c r="I417" t="s">
        <v>57</v>
      </c>
      <c r="K417" t="s">
        <v>856</v>
      </c>
      <c r="L417" t="s">
        <v>1074</v>
      </c>
      <c r="M417" t="s">
        <v>59</v>
      </c>
      <c r="P417" t="s">
        <v>259</v>
      </c>
      <c r="Q417" t="s">
        <v>502</v>
      </c>
      <c r="R417" t="s">
        <v>260</v>
      </c>
      <c r="S417" t="s">
        <v>98</v>
      </c>
      <c r="T417">
        <v>259.51</v>
      </c>
      <c r="U417">
        <v>251.90199999999999</v>
      </c>
      <c r="V417">
        <f>(T417+U417)/2</f>
        <v>255.70599999999999</v>
      </c>
      <c r="W417">
        <f>T417-U417</f>
        <v>7.6080000000000041</v>
      </c>
      <c r="X417">
        <v>44.416668000000001</v>
      </c>
      <c r="Y417">
        <v>-24</v>
      </c>
      <c r="Z417" t="s">
        <v>99</v>
      </c>
      <c r="AA417" t="s">
        <v>692</v>
      </c>
      <c r="AB417" t="s">
        <v>693</v>
      </c>
      <c r="AD417" t="s">
        <v>694</v>
      </c>
      <c r="AE417" t="s">
        <v>695</v>
      </c>
      <c r="AH417" t="s">
        <v>65</v>
      </c>
      <c r="AI417" t="s">
        <v>1063</v>
      </c>
      <c r="AJ417">
        <v>1926</v>
      </c>
      <c r="AK417" t="s">
        <v>697</v>
      </c>
      <c r="AM417" t="s">
        <v>698</v>
      </c>
      <c r="AN417" t="s">
        <v>121</v>
      </c>
      <c r="AO417" t="s">
        <v>330</v>
      </c>
      <c r="AP417" t="s">
        <v>182</v>
      </c>
      <c r="AQ417" t="s">
        <v>699</v>
      </c>
      <c r="AR417" t="s">
        <v>70</v>
      </c>
      <c r="AS417">
        <v>702</v>
      </c>
      <c r="AT417" t="s">
        <v>71</v>
      </c>
      <c r="AU417">
        <v>22.51</v>
      </c>
      <c r="AV417">
        <v>-42.93</v>
      </c>
      <c r="AW417" t="s">
        <v>72</v>
      </c>
      <c r="AX417">
        <v>702</v>
      </c>
      <c r="AY417" t="s">
        <v>71</v>
      </c>
      <c r="AZ417">
        <v>24.25</v>
      </c>
      <c r="BA417">
        <v>-52.74</v>
      </c>
      <c r="BB417" t="s">
        <v>73</v>
      </c>
    </row>
    <row r="418" spans="1:54" x14ac:dyDescent="0.4">
      <c r="A418">
        <v>1285964</v>
      </c>
      <c r="D418" t="s">
        <v>246</v>
      </c>
      <c r="E418" t="s">
        <v>55</v>
      </c>
      <c r="G418">
        <v>1</v>
      </c>
      <c r="H418" t="s">
        <v>56</v>
      </c>
      <c r="I418" t="s">
        <v>57</v>
      </c>
      <c r="K418" t="s">
        <v>856</v>
      </c>
      <c r="L418" t="s">
        <v>1074</v>
      </c>
      <c r="M418" t="s">
        <v>59</v>
      </c>
      <c r="P418" t="s">
        <v>259</v>
      </c>
      <c r="Q418" t="s">
        <v>502</v>
      </c>
      <c r="R418" t="s">
        <v>260</v>
      </c>
      <c r="S418" t="s">
        <v>98</v>
      </c>
      <c r="T418">
        <v>259.51</v>
      </c>
      <c r="U418">
        <v>251.90199999999999</v>
      </c>
      <c r="V418">
        <f>(T418+U418)/2</f>
        <v>255.70599999999999</v>
      </c>
      <c r="W418">
        <f>T418-U418</f>
        <v>7.6080000000000041</v>
      </c>
      <c r="X418">
        <v>44.416668000000001</v>
      </c>
      <c r="Y418">
        <v>-24</v>
      </c>
      <c r="Z418" t="s">
        <v>99</v>
      </c>
      <c r="AA418" t="s">
        <v>692</v>
      </c>
      <c r="AB418" t="s">
        <v>693</v>
      </c>
      <c r="AD418" t="s">
        <v>694</v>
      </c>
      <c r="AE418" t="s">
        <v>695</v>
      </c>
      <c r="AH418" t="s">
        <v>65</v>
      </c>
      <c r="AI418" t="s">
        <v>1063</v>
      </c>
      <c r="AJ418">
        <v>1926</v>
      </c>
      <c r="AK418" t="s">
        <v>697</v>
      </c>
      <c r="AM418" t="s">
        <v>698</v>
      </c>
      <c r="AN418" t="s">
        <v>121</v>
      </c>
      <c r="AO418" t="s">
        <v>330</v>
      </c>
      <c r="AP418" t="s">
        <v>182</v>
      </c>
      <c r="AQ418" t="s">
        <v>699</v>
      </c>
      <c r="AR418" t="s">
        <v>70</v>
      </c>
      <c r="AS418">
        <v>702</v>
      </c>
      <c r="AT418" t="s">
        <v>71</v>
      </c>
      <c r="AU418">
        <v>22.51</v>
      </c>
      <c r="AV418">
        <v>-42.93</v>
      </c>
      <c r="AW418" t="s">
        <v>72</v>
      </c>
      <c r="AX418">
        <v>702</v>
      </c>
      <c r="AY418" t="s">
        <v>71</v>
      </c>
      <c r="AZ418">
        <v>24.25</v>
      </c>
      <c r="BA418">
        <v>-52.74</v>
      </c>
      <c r="BB418" t="s">
        <v>73</v>
      </c>
    </row>
    <row r="419" spans="1:54" x14ac:dyDescent="0.4">
      <c r="A419">
        <v>1285964</v>
      </c>
      <c r="D419" t="s">
        <v>246</v>
      </c>
      <c r="E419" t="s">
        <v>55</v>
      </c>
      <c r="G419">
        <v>1</v>
      </c>
      <c r="H419" t="s">
        <v>56</v>
      </c>
      <c r="I419" t="s">
        <v>57</v>
      </c>
      <c r="K419" t="s">
        <v>856</v>
      </c>
      <c r="L419" t="s">
        <v>1074</v>
      </c>
      <c r="M419" t="s">
        <v>59</v>
      </c>
      <c r="P419" t="s">
        <v>259</v>
      </c>
      <c r="Q419" t="s">
        <v>502</v>
      </c>
      <c r="R419" t="s">
        <v>260</v>
      </c>
      <c r="S419" t="s">
        <v>98</v>
      </c>
      <c r="T419">
        <v>259.51</v>
      </c>
      <c r="U419">
        <v>251.90199999999999</v>
      </c>
      <c r="V419">
        <f>(T419+U419)/2</f>
        <v>255.70599999999999</v>
      </c>
      <c r="W419">
        <f>T419-U419</f>
        <v>7.6080000000000041</v>
      </c>
      <c r="X419">
        <v>44.416668000000001</v>
      </c>
      <c r="Y419">
        <v>-24</v>
      </c>
      <c r="Z419" t="s">
        <v>99</v>
      </c>
      <c r="AA419" t="s">
        <v>692</v>
      </c>
      <c r="AB419" t="s">
        <v>693</v>
      </c>
      <c r="AD419" t="s">
        <v>694</v>
      </c>
      <c r="AE419" t="s">
        <v>695</v>
      </c>
      <c r="AH419" t="s">
        <v>65</v>
      </c>
      <c r="AI419" t="s">
        <v>1063</v>
      </c>
      <c r="AJ419">
        <v>1926</v>
      </c>
      <c r="AK419" t="s">
        <v>697</v>
      </c>
      <c r="AM419" t="s">
        <v>698</v>
      </c>
      <c r="AN419" t="s">
        <v>121</v>
      </c>
      <c r="AO419" t="s">
        <v>330</v>
      </c>
      <c r="AP419" t="s">
        <v>182</v>
      </c>
      <c r="AQ419" t="s">
        <v>699</v>
      </c>
      <c r="AR419" t="s">
        <v>70</v>
      </c>
      <c r="AS419">
        <v>702</v>
      </c>
      <c r="AT419" t="s">
        <v>71</v>
      </c>
      <c r="AU419">
        <v>22.51</v>
      </c>
      <c r="AV419">
        <v>-42.93</v>
      </c>
      <c r="AW419" t="s">
        <v>72</v>
      </c>
      <c r="AX419">
        <v>702</v>
      </c>
      <c r="AY419" t="s">
        <v>71</v>
      </c>
      <c r="AZ419">
        <v>24.25</v>
      </c>
      <c r="BA419">
        <v>-52.74</v>
      </c>
      <c r="BB419" t="s">
        <v>73</v>
      </c>
    </row>
    <row r="420" spans="1:54" x14ac:dyDescent="0.4">
      <c r="A420">
        <v>1285964</v>
      </c>
      <c r="D420" t="s">
        <v>246</v>
      </c>
      <c r="E420" t="s">
        <v>55</v>
      </c>
      <c r="G420">
        <v>1</v>
      </c>
      <c r="H420" t="s">
        <v>56</v>
      </c>
      <c r="I420" t="s">
        <v>57</v>
      </c>
      <c r="K420" t="s">
        <v>856</v>
      </c>
      <c r="L420" t="s">
        <v>1074</v>
      </c>
      <c r="M420" t="s">
        <v>59</v>
      </c>
      <c r="P420" t="s">
        <v>259</v>
      </c>
      <c r="Q420" t="s">
        <v>502</v>
      </c>
      <c r="R420" t="s">
        <v>260</v>
      </c>
      <c r="S420" t="s">
        <v>98</v>
      </c>
      <c r="T420">
        <v>259.51</v>
      </c>
      <c r="U420">
        <v>251.90199999999999</v>
      </c>
      <c r="V420">
        <f>(T420+U420)/2</f>
        <v>255.70599999999999</v>
      </c>
      <c r="W420">
        <f>T420-U420</f>
        <v>7.6080000000000041</v>
      </c>
      <c r="X420">
        <v>44.416668000000001</v>
      </c>
      <c r="Y420">
        <v>-24</v>
      </c>
      <c r="Z420" t="s">
        <v>99</v>
      </c>
      <c r="AA420" t="s">
        <v>692</v>
      </c>
      <c r="AB420" t="s">
        <v>693</v>
      </c>
      <c r="AD420" t="s">
        <v>694</v>
      </c>
      <c r="AE420" t="s">
        <v>695</v>
      </c>
      <c r="AH420" t="s">
        <v>65</v>
      </c>
      <c r="AI420" t="s">
        <v>1063</v>
      </c>
      <c r="AJ420">
        <v>1926</v>
      </c>
      <c r="AK420" t="s">
        <v>697</v>
      </c>
      <c r="AM420" t="s">
        <v>698</v>
      </c>
      <c r="AN420" t="s">
        <v>121</v>
      </c>
      <c r="AO420" t="s">
        <v>330</v>
      </c>
      <c r="AP420" t="s">
        <v>182</v>
      </c>
      <c r="AQ420" t="s">
        <v>699</v>
      </c>
      <c r="AR420" t="s">
        <v>70</v>
      </c>
      <c r="AS420">
        <v>702</v>
      </c>
      <c r="AT420" t="s">
        <v>71</v>
      </c>
      <c r="AU420">
        <v>22.51</v>
      </c>
      <c r="AV420">
        <v>-42.93</v>
      </c>
      <c r="AW420" t="s">
        <v>72</v>
      </c>
      <c r="AX420">
        <v>702</v>
      </c>
      <c r="AY420" t="s">
        <v>71</v>
      </c>
      <c r="AZ420">
        <v>24.25</v>
      </c>
      <c r="BA420">
        <v>-52.74</v>
      </c>
      <c r="BB420" t="s">
        <v>73</v>
      </c>
    </row>
    <row r="421" spans="1:54" x14ac:dyDescent="0.4">
      <c r="A421">
        <v>1285964</v>
      </c>
      <c r="D421" t="s">
        <v>246</v>
      </c>
      <c r="E421" t="s">
        <v>55</v>
      </c>
      <c r="G421">
        <v>1</v>
      </c>
      <c r="H421" t="s">
        <v>56</v>
      </c>
      <c r="I421" t="s">
        <v>57</v>
      </c>
      <c r="K421" t="s">
        <v>856</v>
      </c>
      <c r="L421" t="s">
        <v>1074</v>
      </c>
      <c r="M421" t="s">
        <v>59</v>
      </c>
      <c r="P421" t="s">
        <v>259</v>
      </c>
      <c r="Q421" t="s">
        <v>502</v>
      </c>
      <c r="R421" t="s">
        <v>260</v>
      </c>
      <c r="S421" t="s">
        <v>98</v>
      </c>
      <c r="T421">
        <v>259.51</v>
      </c>
      <c r="U421">
        <v>251.90199999999999</v>
      </c>
      <c r="V421">
        <f>(T421+U421)/2</f>
        <v>255.70599999999999</v>
      </c>
      <c r="W421">
        <f>T421-U421</f>
        <v>7.6080000000000041</v>
      </c>
      <c r="X421">
        <v>44.416668000000001</v>
      </c>
      <c r="Y421">
        <v>-24</v>
      </c>
      <c r="Z421" t="s">
        <v>99</v>
      </c>
      <c r="AA421" t="s">
        <v>692</v>
      </c>
      <c r="AB421" t="s">
        <v>693</v>
      </c>
      <c r="AD421" t="s">
        <v>694</v>
      </c>
      <c r="AE421" t="s">
        <v>695</v>
      </c>
      <c r="AH421" t="s">
        <v>65</v>
      </c>
      <c r="AI421" t="s">
        <v>1063</v>
      </c>
      <c r="AJ421">
        <v>1926</v>
      </c>
      <c r="AK421" t="s">
        <v>697</v>
      </c>
      <c r="AM421" t="s">
        <v>698</v>
      </c>
      <c r="AN421" t="s">
        <v>121</v>
      </c>
      <c r="AO421" t="s">
        <v>330</v>
      </c>
      <c r="AP421" t="s">
        <v>182</v>
      </c>
      <c r="AQ421" t="s">
        <v>699</v>
      </c>
      <c r="AR421" t="s">
        <v>70</v>
      </c>
      <c r="AS421">
        <v>702</v>
      </c>
      <c r="AT421" t="s">
        <v>71</v>
      </c>
      <c r="AU421">
        <v>22.51</v>
      </c>
      <c r="AV421">
        <v>-42.93</v>
      </c>
      <c r="AW421" t="s">
        <v>72</v>
      </c>
      <c r="AX421">
        <v>702</v>
      </c>
      <c r="AY421" t="s">
        <v>71</v>
      </c>
      <c r="AZ421">
        <v>24.25</v>
      </c>
      <c r="BA421">
        <v>-52.74</v>
      </c>
      <c r="BB421" t="s">
        <v>73</v>
      </c>
    </row>
    <row r="422" spans="1:54" x14ac:dyDescent="0.4">
      <c r="A422">
        <v>1285964</v>
      </c>
      <c r="D422" t="s">
        <v>246</v>
      </c>
      <c r="E422" t="s">
        <v>55</v>
      </c>
      <c r="G422">
        <v>1</v>
      </c>
      <c r="H422" t="s">
        <v>56</v>
      </c>
      <c r="I422" t="s">
        <v>57</v>
      </c>
      <c r="K422" t="s">
        <v>856</v>
      </c>
      <c r="L422" t="s">
        <v>1074</v>
      </c>
      <c r="M422" t="s">
        <v>59</v>
      </c>
      <c r="P422" t="s">
        <v>259</v>
      </c>
      <c r="Q422" t="s">
        <v>502</v>
      </c>
      <c r="R422" t="s">
        <v>260</v>
      </c>
      <c r="S422" t="s">
        <v>98</v>
      </c>
      <c r="T422">
        <v>259.51</v>
      </c>
      <c r="U422">
        <v>251.90199999999999</v>
      </c>
      <c r="V422">
        <f>(T422+U422)/2</f>
        <v>255.70599999999999</v>
      </c>
      <c r="W422">
        <f>T422-U422</f>
        <v>7.6080000000000041</v>
      </c>
      <c r="X422">
        <v>44.416668000000001</v>
      </c>
      <c r="Y422">
        <v>-24</v>
      </c>
      <c r="Z422" t="s">
        <v>99</v>
      </c>
      <c r="AA422" t="s">
        <v>692</v>
      </c>
      <c r="AB422" t="s">
        <v>693</v>
      </c>
      <c r="AD422" t="s">
        <v>694</v>
      </c>
      <c r="AE422" t="s">
        <v>695</v>
      </c>
      <c r="AH422" t="s">
        <v>65</v>
      </c>
      <c r="AI422" t="s">
        <v>1063</v>
      </c>
      <c r="AJ422">
        <v>1926</v>
      </c>
      <c r="AK422" t="s">
        <v>697</v>
      </c>
      <c r="AM422" t="s">
        <v>698</v>
      </c>
      <c r="AN422" t="s">
        <v>121</v>
      </c>
      <c r="AO422" t="s">
        <v>330</v>
      </c>
      <c r="AP422" t="s">
        <v>182</v>
      </c>
      <c r="AQ422" t="s">
        <v>699</v>
      </c>
      <c r="AR422" t="s">
        <v>70</v>
      </c>
      <c r="AS422">
        <v>702</v>
      </c>
      <c r="AT422" t="s">
        <v>71</v>
      </c>
      <c r="AU422">
        <v>22.51</v>
      </c>
      <c r="AV422">
        <v>-42.93</v>
      </c>
      <c r="AW422" t="s">
        <v>72</v>
      </c>
      <c r="AX422">
        <v>702</v>
      </c>
      <c r="AY422" t="s">
        <v>71</v>
      </c>
      <c r="AZ422">
        <v>24.25</v>
      </c>
      <c r="BA422">
        <v>-52.74</v>
      </c>
      <c r="BB422" t="s">
        <v>73</v>
      </c>
    </row>
    <row r="423" spans="1:54" x14ac:dyDescent="0.4">
      <c r="A423">
        <v>1285964</v>
      </c>
      <c r="D423" t="s">
        <v>246</v>
      </c>
      <c r="E423" t="s">
        <v>55</v>
      </c>
      <c r="G423">
        <v>1</v>
      </c>
      <c r="H423" t="s">
        <v>56</v>
      </c>
      <c r="I423" t="s">
        <v>57</v>
      </c>
      <c r="K423" t="s">
        <v>856</v>
      </c>
      <c r="L423" t="s">
        <v>1074</v>
      </c>
      <c r="M423" t="s">
        <v>59</v>
      </c>
      <c r="P423" t="s">
        <v>259</v>
      </c>
      <c r="Q423" t="s">
        <v>502</v>
      </c>
      <c r="R423" t="s">
        <v>260</v>
      </c>
      <c r="S423" t="s">
        <v>98</v>
      </c>
      <c r="T423">
        <v>259.51</v>
      </c>
      <c r="U423">
        <v>251.90199999999999</v>
      </c>
      <c r="V423">
        <f>(T423+U423)/2</f>
        <v>255.70599999999999</v>
      </c>
      <c r="W423">
        <f>T423-U423</f>
        <v>7.6080000000000041</v>
      </c>
      <c r="X423">
        <v>44.416668000000001</v>
      </c>
      <c r="Y423">
        <v>-24</v>
      </c>
      <c r="Z423" t="s">
        <v>99</v>
      </c>
      <c r="AA423" t="s">
        <v>692</v>
      </c>
      <c r="AB423" t="s">
        <v>693</v>
      </c>
      <c r="AD423" t="s">
        <v>694</v>
      </c>
      <c r="AE423" t="s">
        <v>695</v>
      </c>
      <c r="AH423" t="s">
        <v>65</v>
      </c>
      <c r="AI423" t="s">
        <v>1063</v>
      </c>
      <c r="AJ423">
        <v>1926</v>
      </c>
      <c r="AK423" t="s">
        <v>697</v>
      </c>
      <c r="AM423" t="s">
        <v>698</v>
      </c>
      <c r="AN423" t="s">
        <v>121</v>
      </c>
      <c r="AO423" t="s">
        <v>330</v>
      </c>
      <c r="AP423" t="s">
        <v>182</v>
      </c>
      <c r="AQ423" t="s">
        <v>699</v>
      </c>
      <c r="AR423" t="s">
        <v>70</v>
      </c>
      <c r="AS423">
        <v>702</v>
      </c>
      <c r="AT423" t="s">
        <v>71</v>
      </c>
      <c r="AU423">
        <v>22.51</v>
      </c>
      <c r="AV423">
        <v>-42.93</v>
      </c>
      <c r="AW423" t="s">
        <v>72</v>
      </c>
      <c r="AX423">
        <v>702</v>
      </c>
      <c r="AY423" t="s">
        <v>71</v>
      </c>
      <c r="AZ423">
        <v>24.25</v>
      </c>
      <c r="BA423">
        <v>-52.74</v>
      </c>
      <c r="BB423" t="s">
        <v>73</v>
      </c>
    </row>
    <row r="424" spans="1:54" x14ac:dyDescent="0.4">
      <c r="A424">
        <v>1285964</v>
      </c>
      <c r="D424" t="s">
        <v>246</v>
      </c>
      <c r="E424" t="s">
        <v>55</v>
      </c>
      <c r="G424">
        <v>1</v>
      </c>
      <c r="H424" t="s">
        <v>56</v>
      </c>
      <c r="I424" t="s">
        <v>57</v>
      </c>
      <c r="K424" t="s">
        <v>856</v>
      </c>
      <c r="L424" t="s">
        <v>1074</v>
      </c>
      <c r="M424" t="s">
        <v>59</v>
      </c>
      <c r="P424" t="s">
        <v>259</v>
      </c>
      <c r="Q424" t="s">
        <v>502</v>
      </c>
      <c r="R424" t="s">
        <v>260</v>
      </c>
      <c r="S424" t="s">
        <v>98</v>
      </c>
      <c r="T424">
        <v>259.51</v>
      </c>
      <c r="U424">
        <v>251.90199999999999</v>
      </c>
      <c r="V424">
        <f>(T424+U424)/2</f>
        <v>255.70599999999999</v>
      </c>
      <c r="W424">
        <f>T424-U424</f>
        <v>7.6080000000000041</v>
      </c>
      <c r="X424">
        <v>44.416668000000001</v>
      </c>
      <c r="Y424">
        <v>-24</v>
      </c>
      <c r="Z424" t="s">
        <v>99</v>
      </c>
      <c r="AA424" t="s">
        <v>692</v>
      </c>
      <c r="AB424" t="s">
        <v>693</v>
      </c>
      <c r="AD424" t="s">
        <v>694</v>
      </c>
      <c r="AE424" t="s">
        <v>695</v>
      </c>
      <c r="AH424" t="s">
        <v>65</v>
      </c>
      <c r="AI424" t="s">
        <v>1063</v>
      </c>
      <c r="AJ424">
        <v>1926</v>
      </c>
      <c r="AK424" t="s">
        <v>697</v>
      </c>
      <c r="AM424" t="s">
        <v>698</v>
      </c>
      <c r="AN424" t="s">
        <v>121</v>
      </c>
      <c r="AO424" t="s">
        <v>330</v>
      </c>
      <c r="AP424" t="s">
        <v>182</v>
      </c>
      <c r="AQ424" t="s">
        <v>699</v>
      </c>
      <c r="AR424" t="s">
        <v>70</v>
      </c>
      <c r="AS424">
        <v>702</v>
      </c>
      <c r="AT424" t="s">
        <v>71</v>
      </c>
      <c r="AU424">
        <v>22.51</v>
      </c>
      <c r="AV424">
        <v>-42.93</v>
      </c>
      <c r="AW424" t="s">
        <v>72</v>
      </c>
      <c r="AX424">
        <v>702</v>
      </c>
      <c r="AY424" t="s">
        <v>71</v>
      </c>
      <c r="AZ424">
        <v>24.25</v>
      </c>
      <c r="BA424">
        <v>-52.74</v>
      </c>
      <c r="BB424" t="s">
        <v>73</v>
      </c>
    </row>
    <row r="425" spans="1:54" x14ac:dyDescent="0.4">
      <c r="A425">
        <v>1285964</v>
      </c>
      <c r="D425" t="s">
        <v>246</v>
      </c>
      <c r="E425" t="s">
        <v>55</v>
      </c>
      <c r="G425">
        <v>1</v>
      </c>
      <c r="H425" t="s">
        <v>56</v>
      </c>
      <c r="I425" t="s">
        <v>57</v>
      </c>
      <c r="K425" t="s">
        <v>856</v>
      </c>
      <c r="L425" t="s">
        <v>1074</v>
      </c>
      <c r="M425" t="s">
        <v>59</v>
      </c>
      <c r="P425" t="s">
        <v>259</v>
      </c>
      <c r="Q425" t="s">
        <v>502</v>
      </c>
      <c r="R425" t="s">
        <v>260</v>
      </c>
      <c r="S425" t="s">
        <v>98</v>
      </c>
      <c r="T425">
        <v>259.51</v>
      </c>
      <c r="U425">
        <v>251.90199999999999</v>
      </c>
      <c r="V425">
        <f>(T425+U425)/2</f>
        <v>255.70599999999999</v>
      </c>
      <c r="W425">
        <f>T425-U425</f>
        <v>7.6080000000000041</v>
      </c>
      <c r="X425">
        <v>44.416668000000001</v>
      </c>
      <c r="Y425">
        <v>-24</v>
      </c>
      <c r="Z425" t="s">
        <v>99</v>
      </c>
      <c r="AA425" t="s">
        <v>692</v>
      </c>
      <c r="AB425" t="s">
        <v>693</v>
      </c>
      <c r="AD425" t="s">
        <v>694</v>
      </c>
      <c r="AE425" t="s">
        <v>695</v>
      </c>
      <c r="AH425" t="s">
        <v>65</v>
      </c>
      <c r="AI425" t="s">
        <v>1063</v>
      </c>
      <c r="AJ425">
        <v>1926</v>
      </c>
      <c r="AK425" t="s">
        <v>697</v>
      </c>
      <c r="AM425" t="s">
        <v>698</v>
      </c>
      <c r="AN425" t="s">
        <v>121</v>
      </c>
      <c r="AO425" t="s">
        <v>330</v>
      </c>
      <c r="AP425" t="s">
        <v>182</v>
      </c>
      <c r="AQ425" t="s">
        <v>699</v>
      </c>
      <c r="AR425" t="s">
        <v>70</v>
      </c>
      <c r="AS425">
        <v>702</v>
      </c>
      <c r="AT425" t="s">
        <v>71</v>
      </c>
      <c r="AU425">
        <v>22.51</v>
      </c>
      <c r="AV425">
        <v>-42.93</v>
      </c>
      <c r="AW425" t="s">
        <v>72</v>
      </c>
      <c r="AX425">
        <v>702</v>
      </c>
      <c r="AY425" t="s">
        <v>71</v>
      </c>
      <c r="AZ425">
        <v>24.25</v>
      </c>
      <c r="BA425">
        <v>-52.74</v>
      </c>
      <c r="BB425" t="s">
        <v>73</v>
      </c>
    </row>
    <row r="426" spans="1:54" x14ac:dyDescent="0.4">
      <c r="A426">
        <v>1285964</v>
      </c>
      <c r="D426" t="s">
        <v>246</v>
      </c>
      <c r="E426" t="s">
        <v>55</v>
      </c>
      <c r="G426">
        <v>1</v>
      </c>
      <c r="H426" t="s">
        <v>56</v>
      </c>
      <c r="I426" t="s">
        <v>57</v>
      </c>
      <c r="K426" t="s">
        <v>856</v>
      </c>
      <c r="L426" t="s">
        <v>1074</v>
      </c>
      <c r="M426" t="s">
        <v>59</v>
      </c>
      <c r="P426" t="s">
        <v>259</v>
      </c>
      <c r="Q426" t="s">
        <v>502</v>
      </c>
      <c r="R426" t="s">
        <v>260</v>
      </c>
      <c r="S426" t="s">
        <v>98</v>
      </c>
      <c r="T426">
        <v>259.51</v>
      </c>
      <c r="U426">
        <v>251.90199999999999</v>
      </c>
      <c r="V426">
        <f>(T426+U426)/2</f>
        <v>255.70599999999999</v>
      </c>
      <c r="W426">
        <f>T426-U426</f>
        <v>7.6080000000000041</v>
      </c>
      <c r="X426">
        <v>44.416668000000001</v>
      </c>
      <c r="Y426">
        <v>-24</v>
      </c>
      <c r="Z426" t="s">
        <v>99</v>
      </c>
      <c r="AA426" t="s">
        <v>692</v>
      </c>
      <c r="AB426" t="s">
        <v>693</v>
      </c>
      <c r="AD426" t="s">
        <v>694</v>
      </c>
      <c r="AE426" t="s">
        <v>695</v>
      </c>
      <c r="AH426" t="s">
        <v>65</v>
      </c>
      <c r="AI426" t="s">
        <v>1063</v>
      </c>
      <c r="AJ426">
        <v>1926</v>
      </c>
      <c r="AK426" t="s">
        <v>697</v>
      </c>
      <c r="AM426" t="s">
        <v>698</v>
      </c>
      <c r="AN426" t="s">
        <v>121</v>
      </c>
      <c r="AO426" t="s">
        <v>330</v>
      </c>
      <c r="AP426" t="s">
        <v>182</v>
      </c>
      <c r="AQ426" t="s">
        <v>699</v>
      </c>
      <c r="AR426" t="s">
        <v>70</v>
      </c>
      <c r="AS426">
        <v>702</v>
      </c>
      <c r="AT426" t="s">
        <v>71</v>
      </c>
      <c r="AU426">
        <v>22.51</v>
      </c>
      <c r="AV426">
        <v>-42.93</v>
      </c>
      <c r="AW426" t="s">
        <v>72</v>
      </c>
      <c r="AX426">
        <v>702</v>
      </c>
      <c r="AY426" t="s">
        <v>71</v>
      </c>
      <c r="AZ426">
        <v>24.25</v>
      </c>
      <c r="BA426">
        <v>-52.74</v>
      </c>
      <c r="BB426" t="s">
        <v>73</v>
      </c>
    </row>
    <row r="427" spans="1:54" x14ac:dyDescent="0.4">
      <c r="A427">
        <v>1285964</v>
      </c>
      <c r="D427" t="s">
        <v>246</v>
      </c>
      <c r="E427" t="s">
        <v>55</v>
      </c>
      <c r="G427">
        <v>1</v>
      </c>
      <c r="H427" t="s">
        <v>56</v>
      </c>
      <c r="I427" t="s">
        <v>57</v>
      </c>
      <c r="K427" t="s">
        <v>856</v>
      </c>
      <c r="L427" t="s">
        <v>1074</v>
      </c>
      <c r="M427" t="s">
        <v>59</v>
      </c>
      <c r="P427" t="s">
        <v>259</v>
      </c>
      <c r="Q427" t="s">
        <v>502</v>
      </c>
      <c r="R427" t="s">
        <v>260</v>
      </c>
      <c r="S427" t="s">
        <v>98</v>
      </c>
      <c r="T427">
        <v>259.51</v>
      </c>
      <c r="U427">
        <v>251.90199999999999</v>
      </c>
      <c r="V427">
        <f>(T427+U427)/2</f>
        <v>255.70599999999999</v>
      </c>
      <c r="W427">
        <f>T427-U427</f>
        <v>7.6080000000000041</v>
      </c>
      <c r="X427">
        <v>44.416668000000001</v>
      </c>
      <c r="Y427">
        <v>-24</v>
      </c>
      <c r="Z427" t="s">
        <v>99</v>
      </c>
      <c r="AA427" t="s">
        <v>692</v>
      </c>
      <c r="AB427" t="s">
        <v>693</v>
      </c>
      <c r="AD427" t="s">
        <v>694</v>
      </c>
      <c r="AE427" t="s">
        <v>695</v>
      </c>
      <c r="AH427" t="s">
        <v>65</v>
      </c>
      <c r="AI427" t="s">
        <v>1063</v>
      </c>
      <c r="AJ427">
        <v>1926</v>
      </c>
      <c r="AK427" t="s">
        <v>697</v>
      </c>
      <c r="AM427" t="s">
        <v>698</v>
      </c>
      <c r="AN427" t="s">
        <v>121</v>
      </c>
      <c r="AO427" t="s">
        <v>330</v>
      </c>
      <c r="AP427" t="s">
        <v>182</v>
      </c>
      <c r="AQ427" t="s">
        <v>699</v>
      </c>
      <c r="AR427" t="s">
        <v>70</v>
      </c>
      <c r="AS427">
        <v>702</v>
      </c>
      <c r="AT427" t="s">
        <v>71</v>
      </c>
      <c r="AU427">
        <v>22.51</v>
      </c>
      <c r="AV427">
        <v>-42.93</v>
      </c>
      <c r="AW427" t="s">
        <v>72</v>
      </c>
      <c r="AX427">
        <v>702</v>
      </c>
      <c r="AY427" t="s">
        <v>71</v>
      </c>
      <c r="AZ427">
        <v>24.25</v>
      </c>
      <c r="BA427">
        <v>-52.74</v>
      </c>
      <c r="BB427" t="s">
        <v>73</v>
      </c>
    </row>
    <row r="428" spans="1:54" x14ac:dyDescent="0.4">
      <c r="A428">
        <v>1285964</v>
      </c>
      <c r="D428" t="s">
        <v>246</v>
      </c>
      <c r="E428" t="s">
        <v>55</v>
      </c>
      <c r="G428">
        <v>1</v>
      </c>
      <c r="H428" t="s">
        <v>56</v>
      </c>
      <c r="I428" t="s">
        <v>57</v>
      </c>
      <c r="K428" t="s">
        <v>856</v>
      </c>
      <c r="L428" t="s">
        <v>1074</v>
      </c>
      <c r="M428" t="s">
        <v>59</v>
      </c>
      <c r="P428" t="s">
        <v>259</v>
      </c>
      <c r="Q428" t="s">
        <v>502</v>
      </c>
      <c r="R428" t="s">
        <v>260</v>
      </c>
      <c r="S428" t="s">
        <v>98</v>
      </c>
      <c r="T428">
        <v>259.51</v>
      </c>
      <c r="U428">
        <v>251.90199999999999</v>
      </c>
      <c r="V428">
        <f>(T428+U428)/2</f>
        <v>255.70599999999999</v>
      </c>
      <c r="W428">
        <f>T428-U428</f>
        <v>7.6080000000000041</v>
      </c>
      <c r="X428">
        <v>44.416668000000001</v>
      </c>
      <c r="Y428">
        <v>-24</v>
      </c>
      <c r="Z428" t="s">
        <v>99</v>
      </c>
      <c r="AA428" t="s">
        <v>692</v>
      </c>
      <c r="AB428" t="s">
        <v>693</v>
      </c>
      <c r="AD428" t="s">
        <v>694</v>
      </c>
      <c r="AE428" t="s">
        <v>695</v>
      </c>
      <c r="AH428" t="s">
        <v>65</v>
      </c>
      <c r="AI428" t="s">
        <v>1063</v>
      </c>
      <c r="AJ428">
        <v>1926</v>
      </c>
      <c r="AK428" t="s">
        <v>697</v>
      </c>
      <c r="AM428" t="s">
        <v>698</v>
      </c>
      <c r="AN428" t="s">
        <v>121</v>
      </c>
      <c r="AO428" t="s">
        <v>330</v>
      </c>
      <c r="AP428" t="s">
        <v>182</v>
      </c>
      <c r="AQ428" t="s">
        <v>699</v>
      </c>
      <c r="AR428" t="s">
        <v>70</v>
      </c>
      <c r="AS428">
        <v>702</v>
      </c>
      <c r="AT428" t="s">
        <v>71</v>
      </c>
      <c r="AU428">
        <v>22.51</v>
      </c>
      <c r="AV428">
        <v>-42.93</v>
      </c>
      <c r="AW428" t="s">
        <v>72</v>
      </c>
      <c r="AX428">
        <v>702</v>
      </c>
      <c r="AY428" t="s">
        <v>71</v>
      </c>
      <c r="AZ428">
        <v>24.25</v>
      </c>
      <c r="BA428">
        <v>-52.74</v>
      </c>
      <c r="BB428" t="s">
        <v>73</v>
      </c>
    </row>
    <row r="429" spans="1:54" x14ac:dyDescent="0.4">
      <c r="A429">
        <v>1285964</v>
      </c>
      <c r="D429" t="s">
        <v>246</v>
      </c>
      <c r="E429" t="s">
        <v>55</v>
      </c>
      <c r="G429">
        <v>1</v>
      </c>
      <c r="H429" t="s">
        <v>56</v>
      </c>
      <c r="I429" t="s">
        <v>57</v>
      </c>
      <c r="K429" t="s">
        <v>856</v>
      </c>
      <c r="L429" t="s">
        <v>1074</v>
      </c>
      <c r="M429" t="s">
        <v>59</v>
      </c>
      <c r="P429" t="s">
        <v>259</v>
      </c>
      <c r="Q429" t="s">
        <v>502</v>
      </c>
      <c r="R429" t="s">
        <v>260</v>
      </c>
      <c r="S429" t="s">
        <v>98</v>
      </c>
      <c r="T429">
        <v>259.51</v>
      </c>
      <c r="U429">
        <v>251.90199999999999</v>
      </c>
      <c r="V429">
        <f>(T429+U429)/2</f>
        <v>255.70599999999999</v>
      </c>
      <c r="W429">
        <f>T429-U429</f>
        <v>7.6080000000000041</v>
      </c>
      <c r="X429">
        <v>44.416668000000001</v>
      </c>
      <c r="Y429">
        <v>-24</v>
      </c>
      <c r="Z429" t="s">
        <v>99</v>
      </c>
      <c r="AA429" t="s">
        <v>692</v>
      </c>
      <c r="AB429" t="s">
        <v>693</v>
      </c>
      <c r="AD429" t="s">
        <v>694</v>
      </c>
      <c r="AE429" t="s">
        <v>695</v>
      </c>
      <c r="AH429" t="s">
        <v>65</v>
      </c>
      <c r="AI429" t="s">
        <v>1063</v>
      </c>
      <c r="AJ429">
        <v>1926</v>
      </c>
      <c r="AK429" t="s">
        <v>697</v>
      </c>
      <c r="AM429" t="s">
        <v>698</v>
      </c>
      <c r="AN429" t="s">
        <v>121</v>
      </c>
      <c r="AO429" t="s">
        <v>330</v>
      </c>
      <c r="AP429" t="s">
        <v>182</v>
      </c>
      <c r="AQ429" t="s">
        <v>699</v>
      </c>
      <c r="AR429" t="s">
        <v>70</v>
      </c>
      <c r="AS429">
        <v>702</v>
      </c>
      <c r="AT429" t="s">
        <v>71</v>
      </c>
      <c r="AU429">
        <v>22.51</v>
      </c>
      <c r="AV429">
        <v>-42.93</v>
      </c>
      <c r="AW429" t="s">
        <v>72</v>
      </c>
      <c r="AX429">
        <v>702</v>
      </c>
      <c r="AY429" t="s">
        <v>71</v>
      </c>
      <c r="AZ429">
        <v>24.25</v>
      </c>
      <c r="BA429">
        <v>-52.74</v>
      </c>
      <c r="BB429" t="s">
        <v>73</v>
      </c>
    </row>
    <row r="430" spans="1:54" x14ac:dyDescent="0.4">
      <c r="A430">
        <v>1285964</v>
      </c>
      <c r="D430" t="s">
        <v>246</v>
      </c>
      <c r="E430" t="s">
        <v>55</v>
      </c>
      <c r="G430">
        <v>1</v>
      </c>
      <c r="H430" t="s">
        <v>56</v>
      </c>
      <c r="I430" t="s">
        <v>57</v>
      </c>
      <c r="K430" t="s">
        <v>856</v>
      </c>
      <c r="L430" t="s">
        <v>1074</v>
      </c>
      <c r="M430" t="s">
        <v>59</v>
      </c>
      <c r="P430" t="s">
        <v>259</v>
      </c>
      <c r="Q430" t="s">
        <v>502</v>
      </c>
      <c r="R430" t="s">
        <v>260</v>
      </c>
      <c r="S430" t="s">
        <v>98</v>
      </c>
      <c r="T430">
        <v>259.51</v>
      </c>
      <c r="U430">
        <v>251.90199999999999</v>
      </c>
      <c r="V430">
        <f>(T430+U430)/2</f>
        <v>255.70599999999999</v>
      </c>
      <c r="W430">
        <f>T430-U430</f>
        <v>7.6080000000000041</v>
      </c>
      <c r="X430">
        <v>44.416668000000001</v>
      </c>
      <c r="Y430">
        <v>-24</v>
      </c>
      <c r="Z430" t="s">
        <v>99</v>
      </c>
      <c r="AA430" t="s">
        <v>692</v>
      </c>
      <c r="AB430" t="s">
        <v>693</v>
      </c>
      <c r="AD430" t="s">
        <v>694</v>
      </c>
      <c r="AE430" t="s">
        <v>695</v>
      </c>
      <c r="AH430" t="s">
        <v>65</v>
      </c>
      <c r="AI430" t="s">
        <v>1063</v>
      </c>
      <c r="AJ430">
        <v>1926</v>
      </c>
      <c r="AK430" t="s">
        <v>697</v>
      </c>
      <c r="AM430" t="s">
        <v>698</v>
      </c>
      <c r="AN430" t="s">
        <v>121</v>
      </c>
      <c r="AO430" t="s">
        <v>330</v>
      </c>
      <c r="AP430" t="s">
        <v>182</v>
      </c>
      <c r="AQ430" t="s">
        <v>699</v>
      </c>
      <c r="AR430" t="s">
        <v>70</v>
      </c>
      <c r="AS430">
        <v>702</v>
      </c>
      <c r="AT430" t="s">
        <v>71</v>
      </c>
      <c r="AU430">
        <v>22.51</v>
      </c>
      <c r="AV430">
        <v>-42.93</v>
      </c>
      <c r="AW430" t="s">
        <v>72</v>
      </c>
      <c r="AX430">
        <v>702</v>
      </c>
      <c r="AY430" t="s">
        <v>71</v>
      </c>
      <c r="AZ430">
        <v>24.25</v>
      </c>
      <c r="BA430">
        <v>-52.74</v>
      </c>
      <c r="BB430" t="s">
        <v>73</v>
      </c>
    </row>
    <row r="431" spans="1:54" x14ac:dyDescent="0.4">
      <c r="A431">
        <v>1285964</v>
      </c>
      <c r="D431" t="s">
        <v>246</v>
      </c>
      <c r="E431" t="s">
        <v>55</v>
      </c>
      <c r="G431">
        <v>1</v>
      </c>
      <c r="H431" t="s">
        <v>56</v>
      </c>
      <c r="I431" t="s">
        <v>57</v>
      </c>
      <c r="K431" t="s">
        <v>856</v>
      </c>
      <c r="L431" t="s">
        <v>1074</v>
      </c>
      <c r="M431" t="s">
        <v>59</v>
      </c>
      <c r="P431" t="s">
        <v>259</v>
      </c>
      <c r="Q431" t="s">
        <v>502</v>
      </c>
      <c r="R431" t="s">
        <v>260</v>
      </c>
      <c r="S431" t="s">
        <v>98</v>
      </c>
      <c r="T431">
        <v>259.51</v>
      </c>
      <c r="U431">
        <v>251.90199999999999</v>
      </c>
      <c r="V431">
        <f>(T431+U431)/2</f>
        <v>255.70599999999999</v>
      </c>
      <c r="W431">
        <f>T431-U431</f>
        <v>7.6080000000000041</v>
      </c>
      <c r="X431">
        <v>44.416668000000001</v>
      </c>
      <c r="Y431">
        <v>-24</v>
      </c>
      <c r="Z431" t="s">
        <v>99</v>
      </c>
      <c r="AA431" t="s">
        <v>692</v>
      </c>
      <c r="AB431" t="s">
        <v>693</v>
      </c>
      <c r="AD431" t="s">
        <v>694</v>
      </c>
      <c r="AE431" t="s">
        <v>695</v>
      </c>
      <c r="AH431" t="s">
        <v>65</v>
      </c>
      <c r="AI431" t="s">
        <v>1063</v>
      </c>
      <c r="AJ431">
        <v>1926</v>
      </c>
      <c r="AK431" t="s">
        <v>697</v>
      </c>
      <c r="AM431" t="s">
        <v>698</v>
      </c>
      <c r="AN431" t="s">
        <v>121</v>
      </c>
      <c r="AO431" t="s">
        <v>330</v>
      </c>
      <c r="AP431" t="s">
        <v>182</v>
      </c>
      <c r="AQ431" t="s">
        <v>699</v>
      </c>
      <c r="AR431" t="s">
        <v>70</v>
      </c>
      <c r="AS431">
        <v>702</v>
      </c>
      <c r="AT431" t="s">
        <v>71</v>
      </c>
      <c r="AU431">
        <v>22.51</v>
      </c>
      <c r="AV431">
        <v>-42.93</v>
      </c>
      <c r="AW431" t="s">
        <v>72</v>
      </c>
      <c r="AX431">
        <v>702</v>
      </c>
      <c r="AY431" t="s">
        <v>71</v>
      </c>
      <c r="AZ431">
        <v>24.25</v>
      </c>
      <c r="BA431">
        <v>-52.74</v>
      </c>
      <c r="BB431" t="s">
        <v>73</v>
      </c>
    </row>
    <row r="432" spans="1:54" x14ac:dyDescent="0.4">
      <c r="A432">
        <v>1285964</v>
      </c>
      <c r="D432" t="s">
        <v>246</v>
      </c>
      <c r="E432" t="s">
        <v>55</v>
      </c>
      <c r="G432">
        <v>1</v>
      </c>
      <c r="H432" t="s">
        <v>56</v>
      </c>
      <c r="I432" t="s">
        <v>57</v>
      </c>
      <c r="K432" t="s">
        <v>856</v>
      </c>
      <c r="L432" t="s">
        <v>1074</v>
      </c>
      <c r="M432" t="s">
        <v>59</v>
      </c>
      <c r="P432" t="s">
        <v>259</v>
      </c>
      <c r="Q432" t="s">
        <v>502</v>
      </c>
      <c r="R432" t="s">
        <v>260</v>
      </c>
      <c r="S432" t="s">
        <v>98</v>
      </c>
      <c r="T432">
        <v>259.51</v>
      </c>
      <c r="U432">
        <v>251.90199999999999</v>
      </c>
      <c r="V432">
        <f>(T432+U432)/2</f>
        <v>255.70599999999999</v>
      </c>
      <c r="W432">
        <f>T432-U432</f>
        <v>7.6080000000000041</v>
      </c>
      <c r="X432">
        <v>44.416668000000001</v>
      </c>
      <c r="Y432">
        <v>-24</v>
      </c>
      <c r="Z432" t="s">
        <v>99</v>
      </c>
      <c r="AA432" t="s">
        <v>692</v>
      </c>
      <c r="AB432" t="s">
        <v>693</v>
      </c>
      <c r="AD432" t="s">
        <v>694</v>
      </c>
      <c r="AE432" t="s">
        <v>695</v>
      </c>
      <c r="AH432" t="s">
        <v>65</v>
      </c>
      <c r="AI432" t="s">
        <v>1063</v>
      </c>
      <c r="AJ432">
        <v>1926</v>
      </c>
      <c r="AK432" t="s">
        <v>697</v>
      </c>
      <c r="AM432" t="s">
        <v>698</v>
      </c>
      <c r="AN432" t="s">
        <v>121</v>
      </c>
      <c r="AO432" t="s">
        <v>330</v>
      </c>
      <c r="AP432" t="s">
        <v>182</v>
      </c>
      <c r="AQ432" t="s">
        <v>699</v>
      </c>
      <c r="AR432" t="s">
        <v>70</v>
      </c>
      <c r="AS432">
        <v>702</v>
      </c>
      <c r="AT432" t="s">
        <v>71</v>
      </c>
      <c r="AU432">
        <v>22.51</v>
      </c>
      <c r="AV432">
        <v>-42.93</v>
      </c>
      <c r="AW432" t="s">
        <v>72</v>
      </c>
      <c r="AX432">
        <v>702</v>
      </c>
      <c r="AY432" t="s">
        <v>71</v>
      </c>
      <c r="AZ432">
        <v>24.25</v>
      </c>
      <c r="BA432">
        <v>-52.74</v>
      </c>
      <c r="BB432" t="s">
        <v>73</v>
      </c>
    </row>
    <row r="433" spans="1:54" x14ac:dyDescent="0.4">
      <c r="A433">
        <v>1285964</v>
      </c>
      <c r="D433" t="s">
        <v>246</v>
      </c>
      <c r="E433" t="s">
        <v>55</v>
      </c>
      <c r="G433">
        <v>1</v>
      </c>
      <c r="H433" t="s">
        <v>56</v>
      </c>
      <c r="I433" t="s">
        <v>57</v>
      </c>
      <c r="K433" t="s">
        <v>856</v>
      </c>
      <c r="L433" t="s">
        <v>1074</v>
      </c>
      <c r="M433" t="s">
        <v>59</v>
      </c>
      <c r="P433" t="s">
        <v>259</v>
      </c>
      <c r="Q433" t="s">
        <v>502</v>
      </c>
      <c r="R433" t="s">
        <v>260</v>
      </c>
      <c r="S433" t="s">
        <v>98</v>
      </c>
      <c r="T433">
        <v>259.51</v>
      </c>
      <c r="U433">
        <v>251.90199999999999</v>
      </c>
      <c r="V433">
        <f>(T433+U433)/2</f>
        <v>255.70599999999999</v>
      </c>
      <c r="W433">
        <f>T433-U433</f>
        <v>7.6080000000000041</v>
      </c>
      <c r="X433">
        <v>44.416668000000001</v>
      </c>
      <c r="Y433">
        <v>-24</v>
      </c>
      <c r="Z433" t="s">
        <v>99</v>
      </c>
      <c r="AA433" t="s">
        <v>692</v>
      </c>
      <c r="AB433" t="s">
        <v>693</v>
      </c>
      <c r="AD433" t="s">
        <v>694</v>
      </c>
      <c r="AE433" t="s">
        <v>695</v>
      </c>
      <c r="AH433" t="s">
        <v>65</v>
      </c>
      <c r="AI433" t="s">
        <v>1063</v>
      </c>
      <c r="AJ433">
        <v>1926</v>
      </c>
      <c r="AK433" t="s">
        <v>697</v>
      </c>
      <c r="AM433" t="s">
        <v>698</v>
      </c>
      <c r="AN433" t="s">
        <v>121</v>
      </c>
      <c r="AO433" t="s">
        <v>330</v>
      </c>
      <c r="AP433" t="s">
        <v>182</v>
      </c>
      <c r="AQ433" t="s">
        <v>699</v>
      </c>
      <c r="AR433" t="s">
        <v>70</v>
      </c>
      <c r="AS433">
        <v>702</v>
      </c>
      <c r="AT433" t="s">
        <v>71</v>
      </c>
      <c r="AU433">
        <v>22.51</v>
      </c>
      <c r="AV433">
        <v>-42.93</v>
      </c>
      <c r="AW433" t="s">
        <v>72</v>
      </c>
      <c r="AX433">
        <v>702</v>
      </c>
      <c r="AY433" t="s">
        <v>71</v>
      </c>
      <c r="AZ433">
        <v>24.25</v>
      </c>
      <c r="BA433">
        <v>-52.74</v>
      </c>
      <c r="BB433" t="s">
        <v>73</v>
      </c>
    </row>
    <row r="434" spans="1:54" x14ac:dyDescent="0.4">
      <c r="A434">
        <v>1285964</v>
      </c>
      <c r="D434" t="s">
        <v>246</v>
      </c>
      <c r="E434" t="s">
        <v>55</v>
      </c>
      <c r="G434">
        <v>1</v>
      </c>
      <c r="H434" t="s">
        <v>56</v>
      </c>
      <c r="I434" t="s">
        <v>57</v>
      </c>
      <c r="K434" t="s">
        <v>856</v>
      </c>
      <c r="L434" t="s">
        <v>1074</v>
      </c>
      <c r="M434" t="s">
        <v>59</v>
      </c>
      <c r="P434" t="s">
        <v>259</v>
      </c>
      <c r="Q434" t="s">
        <v>502</v>
      </c>
      <c r="R434" t="s">
        <v>260</v>
      </c>
      <c r="S434" t="s">
        <v>98</v>
      </c>
      <c r="T434">
        <v>259.51</v>
      </c>
      <c r="U434">
        <v>251.90199999999999</v>
      </c>
      <c r="V434">
        <f>(T434+U434)/2</f>
        <v>255.70599999999999</v>
      </c>
      <c r="W434">
        <f>T434-U434</f>
        <v>7.6080000000000041</v>
      </c>
      <c r="X434">
        <v>44.416668000000001</v>
      </c>
      <c r="Y434">
        <v>-24</v>
      </c>
      <c r="Z434" t="s">
        <v>99</v>
      </c>
      <c r="AA434" t="s">
        <v>692</v>
      </c>
      <c r="AB434" t="s">
        <v>693</v>
      </c>
      <c r="AD434" t="s">
        <v>694</v>
      </c>
      <c r="AE434" t="s">
        <v>695</v>
      </c>
      <c r="AH434" t="s">
        <v>65</v>
      </c>
      <c r="AI434" t="s">
        <v>1063</v>
      </c>
      <c r="AJ434">
        <v>1926</v>
      </c>
      <c r="AK434" t="s">
        <v>697</v>
      </c>
      <c r="AM434" t="s">
        <v>698</v>
      </c>
      <c r="AN434" t="s">
        <v>121</v>
      </c>
      <c r="AO434" t="s">
        <v>330</v>
      </c>
      <c r="AP434" t="s">
        <v>182</v>
      </c>
      <c r="AQ434" t="s">
        <v>699</v>
      </c>
      <c r="AR434" t="s">
        <v>70</v>
      </c>
      <c r="AS434">
        <v>702</v>
      </c>
      <c r="AT434" t="s">
        <v>71</v>
      </c>
      <c r="AU434">
        <v>22.51</v>
      </c>
      <c r="AV434">
        <v>-42.93</v>
      </c>
      <c r="AW434" t="s">
        <v>72</v>
      </c>
      <c r="AX434">
        <v>702</v>
      </c>
      <c r="AY434" t="s">
        <v>71</v>
      </c>
      <c r="AZ434">
        <v>24.25</v>
      </c>
      <c r="BA434">
        <v>-52.74</v>
      </c>
      <c r="BB434" t="s">
        <v>73</v>
      </c>
    </row>
    <row r="435" spans="1:54" x14ac:dyDescent="0.4">
      <c r="A435">
        <v>1285964</v>
      </c>
      <c r="D435" t="s">
        <v>246</v>
      </c>
      <c r="E435" t="s">
        <v>55</v>
      </c>
      <c r="G435">
        <v>1</v>
      </c>
      <c r="H435" t="s">
        <v>56</v>
      </c>
      <c r="I435" t="s">
        <v>57</v>
      </c>
      <c r="K435" t="s">
        <v>856</v>
      </c>
      <c r="L435" t="s">
        <v>1074</v>
      </c>
      <c r="M435" t="s">
        <v>59</v>
      </c>
      <c r="P435" t="s">
        <v>259</v>
      </c>
      <c r="Q435" t="s">
        <v>502</v>
      </c>
      <c r="R435" t="s">
        <v>260</v>
      </c>
      <c r="S435" t="s">
        <v>98</v>
      </c>
      <c r="T435">
        <v>259.51</v>
      </c>
      <c r="U435">
        <v>251.90199999999999</v>
      </c>
      <c r="V435">
        <f>(T435+U435)/2</f>
        <v>255.70599999999999</v>
      </c>
      <c r="W435">
        <f>T435-U435</f>
        <v>7.6080000000000041</v>
      </c>
      <c r="X435">
        <v>44.416668000000001</v>
      </c>
      <c r="Y435">
        <v>-24</v>
      </c>
      <c r="Z435" t="s">
        <v>99</v>
      </c>
      <c r="AA435" t="s">
        <v>692</v>
      </c>
      <c r="AB435" t="s">
        <v>693</v>
      </c>
      <c r="AD435" t="s">
        <v>694</v>
      </c>
      <c r="AE435" t="s">
        <v>695</v>
      </c>
      <c r="AH435" t="s">
        <v>65</v>
      </c>
      <c r="AI435" t="s">
        <v>1063</v>
      </c>
      <c r="AJ435">
        <v>1926</v>
      </c>
      <c r="AK435" t="s">
        <v>697</v>
      </c>
      <c r="AM435" t="s">
        <v>698</v>
      </c>
      <c r="AN435" t="s">
        <v>121</v>
      </c>
      <c r="AO435" t="s">
        <v>330</v>
      </c>
      <c r="AP435" t="s">
        <v>182</v>
      </c>
      <c r="AQ435" t="s">
        <v>699</v>
      </c>
      <c r="AR435" t="s">
        <v>70</v>
      </c>
      <c r="AS435">
        <v>702</v>
      </c>
      <c r="AT435" t="s">
        <v>71</v>
      </c>
      <c r="AU435">
        <v>22.51</v>
      </c>
      <c r="AV435">
        <v>-42.93</v>
      </c>
      <c r="AW435" t="s">
        <v>72</v>
      </c>
      <c r="AX435">
        <v>702</v>
      </c>
      <c r="AY435" t="s">
        <v>71</v>
      </c>
      <c r="AZ435">
        <v>24.25</v>
      </c>
      <c r="BA435">
        <v>-52.74</v>
      </c>
      <c r="BB435" t="s">
        <v>73</v>
      </c>
    </row>
    <row r="436" spans="1:54" x14ac:dyDescent="0.4">
      <c r="A436">
        <v>1285964</v>
      </c>
      <c r="D436" t="s">
        <v>246</v>
      </c>
      <c r="E436" t="s">
        <v>55</v>
      </c>
      <c r="G436">
        <v>1</v>
      </c>
      <c r="H436" t="s">
        <v>56</v>
      </c>
      <c r="I436" t="s">
        <v>57</v>
      </c>
      <c r="K436" t="s">
        <v>856</v>
      </c>
      <c r="L436" t="s">
        <v>1074</v>
      </c>
      <c r="M436" t="s">
        <v>59</v>
      </c>
      <c r="P436" t="s">
        <v>259</v>
      </c>
      <c r="Q436" t="s">
        <v>502</v>
      </c>
      <c r="R436" t="s">
        <v>260</v>
      </c>
      <c r="S436" t="s">
        <v>98</v>
      </c>
      <c r="T436">
        <v>259.51</v>
      </c>
      <c r="U436">
        <v>251.90199999999999</v>
      </c>
      <c r="V436">
        <f>(T436+U436)/2</f>
        <v>255.70599999999999</v>
      </c>
      <c r="W436">
        <f>T436-U436</f>
        <v>7.6080000000000041</v>
      </c>
      <c r="X436">
        <v>44.416668000000001</v>
      </c>
      <c r="Y436">
        <v>-24</v>
      </c>
      <c r="Z436" t="s">
        <v>99</v>
      </c>
      <c r="AA436" t="s">
        <v>692</v>
      </c>
      <c r="AB436" t="s">
        <v>693</v>
      </c>
      <c r="AD436" t="s">
        <v>694</v>
      </c>
      <c r="AE436" t="s">
        <v>695</v>
      </c>
      <c r="AH436" t="s">
        <v>65</v>
      </c>
      <c r="AI436" t="s">
        <v>1063</v>
      </c>
      <c r="AJ436">
        <v>1926</v>
      </c>
      <c r="AK436" t="s">
        <v>697</v>
      </c>
      <c r="AM436" t="s">
        <v>698</v>
      </c>
      <c r="AN436" t="s">
        <v>121</v>
      </c>
      <c r="AO436" t="s">
        <v>330</v>
      </c>
      <c r="AP436" t="s">
        <v>182</v>
      </c>
      <c r="AQ436" t="s">
        <v>699</v>
      </c>
      <c r="AR436" t="s">
        <v>70</v>
      </c>
      <c r="AS436">
        <v>702</v>
      </c>
      <c r="AT436" t="s">
        <v>71</v>
      </c>
      <c r="AU436">
        <v>22.51</v>
      </c>
      <c r="AV436">
        <v>-42.93</v>
      </c>
      <c r="AW436" t="s">
        <v>72</v>
      </c>
      <c r="AX436">
        <v>702</v>
      </c>
      <c r="AY436" t="s">
        <v>71</v>
      </c>
      <c r="AZ436">
        <v>24.25</v>
      </c>
      <c r="BA436">
        <v>-52.74</v>
      </c>
      <c r="BB436" t="s">
        <v>73</v>
      </c>
    </row>
    <row r="437" spans="1:54" x14ac:dyDescent="0.4">
      <c r="A437">
        <v>1285964</v>
      </c>
      <c r="D437" t="s">
        <v>246</v>
      </c>
      <c r="E437" t="s">
        <v>55</v>
      </c>
      <c r="G437">
        <v>1</v>
      </c>
      <c r="H437" t="s">
        <v>56</v>
      </c>
      <c r="I437" t="s">
        <v>57</v>
      </c>
      <c r="K437" t="s">
        <v>856</v>
      </c>
      <c r="L437" t="s">
        <v>1074</v>
      </c>
      <c r="M437" t="s">
        <v>59</v>
      </c>
      <c r="P437" t="s">
        <v>259</v>
      </c>
      <c r="Q437" t="s">
        <v>502</v>
      </c>
      <c r="R437" t="s">
        <v>260</v>
      </c>
      <c r="S437" t="s">
        <v>98</v>
      </c>
      <c r="T437">
        <v>259.51</v>
      </c>
      <c r="U437">
        <v>251.90199999999999</v>
      </c>
      <c r="V437">
        <f>(T437+U437)/2</f>
        <v>255.70599999999999</v>
      </c>
      <c r="W437">
        <f>T437-U437</f>
        <v>7.6080000000000041</v>
      </c>
      <c r="X437">
        <v>44.416668000000001</v>
      </c>
      <c r="Y437">
        <v>-24</v>
      </c>
      <c r="Z437" t="s">
        <v>99</v>
      </c>
      <c r="AA437" t="s">
        <v>692</v>
      </c>
      <c r="AB437" t="s">
        <v>693</v>
      </c>
      <c r="AD437" t="s">
        <v>694</v>
      </c>
      <c r="AE437" t="s">
        <v>695</v>
      </c>
      <c r="AH437" t="s">
        <v>65</v>
      </c>
      <c r="AI437" t="s">
        <v>1063</v>
      </c>
      <c r="AJ437">
        <v>1926</v>
      </c>
      <c r="AK437" t="s">
        <v>697</v>
      </c>
      <c r="AM437" t="s">
        <v>698</v>
      </c>
      <c r="AN437" t="s">
        <v>121</v>
      </c>
      <c r="AO437" t="s">
        <v>330</v>
      </c>
      <c r="AP437" t="s">
        <v>182</v>
      </c>
      <c r="AQ437" t="s">
        <v>699</v>
      </c>
      <c r="AR437" t="s">
        <v>70</v>
      </c>
      <c r="AS437">
        <v>702</v>
      </c>
      <c r="AT437" t="s">
        <v>71</v>
      </c>
      <c r="AU437">
        <v>22.51</v>
      </c>
      <c r="AV437">
        <v>-42.93</v>
      </c>
      <c r="AW437" t="s">
        <v>72</v>
      </c>
      <c r="AX437">
        <v>702</v>
      </c>
      <c r="AY437" t="s">
        <v>71</v>
      </c>
      <c r="AZ437">
        <v>24.25</v>
      </c>
      <c r="BA437">
        <v>-52.74</v>
      </c>
      <c r="BB437" t="s">
        <v>73</v>
      </c>
    </row>
    <row r="438" spans="1:54" x14ac:dyDescent="0.4">
      <c r="A438">
        <v>1285964</v>
      </c>
      <c r="D438" t="s">
        <v>246</v>
      </c>
      <c r="E438" t="s">
        <v>55</v>
      </c>
      <c r="G438">
        <v>1</v>
      </c>
      <c r="H438" t="s">
        <v>56</v>
      </c>
      <c r="I438" t="s">
        <v>57</v>
      </c>
      <c r="K438" t="s">
        <v>856</v>
      </c>
      <c r="L438" t="s">
        <v>1074</v>
      </c>
      <c r="M438" t="s">
        <v>59</v>
      </c>
      <c r="P438" t="s">
        <v>259</v>
      </c>
      <c r="Q438" t="s">
        <v>502</v>
      </c>
      <c r="R438" t="s">
        <v>260</v>
      </c>
      <c r="S438" t="s">
        <v>98</v>
      </c>
      <c r="T438">
        <v>259.51</v>
      </c>
      <c r="U438">
        <v>251.90199999999999</v>
      </c>
      <c r="V438">
        <f>(T438+U438)/2</f>
        <v>255.70599999999999</v>
      </c>
      <c r="W438">
        <f>T438-U438</f>
        <v>7.6080000000000041</v>
      </c>
      <c r="X438">
        <v>44.416668000000001</v>
      </c>
      <c r="Y438">
        <v>-24</v>
      </c>
      <c r="Z438" t="s">
        <v>99</v>
      </c>
      <c r="AA438" t="s">
        <v>692</v>
      </c>
      <c r="AB438" t="s">
        <v>693</v>
      </c>
      <c r="AD438" t="s">
        <v>694</v>
      </c>
      <c r="AE438" t="s">
        <v>695</v>
      </c>
      <c r="AH438" t="s">
        <v>65</v>
      </c>
      <c r="AI438" t="s">
        <v>1063</v>
      </c>
      <c r="AJ438">
        <v>1926</v>
      </c>
      <c r="AK438" t="s">
        <v>697</v>
      </c>
      <c r="AM438" t="s">
        <v>698</v>
      </c>
      <c r="AN438" t="s">
        <v>121</v>
      </c>
      <c r="AO438" t="s">
        <v>330</v>
      </c>
      <c r="AP438" t="s">
        <v>182</v>
      </c>
      <c r="AQ438" t="s">
        <v>699</v>
      </c>
      <c r="AR438" t="s">
        <v>70</v>
      </c>
      <c r="AS438">
        <v>702</v>
      </c>
      <c r="AT438" t="s">
        <v>71</v>
      </c>
      <c r="AU438">
        <v>22.51</v>
      </c>
      <c r="AV438">
        <v>-42.93</v>
      </c>
      <c r="AW438" t="s">
        <v>72</v>
      </c>
      <c r="AX438">
        <v>702</v>
      </c>
      <c r="AY438" t="s">
        <v>71</v>
      </c>
      <c r="AZ438">
        <v>24.25</v>
      </c>
      <c r="BA438">
        <v>-52.74</v>
      </c>
      <c r="BB438" t="s">
        <v>73</v>
      </c>
    </row>
    <row r="439" spans="1:54" x14ac:dyDescent="0.4">
      <c r="A439">
        <v>1285964</v>
      </c>
      <c r="D439" t="s">
        <v>246</v>
      </c>
      <c r="E439" t="s">
        <v>55</v>
      </c>
      <c r="G439">
        <v>1</v>
      </c>
      <c r="H439" t="s">
        <v>56</v>
      </c>
      <c r="I439" t="s">
        <v>57</v>
      </c>
      <c r="K439" t="s">
        <v>856</v>
      </c>
      <c r="L439" t="s">
        <v>1074</v>
      </c>
      <c r="M439" t="s">
        <v>59</v>
      </c>
      <c r="P439" t="s">
        <v>259</v>
      </c>
      <c r="Q439" t="s">
        <v>502</v>
      </c>
      <c r="R439" t="s">
        <v>260</v>
      </c>
      <c r="S439" t="s">
        <v>98</v>
      </c>
      <c r="T439">
        <v>259.51</v>
      </c>
      <c r="U439">
        <v>251.90199999999999</v>
      </c>
      <c r="V439">
        <f>(T439+U439)/2</f>
        <v>255.70599999999999</v>
      </c>
      <c r="W439">
        <f>T439-U439</f>
        <v>7.6080000000000041</v>
      </c>
      <c r="X439">
        <v>44.416668000000001</v>
      </c>
      <c r="Y439">
        <v>-24</v>
      </c>
      <c r="Z439" t="s">
        <v>99</v>
      </c>
      <c r="AA439" t="s">
        <v>692</v>
      </c>
      <c r="AB439" t="s">
        <v>693</v>
      </c>
      <c r="AD439" t="s">
        <v>694</v>
      </c>
      <c r="AE439" t="s">
        <v>695</v>
      </c>
      <c r="AH439" t="s">
        <v>65</v>
      </c>
      <c r="AI439" t="s">
        <v>1063</v>
      </c>
      <c r="AJ439">
        <v>1926</v>
      </c>
      <c r="AK439" t="s">
        <v>697</v>
      </c>
      <c r="AM439" t="s">
        <v>698</v>
      </c>
      <c r="AN439" t="s">
        <v>121</v>
      </c>
      <c r="AO439" t="s">
        <v>330</v>
      </c>
      <c r="AP439" t="s">
        <v>182</v>
      </c>
      <c r="AQ439" t="s">
        <v>699</v>
      </c>
      <c r="AR439" t="s">
        <v>70</v>
      </c>
      <c r="AS439">
        <v>702</v>
      </c>
      <c r="AT439" t="s">
        <v>71</v>
      </c>
      <c r="AU439">
        <v>22.51</v>
      </c>
      <c r="AV439">
        <v>-42.93</v>
      </c>
      <c r="AW439" t="s">
        <v>72</v>
      </c>
      <c r="AX439">
        <v>702</v>
      </c>
      <c r="AY439" t="s">
        <v>71</v>
      </c>
      <c r="AZ439">
        <v>24.25</v>
      </c>
      <c r="BA439">
        <v>-52.74</v>
      </c>
      <c r="BB439" t="s">
        <v>73</v>
      </c>
    </row>
    <row r="440" spans="1:54" x14ac:dyDescent="0.4">
      <c r="A440">
        <v>1285964</v>
      </c>
      <c r="D440" t="s">
        <v>246</v>
      </c>
      <c r="E440" t="s">
        <v>55</v>
      </c>
      <c r="G440">
        <v>1</v>
      </c>
      <c r="H440" t="s">
        <v>56</v>
      </c>
      <c r="I440" t="s">
        <v>57</v>
      </c>
      <c r="K440" t="s">
        <v>856</v>
      </c>
      <c r="L440" t="s">
        <v>1074</v>
      </c>
      <c r="M440" t="s">
        <v>59</v>
      </c>
      <c r="P440" t="s">
        <v>259</v>
      </c>
      <c r="Q440" t="s">
        <v>502</v>
      </c>
      <c r="R440" t="s">
        <v>260</v>
      </c>
      <c r="S440" t="s">
        <v>98</v>
      </c>
      <c r="T440">
        <v>259.51</v>
      </c>
      <c r="U440">
        <v>251.90199999999999</v>
      </c>
      <c r="V440">
        <f>(T440+U440)/2</f>
        <v>255.70599999999999</v>
      </c>
      <c r="W440">
        <f>T440-U440</f>
        <v>7.6080000000000041</v>
      </c>
      <c r="X440">
        <v>44.416668000000001</v>
      </c>
      <c r="Y440">
        <v>-24</v>
      </c>
      <c r="Z440" t="s">
        <v>99</v>
      </c>
      <c r="AA440" t="s">
        <v>692</v>
      </c>
      <c r="AB440" t="s">
        <v>693</v>
      </c>
      <c r="AD440" t="s">
        <v>694</v>
      </c>
      <c r="AE440" t="s">
        <v>695</v>
      </c>
      <c r="AH440" t="s">
        <v>65</v>
      </c>
      <c r="AI440" t="s">
        <v>1063</v>
      </c>
      <c r="AJ440">
        <v>1926</v>
      </c>
      <c r="AK440" t="s">
        <v>697</v>
      </c>
      <c r="AM440" t="s">
        <v>698</v>
      </c>
      <c r="AN440" t="s">
        <v>121</v>
      </c>
      <c r="AO440" t="s">
        <v>330</v>
      </c>
      <c r="AP440" t="s">
        <v>182</v>
      </c>
      <c r="AQ440" t="s">
        <v>699</v>
      </c>
      <c r="AR440" t="s">
        <v>70</v>
      </c>
      <c r="AS440">
        <v>702</v>
      </c>
      <c r="AT440" t="s">
        <v>71</v>
      </c>
      <c r="AU440">
        <v>22.51</v>
      </c>
      <c r="AV440">
        <v>-42.93</v>
      </c>
      <c r="AW440" t="s">
        <v>72</v>
      </c>
      <c r="AX440">
        <v>702</v>
      </c>
      <c r="AY440" t="s">
        <v>71</v>
      </c>
      <c r="AZ440">
        <v>24.25</v>
      </c>
      <c r="BA440">
        <v>-52.74</v>
      </c>
      <c r="BB440" t="s">
        <v>73</v>
      </c>
    </row>
    <row r="441" spans="1:54" x14ac:dyDescent="0.4">
      <c r="A441">
        <v>1285964</v>
      </c>
      <c r="D441" t="s">
        <v>246</v>
      </c>
      <c r="E441" t="s">
        <v>55</v>
      </c>
      <c r="G441">
        <v>1</v>
      </c>
      <c r="H441" t="s">
        <v>56</v>
      </c>
      <c r="I441" t="s">
        <v>57</v>
      </c>
      <c r="K441" t="s">
        <v>856</v>
      </c>
      <c r="L441" t="s">
        <v>1074</v>
      </c>
      <c r="M441" t="s">
        <v>59</v>
      </c>
      <c r="P441" t="s">
        <v>259</v>
      </c>
      <c r="Q441" t="s">
        <v>502</v>
      </c>
      <c r="R441" t="s">
        <v>260</v>
      </c>
      <c r="S441" t="s">
        <v>98</v>
      </c>
      <c r="T441">
        <v>259.51</v>
      </c>
      <c r="U441">
        <v>251.90199999999999</v>
      </c>
      <c r="V441">
        <f>(T441+U441)/2</f>
        <v>255.70599999999999</v>
      </c>
      <c r="W441">
        <f>T441-U441</f>
        <v>7.6080000000000041</v>
      </c>
      <c r="X441">
        <v>44.416668000000001</v>
      </c>
      <c r="Y441">
        <v>-24</v>
      </c>
      <c r="Z441" t="s">
        <v>99</v>
      </c>
      <c r="AA441" t="s">
        <v>692</v>
      </c>
      <c r="AB441" t="s">
        <v>693</v>
      </c>
      <c r="AD441" t="s">
        <v>694</v>
      </c>
      <c r="AE441" t="s">
        <v>695</v>
      </c>
      <c r="AH441" t="s">
        <v>65</v>
      </c>
      <c r="AI441" t="s">
        <v>1063</v>
      </c>
      <c r="AJ441">
        <v>1926</v>
      </c>
      <c r="AK441" t="s">
        <v>697</v>
      </c>
      <c r="AM441" t="s">
        <v>698</v>
      </c>
      <c r="AN441" t="s">
        <v>121</v>
      </c>
      <c r="AO441" t="s">
        <v>330</v>
      </c>
      <c r="AP441" t="s">
        <v>182</v>
      </c>
      <c r="AQ441" t="s">
        <v>699</v>
      </c>
      <c r="AR441" t="s">
        <v>70</v>
      </c>
      <c r="AS441">
        <v>702</v>
      </c>
      <c r="AT441" t="s">
        <v>71</v>
      </c>
      <c r="AU441">
        <v>22.51</v>
      </c>
      <c r="AV441">
        <v>-42.93</v>
      </c>
      <c r="AW441" t="s">
        <v>72</v>
      </c>
      <c r="AX441">
        <v>702</v>
      </c>
      <c r="AY441" t="s">
        <v>71</v>
      </c>
      <c r="AZ441">
        <v>24.25</v>
      </c>
      <c r="BA441">
        <v>-52.74</v>
      </c>
      <c r="BB441" t="s">
        <v>73</v>
      </c>
    </row>
    <row r="442" spans="1:54" x14ac:dyDescent="0.4">
      <c r="A442">
        <v>1285964</v>
      </c>
      <c r="D442" t="s">
        <v>246</v>
      </c>
      <c r="E442" t="s">
        <v>55</v>
      </c>
      <c r="G442">
        <v>1</v>
      </c>
      <c r="H442" t="s">
        <v>56</v>
      </c>
      <c r="I442" t="s">
        <v>57</v>
      </c>
      <c r="K442" t="s">
        <v>856</v>
      </c>
      <c r="L442" t="s">
        <v>1074</v>
      </c>
      <c r="M442" t="s">
        <v>59</v>
      </c>
      <c r="P442" t="s">
        <v>259</v>
      </c>
      <c r="Q442" t="s">
        <v>502</v>
      </c>
      <c r="R442" t="s">
        <v>260</v>
      </c>
      <c r="S442" t="s">
        <v>98</v>
      </c>
      <c r="T442">
        <v>259.51</v>
      </c>
      <c r="U442">
        <v>251.90199999999999</v>
      </c>
      <c r="V442">
        <f>(T442+U442)/2</f>
        <v>255.70599999999999</v>
      </c>
      <c r="W442">
        <f>T442-U442</f>
        <v>7.6080000000000041</v>
      </c>
      <c r="X442">
        <v>44.416668000000001</v>
      </c>
      <c r="Y442">
        <v>-24</v>
      </c>
      <c r="Z442" t="s">
        <v>99</v>
      </c>
      <c r="AA442" t="s">
        <v>692</v>
      </c>
      <c r="AB442" t="s">
        <v>693</v>
      </c>
      <c r="AD442" t="s">
        <v>694</v>
      </c>
      <c r="AE442" t="s">
        <v>695</v>
      </c>
      <c r="AH442" t="s">
        <v>65</v>
      </c>
      <c r="AI442" t="s">
        <v>1063</v>
      </c>
      <c r="AJ442">
        <v>1926</v>
      </c>
      <c r="AK442" t="s">
        <v>697</v>
      </c>
      <c r="AM442" t="s">
        <v>698</v>
      </c>
      <c r="AN442" t="s">
        <v>121</v>
      </c>
      <c r="AO442" t="s">
        <v>330</v>
      </c>
      <c r="AP442" t="s">
        <v>182</v>
      </c>
      <c r="AQ442" t="s">
        <v>699</v>
      </c>
      <c r="AR442" t="s">
        <v>70</v>
      </c>
      <c r="AS442">
        <v>702</v>
      </c>
      <c r="AT442" t="s">
        <v>71</v>
      </c>
      <c r="AU442">
        <v>22.51</v>
      </c>
      <c r="AV442">
        <v>-42.93</v>
      </c>
      <c r="AW442" t="s">
        <v>72</v>
      </c>
      <c r="AX442">
        <v>702</v>
      </c>
      <c r="AY442" t="s">
        <v>71</v>
      </c>
      <c r="AZ442">
        <v>24.25</v>
      </c>
      <c r="BA442">
        <v>-52.74</v>
      </c>
      <c r="BB442" t="s">
        <v>73</v>
      </c>
    </row>
    <row r="443" spans="1:54" x14ac:dyDescent="0.4">
      <c r="A443">
        <v>1285964</v>
      </c>
      <c r="D443" t="s">
        <v>246</v>
      </c>
      <c r="E443" t="s">
        <v>55</v>
      </c>
      <c r="G443">
        <v>1</v>
      </c>
      <c r="H443" t="s">
        <v>56</v>
      </c>
      <c r="I443" t="s">
        <v>57</v>
      </c>
      <c r="K443" t="s">
        <v>856</v>
      </c>
      <c r="L443" t="s">
        <v>1074</v>
      </c>
      <c r="M443" t="s">
        <v>59</v>
      </c>
      <c r="P443" t="s">
        <v>259</v>
      </c>
      <c r="Q443" t="s">
        <v>502</v>
      </c>
      <c r="R443" t="s">
        <v>260</v>
      </c>
      <c r="S443" t="s">
        <v>98</v>
      </c>
      <c r="T443">
        <v>259.51</v>
      </c>
      <c r="U443">
        <v>251.90199999999999</v>
      </c>
      <c r="V443">
        <f>(T443+U443)/2</f>
        <v>255.70599999999999</v>
      </c>
      <c r="W443">
        <f>T443-U443</f>
        <v>7.6080000000000041</v>
      </c>
      <c r="X443">
        <v>44.416668000000001</v>
      </c>
      <c r="Y443">
        <v>-24</v>
      </c>
      <c r="Z443" t="s">
        <v>99</v>
      </c>
      <c r="AA443" t="s">
        <v>692</v>
      </c>
      <c r="AB443" t="s">
        <v>693</v>
      </c>
      <c r="AD443" t="s">
        <v>694</v>
      </c>
      <c r="AE443" t="s">
        <v>695</v>
      </c>
      <c r="AH443" t="s">
        <v>65</v>
      </c>
      <c r="AI443" t="s">
        <v>1063</v>
      </c>
      <c r="AJ443">
        <v>1926</v>
      </c>
      <c r="AK443" t="s">
        <v>697</v>
      </c>
      <c r="AM443" t="s">
        <v>698</v>
      </c>
      <c r="AN443" t="s">
        <v>121</v>
      </c>
      <c r="AO443" t="s">
        <v>330</v>
      </c>
      <c r="AP443" t="s">
        <v>182</v>
      </c>
      <c r="AQ443" t="s">
        <v>699</v>
      </c>
      <c r="AR443" t="s">
        <v>70</v>
      </c>
      <c r="AS443">
        <v>702</v>
      </c>
      <c r="AT443" t="s">
        <v>71</v>
      </c>
      <c r="AU443">
        <v>22.51</v>
      </c>
      <c r="AV443">
        <v>-42.93</v>
      </c>
      <c r="AW443" t="s">
        <v>72</v>
      </c>
      <c r="AX443">
        <v>702</v>
      </c>
      <c r="AY443" t="s">
        <v>71</v>
      </c>
      <c r="AZ443">
        <v>24.25</v>
      </c>
      <c r="BA443">
        <v>-52.74</v>
      </c>
      <c r="BB443" t="s">
        <v>73</v>
      </c>
    </row>
    <row r="444" spans="1:54" x14ac:dyDescent="0.4">
      <c r="A444">
        <v>1285964</v>
      </c>
      <c r="D444" t="s">
        <v>246</v>
      </c>
      <c r="E444" t="s">
        <v>55</v>
      </c>
      <c r="G444">
        <v>1</v>
      </c>
      <c r="H444" t="s">
        <v>56</v>
      </c>
      <c r="I444" t="s">
        <v>57</v>
      </c>
      <c r="K444" t="s">
        <v>856</v>
      </c>
      <c r="L444" t="s">
        <v>1074</v>
      </c>
      <c r="M444" t="s">
        <v>59</v>
      </c>
      <c r="P444" t="s">
        <v>259</v>
      </c>
      <c r="Q444" t="s">
        <v>502</v>
      </c>
      <c r="R444" t="s">
        <v>260</v>
      </c>
      <c r="S444" t="s">
        <v>98</v>
      </c>
      <c r="T444">
        <v>259.51</v>
      </c>
      <c r="U444">
        <v>251.90199999999999</v>
      </c>
      <c r="V444">
        <f>(T444+U444)/2</f>
        <v>255.70599999999999</v>
      </c>
      <c r="W444">
        <f>T444-U444</f>
        <v>7.6080000000000041</v>
      </c>
      <c r="X444">
        <v>44.416668000000001</v>
      </c>
      <c r="Y444">
        <v>-24</v>
      </c>
      <c r="Z444" t="s">
        <v>99</v>
      </c>
      <c r="AA444" t="s">
        <v>692</v>
      </c>
      <c r="AB444" t="s">
        <v>693</v>
      </c>
      <c r="AD444" t="s">
        <v>694</v>
      </c>
      <c r="AE444" t="s">
        <v>695</v>
      </c>
      <c r="AH444" t="s">
        <v>65</v>
      </c>
      <c r="AI444" t="s">
        <v>1063</v>
      </c>
      <c r="AJ444">
        <v>1926</v>
      </c>
      <c r="AK444" t="s">
        <v>697</v>
      </c>
      <c r="AM444" t="s">
        <v>698</v>
      </c>
      <c r="AN444" t="s">
        <v>121</v>
      </c>
      <c r="AO444" t="s">
        <v>330</v>
      </c>
      <c r="AP444" t="s">
        <v>182</v>
      </c>
      <c r="AQ444" t="s">
        <v>699</v>
      </c>
      <c r="AR444" t="s">
        <v>70</v>
      </c>
      <c r="AS444">
        <v>702</v>
      </c>
      <c r="AT444" t="s">
        <v>71</v>
      </c>
      <c r="AU444">
        <v>22.51</v>
      </c>
      <c r="AV444">
        <v>-42.93</v>
      </c>
      <c r="AW444" t="s">
        <v>72</v>
      </c>
      <c r="AX444">
        <v>702</v>
      </c>
      <c r="AY444" t="s">
        <v>71</v>
      </c>
      <c r="AZ444">
        <v>24.25</v>
      </c>
      <c r="BA444">
        <v>-52.74</v>
      </c>
      <c r="BB444" t="s">
        <v>73</v>
      </c>
    </row>
    <row r="445" spans="1:54" x14ac:dyDescent="0.4">
      <c r="A445">
        <v>1285964</v>
      </c>
      <c r="D445" t="s">
        <v>246</v>
      </c>
      <c r="E445" t="s">
        <v>55</v>
      </c>
      <c r="G445">
        <v>1</v>
      </c>
      <c r="H445" t="s">
        <v>56</v>
      </c>
      <c r="I445" t="s">
        <v>57</v>
      </c>
      <c r="K445" t="s">
        <v>856</v>
      </c>
      <c r="L445" t="s">
        <v>1074</v>
      </c>
      <c r="M445" t="s">
        <v>59</v>
      </c>
      <c r="P445" t="s">
        <v>259</v>
      </c>
      <c r="Q445" t="s">
        <v>502</v>
      </c>
      <c r="R445" t="s">
        <v>260</v>
      </c>
      <c r="S445" t="s">
        <v>98</v>
      </c>
      <c r="T445">
        <v>259.51</v>
      </c>
      <c r="U445">
        <v>251.90199999999999</v>
      </c>
      <c r="V445">
        <f>(T445+U445)/2</f>
        <v>255.70599999999999</v>
      </c>
      <c r="W445">
        <f>T445-U445</f>
        <v>7.6080000000000041</v>
      </c>
      <c r="X445">
        <v>44.416668000000001</v>
      </c>
      <c r="Y445">
        <v>-24</v>
      </c>
      <c r="Z445" t="s">
        <v>99</v>
      </c>
      <c r="AA445" t="s">
        <v>692</v>
      </c>
      <c r="AB445" t="s">
        <v>693</v>
      </c>
      <c r="AD445" t="s">
        <v>694</v>
      </c>
      <c r="AE445" t="s">
        <v>695</v>
      </c>
      <c r="AH445" t="s">
        <v>65</v>
      </c>
      <c r="AI445" t="s">
        <v>1063</v>
      </c>
      <c r="AJ445">
        <v>1926</v>
      </c>
      <c r="AK445" t="s">
        <v>697</v>
      </c>
      <c r="AM445" t="s">
        <v>698</v>
      </c>
      <c r="AN445" t="s">
        <v>121</v>
      </c>
      <c r="AO445" t="s">
        <v>330</v>
      </c>
      <c r="AP445" t="s">
        <v>182</v>
      </c>
      <c r="AQ445" t="s">
        <v>699</v>
      </c>
      <c r="AR445" t="s">
        <v>70</v>
      </c>
      <c r="AS445">
        <v>702</v>
      </c>
      <c r="AT445" t="s">
        <v>71</v>
      </c>
      <c r="AU445">
        <v>22.51</v>
      </c>
      <c r="AV445">
        <v>-42.93</v>
      </c>
      <c r="AW445" t="s">
        <v>72</v>
      </c>
      <c r="AX445">
        <v>702</v>
      </c>
      <c r="AY445" t="s">
        <v>71</v>
      </c>
      <c r="AZ445">
        <v>24.25</v>
      </c>
      <c r="BA445">
        <v>-52.74</v>
      </c>
      <c r="BB445" t="s">
        <v>73</v>
      </c>
    </row>
    <row r="446" spans="1:54" x14ac:dyDescent="0.4">
      <c r="A446">
        <v>1285964</v>
      </c>
      <c r="D446" t="s">
        <v>246</v>
      </c>
      <c r="E446" t="s">
        <v>55</v>
      </c>
      <c r="G446">
        <v>1</v>
      </c>
      <c r="H446" t="s">
        <v>56</v>
      </c>
      <c r="I446" t="s">
        <v>57</v>
      </c>
      <c r="K446" t="s">
        <v>856</v>
      </c>
      <c r="L446" t="s">
        <v>1074</v>
      </c>
      <c r="M446" t="s">
        <v>59</v>
      </c>
      <c r="P446" t="s">
        <v>259</v>
      </c>
      <c r="Q446" t="s">
        <v>502</v>
      </c>
      <c r="R446" t="s">
        <v>260</v>
      </c>
      <c r="S446" t="s">
        <v>98</v>
      </c>
      <c r="T446">
        <v>259.51</v>
      </c>
      <c r="U446">
        <v>251.90199999999999</v>
      </c>
      <c r="V446">
        <f>(T446+U446)/2</f>
        <v>255.70599999999999</v>
      </c>
      <c r="W446">
        <f>T446-U446</f>
        <v>7.6080000000000041</v>
      </c>
      <c r="X446">
        <v>44.416668000000001</v>
      </c>
      <c r="Y446">
        <v>-24</v>
      </c>
      <c r="Z446" t="s">
        <v>99</v>
      </c>
      <c r="AA446" t="s">
        <v>692</v>
      </c>
      <c r="AB446" t="s">
        <v>693</v>
      </c>
      <c r="AD446" t="s">
        <v>694</v>
      </c>
      <c r="AE446" t="s">
        <v>695</v>
      </c>
      <c r="AH446" t="s">
        <v>65</v>
      </c>
      <c r="AI446" t="s">
        <v>1063</v>
      </c>
      <c r="AJ446">
        <v>1926</v>
      </c>
      <c r="AK446" t="s">
        <v>697</v>
      </c>
      <c r="AM446" t="s">
        <v>698</v>
      </c>
      <c r="AN446" t="s">
        <v>121</v>
      </c>
      <c r="AO446" t="s">
        <v>330</v>
      </c>
      <c r="AP446" t="s">
        <v>182</v>
      </c>
      <c r="AQ446" t="s">
        <v>699</v>
      </c>
      <c r="AR446" t="s">
        <v>70</v>
      </c>
      <c r="AS446">
        <v>702</v>
      </c>
      <c r="AT446" t="s">
        <v>71</v>
      </c>
      <c r="AU446">
        <v>22.51</v>
      </c>
      <c r="AV446">
        <v>-42.93</v>
      </c>
      <c r="AW446" t="s">
        <v>72</v>
      </c>
      <c r="AX446">
        <v>702</v>
      </c>
      <c r="AY446" t="s">
        <v>71</v>
      </c>
      <c r="AZ446">
        <v>24.25</v>
      </c>
      <c r="BA446">
        <v>-52.74</v>
      </c>
      <c r="BB446" t="s">
        <v>73</v>
      </c>
    </row>
    <row r="447" spans="1:54" x14ac:dyDescent="0.4">
      <c r="A447">
        <v>1285964</v>
      </c>
      <c r="D447" t="s">
        <v>246</v>
      </c>
      <c r="E447" t="s">
        <v>55</v>
      </c>
      <c r="G447">
        <v>1</v>
      </c>
      <c r="H447" t="s">
        <v>56</v>
      </c>
      <c r="I447" t="s">
        <v>57</v>
      </c>
      <c r="K447" t="s">
        <v>856</v>
      </c>
      <c r="L447" t="s">
        <v>1074</v>
      </c>
      <c r="M447" t="s">
        <v>59</v>
      </c>
      <c r="P447" t="s">
        <v>259</v>
      </c>
      <c r="Q447" t="s">
        <v>502</v>
      </c>
      <c r="R447" t="s">
        <v>260</v>
      </c>
      <c r="S447" t="s">
        <v>98</v>
      </c>
      <c r="T447">
        <v>259.51</v>
      </c>
      <c r="U447">
        <v>251.90199999999999</v>
      </c>
      <c r="V447">
        <f>(T447+U447)/2</f>
        <v>255.70599999999999</v>
      </c>
      <c r="W447">
        <f>T447-U447</f>
        <v>7.6080000000000041</v>
      </c>
      <c r="X447">
        <v>44.416668000000001</v>
      </c>
      <c r="Y447">
        <v>-24</v>
      </c>
      <c r="Z447" t="s">
        <v>99</v>
      </c>
      <c r="AA447" t="s">
        <v>692</v>
      </c>
      <c r="AB447" t="s">
        <v>693</v>
      </c>
      <c r="AD447" t="s">
        <v>694</v>
      </c>
      <c r="AE447" t="s">
        <v>695</v>
      </c>
      <c r="AH447" t="s">
        <v>65</v>
      </c>
      <c r="AI447" t="s">
        <v>1063</v>
      </c>
      <c r="AJ447">
        <v>1926</v>
      </c>
      <c r="AK447" t="s">
        <v>697</v>
      </c>
      <c r="AM447" t="s">
        <v>698</v>
      </c>
      <c r="AN447" t="s">
        <v>121</v>
      </c>
      <c r="AO447" t="s">
        <v>330</v>
      </c>
      <c r="AP447" t="s">
        <v>182</v>
      </c>
      <c r="AQ447" t="s">
        <v>699</v>
      </c>
      <c r="AR447" t="s">
        <v>70</v>
      </c>
      <c r="AS447">
        <v>702</v>
      </c>
      <c r="AT447" t="s">
        <v>71</v>
      </c>
      <c r="AU447">
        <v>22.51</v>
      </c>
      <c r="AV447">
        <v>-42.93</v>
      </c>
      <c r="AW447" t="s">
        <v>72</v>
      </c>
      <c r="AX447">
        <v>702</v>
      </c>
      <c r="AY447" t="s">
        <v>71</v>
      </c>
      <c r="AZ447">
        <v>24.25</v>
      </c>
      <c r="BA447">
        <v>-52.74</v>
      </c>
      <c r="BB447" t="s">
        <v>73</v>
      </c>
    </row>
    <row r="448" spans="1:54" x14ac:dyDescent="0.4">
      <c r="A448">
        <v>1285964</v>
      </c>
      <c r="D448" t="s">
        <v>246</v>
      </c>
      <c r="E448" t="s">
        <v>55</v>
      </c>
      <c r="G448">
        <v>1</v>
      </c>
      <c r="H448" t="s">
        <v>56</v>
      </c>
      <c r="I448" t="s">
        <v>57</v>
      </c>
      <c r="K448" t="s">
        <v>856</v>
      </c>
      <c r="L448" t="s">
        <v>1074</v>
      </c>
      <c r="M448" t="s">
        <v>59</v>
      </c>
      <c r="P448" t="s">
        <v>259</v>
      </c>
      <c r="Q448" t="s">
        <v>502</v>
      </c>
      <c r="R448" t="s">
        <v>260</v>
      </c>
      <c r="S448" t="s">
        <v>98</v>
      </c>
      <c r="T448">
        <v>259.51</v>
      </c>
      <c r="U448">
        <v>251.90199999999999</v>
      </c>
      <c r="V448">
        <f>(T448+U448)/2</f>
        <v>255.70599999999999</v>
      </c>
      <c r="W448">
        <f>T448-U448</f>
        <v>7.6080000000000041</v>
      </c>
      <c r="X448">
        <v>44.416668000000001</v>
      </c>
      <c r="Y448">
        <v>-24</v>
      </c>
      <c r="Z448" t="s">
        <v>99</v>
      </c>
      <c r="AA448" t="s">
        <v>692</v>
      </c>
      <c r="AB448" t="s">
        <v>693</v>
      </c>
      <c r="AD448" t="s">
        <v>694</v>
      </c>
      <c r="AE448" t="s">
        <v>695</v>
      </c>
      <c r="AH448" t="s">
        <v>65</v>
      </c>
      <c r="AI448" t="s">
        <v>1063</v>
      </c>
      <c r="AJ448">
        <v>1926</v>
      </c>
      <c r="AK448" t="s">
        <v>697</v>
      </c>
      <c r="AM448" t="s">
        <v>698</v>
      </c>
      <c r="AN448" t="s">
        <v>121</v>
      </c>
      <c r="AO448" t="s">
        <v>330</v>
      </c>
      <c r="AP448" t="s">
        <v>182</v>
      </c>
      <c r="AQ448" t="s">
        <v>699</v>
      </c>
      <c r="AR448" t="s">
        <v>70</v>
      </c>
      <c r="AS448">
        <v>702</v>
      </c>
      <c r="AT448" t="s">
        <v>71</v>
      </c>
      <c r="AU448">
        <v>22.51</v>
      </c>
      <c r="AV448">
        <v>-42.93</v>
      </c>
      <c r="AW448" t="s">
        <v>72</v>
      </c>
      <c r="AX448">
        <v>702</v>
      </c>
      <c r="AY448" t="s">
        <v>71</v>
      </c>
      <c r="AZ448">
        <v>24.25</v>
      </c>
      <c r="BA448">
        <v>-52.74</v>
      </c>
      <c r="BB448" t="s">
        <v>73</v>
      </c>
    </row>
    <row r="449" spans="1:54" x14ac:dyDescent="0.4">
      <c r="A449">
        <v>1285964</v>
      </c>
      <c r="D449" t="s">
        <v>246</v>
      </c>
      <c r="E449" t="s">
        <v>55</v>
      </c>
      <c r="G449">
        <v>1</v>
      </c>
      <c r="H449" t="s">
        <v>56</v>
      </c>
      <c r="I449" t="s">
        <v>57</v>
      </c>
      <c r="K449" t="s">
        <v>856</v>
      </c>
      <c r="L449" t="s">
        <v>1074</v>
      </c>
      <c r="M449" t="s">
        <v>59</v>
      </c>
      <c r="P449" t="s">
        <v>259</v>
      </c>
      <c r="Q449" t="s">
        <v>502</v>
      </c>
      <c r="R449" t="s">
        <v>260</v>
      </c>
      <c r="S449" t="s">
        <v>98</v>
      </c>
      <c r="T449">
        <v>259.51</v>
      </c>
      <c r="U449">
        <v>251.90199999999999</v>
      </c>
      <c r="V449">
        <f>(T449+U449)/2</f>
        <v>255.70599999999999</v>
      </c>
      <c r="W449">
        <f>T449-U449</f>
        <v>7.6080000000000041</v>
      </c>
      <c r="X449">
        <v>44.416668000000001</v>
      </c>
      <c r="Y449">
        <v>-24</v>
      </c>
      <c r="Z449" t="s">
        <v>99</v>
      </c>
      <c r="AA449" t="s">
        <v>692</v>
      </c>
      <c r="AB449" t="s">
        <v>693</v>
      </c>
      <c r="AD449" t="s">
        <v>694</v>
      </c>
      <c r="AE449" t="s">
        <v>695</v>
      </c>
      <c r="AH449" t="s">
        <v>65</v>
      </c>
      <c r="AI449" t="s">
        <v>1063</v>
      </c>
      <c r="AJ449">
        <v>1926</v>
      </c>
      <c r="AK449" t="s">
        <v>697</v>
      </c>
      <c r="AM449" t="s">
        <v>698</v>
      </c>
      <c r="AN449" t="s">
        <v>121</v>
      </c>
      <c r="AO449" t="s">
        <v>330</v>
      </c>
      <c r="AP449" t="s">
        <v>182</v>
      </c>
      <c r="AQ449" t="s">
        <v>699</v>
      </c>
      <c r="AR449" t="s">
        <v>70</v>
      </c>
      <c r="AS449">
        <v>702</v>
      </c>
      <c r="AT449" t="s">
        <v>71</v>
      </c>
      <c r="AU449">
        <v>22.51</v>
      </c>
      <c r="AV449">
        <v>-42.93</v>
      </c>
      <c r="AW449" t="s">
        <v>72</v>
      </c>
      <c r="AX449">
        <v>702</v>
      </c>
      <c r="AY449" t="s">
        <v>71</v>
      </c>
      <c r="AZ449">
        <v>24.25</v>
      </c>
      <c r="BA449">
        <v>-52.74</v>
      </c>
      <c r="BB449" t="s">
        <v>73</v>
      </c>
    </row>
    <row r="450" spans="1:54" x14ac:dyDescent="0.4">
      <c r="A450">
        <v>1285964</v>
      </c>
      <c r="D450" t="s">
        <v>246</v>
      </c>
      <c r="E450" t="s">
        <v>55</v>
      </c>
      <c r="G450">
        <v>1</v>
      </c>
      <c r="H450" t="s">
        <v>56</v>
      </c>
      <c r="I450" t="s">
        <v>57</v>
      </c>
      <c r="K450" t="s">
        <v>856</v>
      </c>
      <c r="L450" t="s">
        <v>1074</v>
      </c>
      <c r="M450" t="s">
        <v>59</v>
      </c>
      <c r="P450" t="s">
        <v>259</v>
      </c>
      <c r="Q450" t="s">
        <v>502</v>
      </c>
      <c r="R450" t="s">
        <v>260</v>
      </c>
      <c r="S450" t="s">
        <v>98</v>
      </c>
      <c r="T450">
        <v>259.51</v>
      </c>
      <c r="U450">
        <v>251.90199999999999</v>
      </c>
      <c r="V450">
        <f>(T450+U450)/2</f>
        <v>255.70599999999999</v>
      </c>
      <c r="W450">
        <f>T450-U450</f>
        <v>7.6080000000000041</v>
      </c>
      <c r="X450">
        <v>44.416668000000001</v>
      </c>
      <c r="Y450">
        <v>-24</v>
      </c>
      <c r="Z450" t="s">
        <v>99</v>
      </c>
      <c r="AA450" t="s">
        <v>692</v>
      </c>
      <c r="AB450" t="s">
        <v>693</v>
      </c>
      <c r="AD450" t="s">
        <v>694</v>
      </c>
      <c r="AE450" t="s">
        <v>695</v>
      </c>
      <c r="AH450" t="s">
        <v>65</v>
      </c>
      <c r="AI450" t="s">
        <v>1063</v>
      </c>
      <c r="AJ450">
        <v>1926</v>
      </c>
      <c r="AK450" t="s">
        <v>697</v>
      </c>
      <c r="AM450" t="s">
        <v>698</v>
      </c>
      <c r="AN450" t="s">
        <v>121</v>
      </c>
      <c r="AO450" t="s">
        <v>330</v>
      </c>
      <c r="AP450" t="s">
        <v>182</v>
      </c>
      <c r="AQ450" t="s">
        <v>699</v>
      </c>
      <c r="AR450" t="s">
        <v>70</v>
      </c>
      <c r="AS450">
        <v>702</v>
      </c>
      <c r="AT450" t="s">
        <v>71</v>
      </c>
      <c r="AU450">
        <v>22.51</v>
      </c>
      <c r="AV450">
        <v>-42.93</v>
      </c>
      <c r="AW450" t="s">
        <v>72</v>
      </c>
      <c r="AX450">
        <v>702</v>
      </c>
      <c r="AY450" t="s">
        <v>71</v>
      </c>
      <c r="AZ450">
        <v>24.25</v>
      </c>
      <c r="BA450">
        <v>-52.74</v>
      </c>
      <c r="BB450" t="s">
        <v>73</v>
      </c>
    </row>
    <row r="451" spans="1:54" x14ac:dyDescent="0.4">
      <c r="A451">
        <v>1285964</v>
      </c>
      <c r="D451" t="s">
        <v>246</v>
      </c>
      <c r="E451" t="s">
        <v>55</v>
      </c>
      <c r="G451">
        <v>1</v>
      </c>
      <c r="H451" t="s">
        <v>56</v>
      </c>
      <c r="I451" t="s">
        <v>57</v>
      </c>
      <c r="K451" t="s">
        <v>856</v>
      </c>
      <c r="L451" t="s">
        <v>1074</v>
      </c>
      <c r="M451" t="s">
        <v>59</v>
      </c>
      <c r="P451" t="s">
        <v>259</v>
      </c>
      <c r="Q451" t="s">
        <v>502</v>
      </c>
      <c r="R451" t="s">
        <v>260</v>
      </c>
      <c r="S451" t="s">
        <v>98</v>
      </c>
      <c r="T451">
        <v>259.51</v>
      </c>
      <c r="U451">
        <v>251.90199999999999</v>
      </c>
      <c r="V451">
        <f>(T451+U451)/2</f>
        <v>255.70599999999999</v>
      </c>
      <c r="W451">
        <f>T451-U451</f>
        <v>7.6080000000000041</v>
      </c>
      <c r="X451">
        <v>44.416668000000001</v>
      </c>
      <c r="Y451">
        <v>-24</v>
      </c>
      <c r="Z451" t="s">
        <v>99</v>
      </c>
      <c r="AA451" t="s">
        <v>692</v>
      </c>
      <c r="AB451" t="s">
        <v>693</v>
      </c>
      <c r="AD451" t="s">
        <v>694</v>
      </c>
      <c r="AE451" t="s">
        <v>695</v>
      </c>
      <c r="AH451" t="s">
        <v>65</v>
      </c>
      <c r="AI451" t="s">
        <v>1063</v>
      </c>
      <c r="AJ451">
        <v>1926</v>
      </c>
      <c r="AK451" t="s">
        <v>697</v>
      </c>
      <c r="AM451" t="s">
        <v>698</v>
      </c>
      <c r="AN451" t="s">
        <v>121</v>
      </c>
      <c r="AO451" t="s">
        <v>330</v>
      </c>
      <c r="AP451" t="s">
        <v>182</v>
      </c>
      <c r="AQ451" t="s">
        <v>699</v>
      </c>
      <c r="AR451" t="s">
        <v>70</v>
      </c>
      <c r="AS451">
        <v>702</v>
      </c>
      <c r="AT451" t="s">
        <v>71</v>
      </c>
      <c r="AU451">
        <v>22.51</v>
      </c>
      <c r="AV451">
        <v>-42.93</v>
      </c>
      <c r="AW451" t="s">
        <v>72</v>
      </c>
      <c r="AX451">
        <v>702</v>
      </c>
      <c r="AY451" t="s">
        <v>71</v>
      </c>
      <c r="AZ451">
        <v>24.25</v>
      </c>
      <c r="BA451">
        <v>-52.74</v>
      </c>
      <c r="BB451" t="s">
        <v>73</v>
      </c>
    </row>
    <row r="452" spans="1:54" x14ac:dyDescent="0.4">
      <c r="A452">
        <v>1285964</v>
      </c>
      <c r="D452" t="s">
        <v>246</v>
      </c>
      <c r="E452" t="s">
        <v>55</v>
      </c>
      <c r="G452">
        <v>1</v>
      </c>
      <c r="H452" t="s">
        <v>56</v>
      </c>
      <c r="I452" t="s">
        <v>57</v>
      </c>
      <c r="K452" t="s">
        <v>856</v>
      </c>
      <c r="L452" t="s">
        <v>1074</v>
      </c>
      <c r="M452" t="s">
        <v>59</v>
      </c>
      <c r="P452" t="s">
        <v>259</v>
      </c>
      <c r="Q452" t="s">
        <v>502</v>
      </c>
      <c r="R452" t="s">
        <v>260</v>
      </c>
      <c r="S452" t="s">
        <v>98</v>
      </c>
      <c r="T452">
        <v>259.51</v>
      </c>
      <c r="U452">
        <v>251.90199999999999</v>
      </c>
      <c r="V452">
        <f>(T452+U452)/2</f>
        <v>255.70599999999999</v>
      </c>
      <c r="W452">
        <f>T452-U452</f>
        <v>7.6080000000000041</v>
      </c>
      <c r="X452">
        <v>44.416668000000001</v>
      </c>
      <c r="Y452">
        <v>-24</v>
      </c>
      <c r="Z452" t="s">
        <v>99</v>
      </c>
      <c r="AA452" t="s">
        <v>692</v>
      </c>
      <c r="AB452" t="s">
        <v>693</v>
      </c>
      <c r="AD452" t="s">
        <v>694</v>
      </c>
      <c r="AE452" t="s">
        <v>695</v>
      </c>
      <c r="AH452" t="s">
        <v>65</v>
      </c>
      <c r="AI452" t="s">
        <v>1063</v>
      </c>
      <c r="AJ452">
        <v>1926</v>
      </c>
      <c r="AK452" t="s">
        <v>697</v>
      </c>
      <c r="AM452" t="s">
        <v>698</v>
      </c>
      <c r="AN452" t="s">
        <v>121</v>
      </c>
      <c r="AO452" t="s">
        <v>330</v>
      </c>
      <c r="AP452" t="s">
        <v>182</v>
      </c>
      <c r="AQ452" t="s">
        <v>699</v>
      </c>
      <c r="AR452" t="s">
        <v>70</v>
      </c>
      <c r="AS452">
        <v>702</v>
      </c>
      <c r="AT452" t="s">
        <v>71</v>
      </c>
      <c r="AU452">
        <v>22.51</v>
      </c>
      <c r="AV452">
        <v>-42.93</v>
      </c>
      <c r="AW452" t="s">
        <v>72</v>
      </c>
      <c r="AX452">
        <v>702</v>
      </c>
      <c r="AY452" t="s">
        <v>71</v>
      </c>
      <c r="AZ452">
        <v>24.25</v>
      </c>
      <c r="BA452">
        <v>-52.74</v>
      </c>
      <c r="BB452" t="s">
        <v>73</v>
      </c>
    </row>
    <row r="453" spans="1:54" x14ac:dyDescent="0.4">
      <c r="A453">
        <v>1285964</v>
      </c>
      <c r="D453" t="s">
        <v>246</v>
      </c>
      <c r="E453" t="s">
        <v>55</v>
      </c>
      <c r="G453">
        <v>1</v>
      </c>
      <c r="H453" t="s">
        <v>56</v>
      </c>
      <c r="I453" t="s">
        <v>57</v>
      </c>
      <c r="K453" t="s">
        <v>856</v>
      </c>
      <c r="L453" t="s">
        <v>1074</v>
      </c>
      <c r="M453" t="s">
        <v>59</v>
      </c>
      <c r="P453" t="s">
        <v>259</v>
      </c>
      <c r="Q453" t="s">
        <v>502</v>
      </c>
      <c r="R453" t="s">
        <v>260</v>
      </c>
      <c r="S453" t="s">
        <v>98</v>
      </c>
      <c r="T453">
        <v>259.51</v>
      </c>
      <c r="U453">
        <v>251.90199999999999</v>
      </c>
      <c r="V453">
        <f>(T453+U453)/2</f>
        <v>255.70599999999999</v>
      </c>
      <c r="W453">
        <f>T453-U453</f>
        <v>7.6080000000000041</v>
      </c>
      <c r="X453">
        <v>44.416668000000001</v>
      </c>
      <c r="Y453">
        <v>-24</v>
      </c>
      <c r="Z453" t="s">
        <v>99</v>
      </c>
      <c r="AA453" t="s">
        <v>692</v>
      </c>
      <c r="AB453" t="s">
        <v>693</v>
      </c>
      <c r="AD453" t="s">
        <v>694</v>
      </c>
      <c r="AE453" t="s">
        <v>695</v>
      </c>
      <c r="AH453" t="s">
        <v>65</v>
      </c>
      <c r="AI453" t="s">
        <v>1063</v>
      </c>
      <c r="AJ453">
        <v>1926</v>
      </c>
      <c r="AK453" t="s">
        <v>697</v>
      </c>
      <c r="AM453" t="s">
        <v>698</v>
      </c>
      <c r="AN453" t="s">
        <v>121</v>
      </c>
      <c r="AO453" t="s">
        <v>330</v>
      </c>
      <c r="AP453" t="s">
        <v>182</v>
      </c>
      <c r="AQ453" t="s">
        <v>699</v>
      </c>
      <c r="AR453" t="s">
        <v>70</v>
      </c>
      <c r="AS453">
        <v>702</v>
      </c>
      <c r="AT453" t="s">
        <v>71</v>
      </c>
      <c r="AU453">
        <v>22.51</v>
      </c>
      <c r="AV453">
        <v>-42.93</v>
      </c>
      <c r="AW453" t="s">
        <v>72</v>
      </c>
      <c r="AX453">
        <v>702</v>
      </c>
      <c r="AY453" t="s">
        <v>71</v>
      </c>
      <c r="AZ453">
        <v>24.25</v>
      </c>
      <c r="BA453">
        <v>-52.74</v>
      </c>
      <c r="BB453" t="s">
        <v>73</v>
      </c>
    </row>
    <row r="454" spans="1:54" x14ac:dyDescent="0.4">
      <c r="A454">
        <v>1285964</v>
      </c>
      <c r="D454" t="s">
        <v>246</v>
      </c>
      <c r="E454" t="s">
        <v>55</v>
      </c>
      <c r="G454">
        <v>1</v>
      </c>
      <c r="H454" t="s">
        <v>56</v>
      </c>
      <c r="I454" t="s">
        <v>57</v>
      </c>
      <c r="K454" t="s">
        <v>856</v>
      </c>
      <c r="L454" t="s">
        <v>1074</v>
      </c>
      <c r="M454" t="s">
        <v>59</v>
      </c>
      <c r="P454" t="s">
        <v>259</v>
      </c>
      <c r="Q454" t="s">
        <v>502</v>
      </c>
      <c r="R454" t="s">
        <v>260</v>
      </c>
      <c r="S454" t="s">
        <v>98</v>
      </c>
      <c r="T454">
        <v>259.51</v>
      </c>
      <c r="U454">
        <v>251.90199999999999</v>
      </c>
      <c r="V454">
        <f>(T454+U454)/2</f>
        <v>255.70599999999999</v>
      </c>
      <c r="W454">
        <f>T454-U454</f>
        <v>7.6080000000000041</v>
      </c>
      <c r="X454">
        <v>44.416668000000001</v>
      </c>
      <c r="Y454">
        <v>-24</v>
      </c>
      <c r="Z454" t="s">
        <v>99</v>
      </c>
      <c r="AA454" t="s">
        <v>692</v>
      </c>
      <c r="AB454" t="s">
        <v>693</v>
      </c>
      <c r="AD454" t="s">
        <v>694</v>
      </c>
      <c r="AE454" t="s">
        <v>695</v>
      </c>
      <c r="AH454" t="s">
        <v>65</v>
      </c>
      <c r="AI454" t="s">
        <v>1063</v>
      </c>
      <c r="AJ454">
        <v>1926</v>
      </c>
      <c r="AK454" t="s">
        <v>697</v>
      </c>
      <c r="AM454" t="s">
        <v>698</v>
      </c>
      <c r="AN454" t="s">
        <v>121</v>
      </c>
      <c r="AO454" t="s">
        <v>330</v>
      </c>
      <c r="AP454" t="s">
        <v>182</v>
      </c>
      <c r="AQ454" t="s">
        <v>699</v>
      </c>
      <c r="AR454" t="s">
        <v>70</v>
      </c>
      <c r="AS454">
        <v>702</v>
      </c>
      <c r="AT454" t="s">
        <v>71</v>
      </c>
      <c r="AU454">
        <v>22.51</v>
      </c>
      <c r="AV454">
        <v>-42.93</v>
      </c>
      <c r="AW454" t="s">
        <v>72</v>
      </c>
      <c r="AX454">
        <v>702</v>
      </c>
      <c r="AY454" t="s">
        <v>71</v>
      </c>
      <c r="AZ454">
        <v>24.25</v>
      </c>
      <c r="BA454">
        <v>-52.74</v>
      </c>
      <c r="BB454" t="s">
        <v>73</v>
      </c>
    </row>
    <row r="455" spans="1:54" x14ac:dyDescent="0.4">
      <c r="A455">
        <v>1285964</v>
      </c>
      <c r="D455" t="s">
        <v>246</v>
      </c>
      <c r="E455" t="s">
        <v>55</v>
      </c>
      <c r="G455">
        <v>1</v>
      </c>
      <c r="H455" t="s">
        <v>56</v>
      </c>
      <c r="I455" t="s">
        <v>57</v>
      </c>
      <c r="K455" t="s">
        <v>856</v>
      </c>
      <c r="L455" t="s">
        <v>1074</v>
      </c>
      <c r="M455" t="s">
        <v>59</v>
      </c>
      <c r="P455" t="s">
        <v>259</v>
      </c>
      <c r="Q455" t="s">
        <v>502</v>
      </c>
      <c r="R455" t="s">
        <v>260</v>
      </c>
      <c r="S455" t="s">
        <v>98</v>
      </c>
      <c r="T455">
        <v>259.51</v>
      </c>
      <c r="U455">
        <v>251.90199999999999</v>
      </c>
      <c r="V455">
        <f>(T455+U455)/2</f>
        <v>255.70599999999999</v>
      </c>
      <c r="W455">
        <f>T455-U455</f>
        <v>7.6080000000000041</v>
      </c>
      <c r="X455">
        <v>44.416668000000001</v>
      </c>
      <c r="Y455">
        <v>-24</v>
      </c>
      <c r="Z455" t="s">
        <v>99</v>
      </c>
      <c r="AA455" t="s">
        <v>692</v>
      </c>
      <c r="AB455" t="s">
        <v>693</v>
      </c>
      <c r="AD455" t="s">
        <v>694</v>
      </c>
      <c r="AE455" t="s">
        <v>695</v>
      </c>
      <c r="AH455" t="s">
        <v>65</v>
      </c>
      <c r="AI455" t="s">
        <v>1063</v>
      </c>
      <c r="AJ455">
        <v>1926</v>
      </c>
      <c r="AK455" t="s">
        <v>697</v>
      </c>
      <c r="AM455" t="s">
        <v>698</v>
      </c>
      <c r="AN455" t="s">
        <v>121</v>
      </c>
      <c r="AO455" t="s">
        <v>330</v>
      </c>
      <c r="AP455" t="s">
        <v>182</v>
      </c>
      <c r="AQ455" t="s">
        <v>699</v>
      </c>
      <c r="AR455" t="s">
        <v>70</v>
      </c>
      <c r="AS455">
        <v>702</v>
      </c>
      <c r="AT455" t="s">
        <v>71</v>
      </c>
      <c r="AU455">
        <v>22.51</v>
      </c>
      <c r="AV455">
        <v>-42.93</v>
      </c>
      <c r="AW455" t="s">
        <v>72</v>
      </c>
      <c r="AX455">
        <v>702</v>
      </c>
      <c r="AY455" t="s">
        <v>71</v>
      </c>
      <c r="AZ455">
        <v>24.25</v>
      </c>
      <c r="BA455">
        <v>-52.74</v>
      </c>
      <c r="BB455" t="s">
        <v>73</v>
      </c>
    </row>
    <row r="456" spans="1:54" x14ac:dyDescent="0.4">
      <c r="A456">
        <v>1285964</v>
      </c>
      <c r="D456" t="s">
        <v>246</v>
      </c>
      <c r="E456" t="s">
        <v>55</v>
      </c>
      <c r="G456">
        <v>1</v>
      </c>
      <c r="H456" t="s">
        <v>56</v>
      </c>
      <c r="I456" t="s">
        <v>57</v>
      </c>
      <c r="K456" t="s">
        <v>856</v>
      </c>
      <c r="L456" t="s">
        <v>1074</v>
      </c>
      <c r="M456" t="s">
        <v>59</v>
      </c>
      <c r="P456" t="s">
        <v>259</v>
      </c>
      <c r="Q456" t="s">
        <v>502</v>
      </c>
      <c r="R456" t="s">
        <v>260</v>
      </c>
      <c r="S456" t="s">
        <v>98</v>
      </c>
      <c r="T456">
        <v>259.51</v>
      </c>
      <c r="U456">
        <v>251.90199999999999</v>
      </c>
      <c r="V456">
        <f>(T456+U456)/2</f>
        <v>255.70599999999999</v>
      </c>
      <c r="W456">
        <f>T456-U456</f>
        <v>7.6080000000000041</v>
      </c>
      <c r="X456">
        <v>44.416668000000001</v>
      </c>
      <c r="Y456">
        <v>-24</v>
      </c>
      <c r="Z456" t="s">
        <v>99</v>
      </c>
      <c r="AA456" t="s">
        <v>692</v>
      </c>
      <c r="AB456" t="s">
        <v>693</v>
      </c>
      <c r="AD456" t="s">
        <v>694</v>
      </c>
      <c r="AE456" t="s">
        <v>695</v>
      </c>
      <c r="AH456" t="s">
        <v>65</v>
      </c>
      <c r="AI456" t="s">
        <v>1063</v>
      </c>
      <c r="AJ456">
        <v>1926</v>
      </c>
      <c r="AK456" t="s">
        <v>697</v>
      </c>
      <c r="AM456" t="s">
        <v>698</v>
      </c>
      <c r="AN456" t="s">
        <v>121</v>
      </c>
      <c r="AO456" t="s">
        <v>330</v>
      </c>
      <c r="AP456" t="s">
        <v>182</v>
      </c>
      <c r="AQ456" t="s">
        <v>699</v>
      </c>
      <c r="AR456" t="s">
        <v>70</v>
      </c>
      <c r="AS456">
        <v>702</v>
      </c>
      <c r="AT456" t="s">
        <v>71</v>
      </c>
      <c r="AU456">
        <v>22.51</v>
      </c>
      <c r="AV456">
        <v>-42.93</v>
      </c>
      <c r="AW456" t="s">
        <v>72</v>
      </c>
      <c r="AX456">
        <v>702</v>
      </c>
      <c r="AY456" t="s">
        <v>71</v>
      </c>
      <c r="AZ456">
        <v>24.25</v>
      </c>
      <c r="BA456">
        <v>-52.74</v>
      </c>
      <c r="BB456" t="s">
        <v>73</v>
      </c>
    </row>
    <row r="457" spans="1:54" x14ac:dyDescent="0.4">
      <c r="A457">
        <v>1285964</v>
      </c>
      <c r="D457" t="s">
        <v>246</v>
      </c>
      <c r="E457" t="s">
        <v>55</v>
      </c>
      <c r="G457">
        <v>1</v>
      </c>
      <c r="H457" t="s">
        <v>56</v>
      </c>
      <c r="I457" t="s">
        <v>57</v>
      </c>
      <c r="K457" t="s">
        <v>856</v>
      </c>
      <c r="L457" t="s">
        <v>1074</v>
      </c>
      <c r="M457" t="s">
        <v>59</v>
      </c>
      <c r="P457" t="s">
        <v>259</v>
      </c>
      <c r="Q457" t="s">
        <v>502</v>
      </c>
      <c r="R457" t="s">
        <v>260</v>
      </c>
      <c r="S457" t="s">
        <v>98</v>
      </c>
      <c r="T457">
        <v>259.51</v>
      </c>
      <c r="U457">
        <v>251.90199999999999</v>
      </c>
      <c r="V457">
        <f>(T457+U457)/2</f>
        <v>255.70599999999999</v>
      </c>
      <c r="W457">
        <f>T457-U457</f>
        <v>7.6080000000000041</v>
      </c>
      <c r="X457">
        <v>44.416668000000001</v>
      </c>
      <c r="Y457">
        <v>-24</v>
      </c>
      <c r="Z457" t="s">
        <v>99</v>
      </c>
      <c r="AA457" t="s">
        <v>692</v>
      </c>
      <c r="AB457" t="s">
        <v>693</v>
      </c>
      <c r="AD457" t="s">
        <v>694</v>
      </c>
      <c r="AE457" t="s">
        <v>695</v>
      </c>
      <c r="AH457" t="s">
        <v>65</v>
      </c>
      <c r="AI457" t="s">
        <v>1063</v>
      </c>
      <c r="AJ457">
        <v>1926</v>
      </c>
      <c r="AK457" t="s">
        <v>697</v>
      </c>
      <c r="AM457" t="s">
        <v>698</v>
      </c>
      <c r="AN457" t="s">
        <v>121</v>
      </c>
      <c r="AO457" t="s">
        <v>330</v>
      </c>
      <c r="AP457" t="s">
        <v>182</v>
      </c>
      <c r="AQ457" t="s">
        <v>699</v>
      </c>
      <c r="AR457" t="s">
        <v>70</v>
      </c>
      <c r="AS457">
        <v>702</v>
      </c>
      <c r="AT457" t="s">
        <v>71</v>
      </c>
      <c r="AU457">
        <v>22.51</v>
      </c>
      <c r="AV457">
        <v>-42.93</v>
      </c>
      <c r="AW457" t="s">
        <v>72</v>
      </c>
      <c r="AX457">
        <v>702</v>
      </c>
      <c r="AY457" t="s">
        <v>71</v>
      </c>
      <c r="AZ457">
        <v>24.25</v>
      </c>
      <c r="BA457">
        <v>-52.74</v>
      </c>
      <c r="BB457" t="s">
        <v>73</v>
      </c>
    </row>
    <row r="458" spans="1:54" x14ac:dyDescent="0.4">
      <c r="A458">
        <v>1285964</v>
      </c>
      <c r="D458" t="s">
        <v>246</v>
      </c>
      <c r="E458" t="s">
        <v>55</v>
      </c>
      <c r="G458">
        <v>1</v>
      </c>
      <c r="H458" t="s">
        <v>56</v>
      </c>
      <c r="I458" t="s">
        <v>57</v>
      </c>
      <c r="K458" t="s">
        <v>856</v>
      </c>
      <c r="L458" t="s">
        <v>1074</v>
      </c>
      <c r="M458" t="s">
        <v>59</v>
      </c>
      <c r="P458" t="s">
        <v>259</v>
      </c>
      <c r="Q458" t="s">
        <v>502</v>
      </c>
      <c r="R458" t="s">
        <v>260</v>
      </c>
      <c r="S458" t="s">
        <v>98</v>
      </c>
      <c r="T458">
        <v>259.51</v>
      </c>
      <c r="U458">
        <v>251.90199999999999</v>
      </c>
      <c r="V458">
        <f>(T458+U458)/2</f>
        <v>255.70599999999999</v>
      </c>
      <c r="W458">
        <f>T458-U458</f>
        <v>7.6080000000000041</v>
      </c>
      <c r="X458">
        <v>44.416668000000001</v>
      </c>
      <c r="Y458">
        <v>-24</v>
      </c>
      <c r="Z458" t="s">
        <v>99</v>
      </c>
      <c r="AA458" t="s">
        <v>692</v>
      </c>
      <c r="AB458" t="s">
        <v>693</v>
      </c>
      <c r="AD458" t="s">
        <v>694</v>
      </c>
      <c r="AE458" t="s">
        <v>695</v>
      </c>
      <c r="AH458" t="s">
        <v>65</v>
      </c>
      <c r="AI458" t="s">
        <v>1063</v>
      </c>
      <c r="AJ458">
        <v>1926</v>
      </c>
      <c r="AK458" t="s">
        <v>697</v>
      </c>
      <c r="AM458" t="s">
        <v>698</v>
      </c>
      <c r="AN458" t="s">
        <v>121</v>
      </c>
      <c r="AO458" t="s">
        <v>330</v>
      </c>
      <c r="AP458" t="s">
        <v>182</v>
      </c>
      <c r="AQ458" t="s">
        <v>699</v>
      </c>
      <c r="AR458" t="s">
        <v>70</v>
      </c>
      <c r="AS458">
        <v>702</v>
      </c>
      <c r="AT458" t="s">
        <v>71</v>
      </c>
      <c r="AU458">
        <v>22.51</v>
      </c>
      <c r="AV458">
        <v>-42.93</v>
      </c>
      <c r="AW458" t="s">
        <v>72</v>
      </c>
      <c r="AX458">
        <v>702</v>
      </c>
      <c r="AY458" t="s">
        <v>71</v>
      </c>
      <c r="AZ458">
        <v>24.25</v>
      </c>
      <c r="BA458">
        <v>-52.74</v>
      </c>
      <c r="BB458" t="s">
        <v>73</v>
      </c>
    </row>
    <row r="459" spans="1:54" x14ac:dyDescent="0.4">
      <c r="A459">
        <v>1285964</v>
      </c>
      <c r="D459" t="s">
        <v>246</v>
      </c>
      <c r="E459" t="s">
        <v>55</v>
      </c>
      <c r="G459">
        <v>1</v>
      </c>
      <c r="H459" t="s">
        <v>56</v>
      </c>
      <c r="I459" t="s">
        <v>57</v>
      </c>
      <c r="K459" t="s">
        <v>856</v>
      </c>
      <c r="L459" t="s">
        <v>1074</v>
      </c>
      <c r="M459" t="s">
        <v>59</v>
      </c>
      <c r="P459" t="s">
        <v>259</v>
      </c>
      <c r="Q459" t="s">
        <v>502</v>
      </c>
      <c r="R459" t="s">
        <v>260</v>
      </c>
      <c r="S459" t="s">
        <v>98</v>
      </c>
      <c r="T459">
        <v>259.51</v>
      </c>
      <c r="U459">
        <v>251.90199999999999</v>
      </c>
      <c r="V459">
        <f>(T459+U459)/2</f>
        <v>255.70599999999999</v>
      </c>
      <c r="W459">
        <f>T459-U459</f>
        <v>7.6080000000000041</v>
      </c>
      <c r="X459">
        <v>44.416668000000001</v>
      </c>
      <c r="Y459">
        <v>-24</v>
      </c>
      <c r="Z459" t="s">
        <v>99</v>
      </c>
      <c r="AA459" t="s">
        <v>692</v>
      </c>
      <c r="AB459" t="s">
        <v>693</v>
      </c>
      <c r="AD459" t="s">
        <v>694</v>
      </c>
      <c r="AE459" t="s">
        <v>695</v>
      </c>
      <c r="AH459" t="s">
        <v>65</v>
      </c>
      <c r="AI459" t="s">
        <v>1063</v>
      </c>
      <c r="AJ459">
        <v>1926</v>
      </c>
      <c r="AK459" t="s">
        <v>697</v>
      </c>
      <c r="AM459" t="s">
        <v>698</v>
      </c>
      <c r="AN459" t="s">
        <v>121</v>
      </c>
      <c r="AO459" t="s">
        <v>330</v>
      </c>
      <c r="AP459" t="s">
        <v>182</v>
      </c>
      <c r="AQ459" t="s">
        <v>699</v>
      </c>
      <c r="AR459" t="s">
        <v>70</v>
      </c>
      <c r="AS459">
        <v>702</v>
      </c>
      <c r="AT459" t="s">
        <v>71</v>
      </c>
      <c r="AU459">
        <v>22.51</v>
      </c>
      <c r="AV459">
        <v>-42.93</v>
      </c>
      <c r="AW459" t="s">
        <v>72</v>
      </c>
      <c r="AX459">
        <v>702</v>
      </c>
      <c r="AY459" t="s">
        <v>71</v>
      </c>
      <c r="AZ459">
        <v>24.25</v>
      </c>
      <c r="BA459">
        <v>-52.74</v>
      </c>
      <c r="BB459" t="s">
        <v>73</v>
      </c>
    </row>
    <row r="460" spans="1:54" x14ac:dyDescent="0.4">
      <c r="A460">
        <v>1285964</v>
      </c>
      <c r="D460" t="s">
        <v>246</v>
      </c>
      <c r="E460" t="s">
        <v>55</v>
      </c>
      <c r="G460">
        <v>1</v>
      </c>
      <c r="H460" t="s">
        <v>56</v>
      </c>
      <c r="I460" t="s">
        <v>57</v>
      </c>
      <c r="K460" t="s">
        <v>856</v>
      </c>
      <c r="L460" t="s">
        <v>1074</v>
      </c>
      <c r="M460" t="s">
        <v>59</v>
      </c>
      <c r="P460" t="s">
        <v>259</v>
      </c>
      <c r="Q460" t="s">
        <v>502</v>
      </c>
      <c r="R460" t="s">
        <v>260</v>
      </c>
      <c r="S460" t="s">
        <v>98</v>
      </c>
      <c r="T460">
        <v>259.51</v>
      </c>
      <c r="U460">
        <v>251.90199999999999</v>
      </c>
      <c r="V460">
        <f>(T460+U460)/2</f>
        <v>255.70599999999999</v>
      </c>
      <c r="W460">
        <f>T460-U460</f>
        <v>7.6080000000000041</v>
      </c>
      <c r="X460">
        <v>44.416668000000001</v>
      </c>
      <c r="Y460">
        <v>-24</v>
      </c>
      <c r="Z460" t="s">
        <v>99</v>
      </c>
      <c r="AA460" t="s">
        <v>692</v>
      </c>
      <c r="AB460" t="s">
        <v>693</v>
      </c>
      <c r="AD460" t="s">
        <v>694</v>
      </c>
      <c r="AE460" t="s">
        <v>695</v>
      </c>
      <c r="AH460" t="s">
        <v>65</v>
      </c>
      <c r="AI460" t="s">
        <v>1063</v>
      </c>
      <c r="AJ460">
        <v>1926</v>
      </c>
      <c r="AK460" t="s">
        <v>697</v>
      </c>
      <c r="AM460" t="s">
        <v>698</v>
      </c>
      <c r="AN460" t="s">
        <v>121</v>
      </c>
      <c r="AO460" t="s">
        <v>330</v>
      </c>
      <c r="AP460" t="s">
        <v>182</v>
      </c>
      <c r="AQ460" t="s">
        <v>699</v>
      </c>
      <c r="AR460" t="s">
        <v>70</v>
      </c>
      <c r="AS460">
        <v>702</v>
      </c>
      <c r="AT460" t="s">
        <v>71</v>
      </c>
      <c r="AU460">
        <v>22.51</v>
      </c>
      <c r="AV460">
        <v>-42.93</v>
      </c>
      <c r="AW460" t="s">
        <v>72</v>
      </c>
      <c r="AX460">
        <v>702</v>
      </c>
      <c r="AY460" t="s">
        <v>71</v>
      </c>
      <c r="AZ460">
        <v>24.25</v>
      </c>
      <c r="BA460">
        <v>-52.74</v>
      </c>
      <c r="BB460" t="s">
        <v>73</v>
      </c>
    </row>
    <row r="461" spans="1:54" x14ac:dyDescent="0.4">
      <c r="A461">
        <v>1285964</v>
      </c>
      <c r="D461" t="s">
        <v>246</v>
      </c>
      <c r="E461" t="s">
        <v>55</v>
      </c>
      <c r="G461">
        <v>1</v>
      </c>
      <c r="H461" t="s">
        <v>56</v>
      </c>
      <c r="I461" t="s">
        <v>57</v>
      </c>
      <c r="K461" t="s">
        <v>856</v>
      </c>
      <c r="L461" t="s">
        <v>1074</v>
      </c>
      <c r="M461" t="s">
        <v>59</v>
      </c>
      <c r="P461" t="s">
        <v>259</v>
      </c>
      <c r="Q461" t="s">
        <v>502</v>
      </c>
      <c r="R461" t="s">
        <v>260</v>
      </c>
      <c r="S461" t="s">
        <v>98</v>
      </c>
      <c r="T461">
        <v>259.51</v>
      </c>
      <c r="U461">
        <v>251.90199999999999</v>
      </c>
      <c r="V461">
        <f>(T461+U461)/2</f>
        <v>255.70599999999999</v>
      </c>
      <c r="W461">
        <f>T461-U461</f>
        <v>7.6080000000000041</v>
      </c>
      <c r="X461">
        <v>44.416668000000001</v>
      </c>
      <c r="Y461">
        <v>-24</v>
      </c>
      <c r="Z461" t="s">
        <v>99</v>
      </c>
      <c r="AA461" t="s">
        <v>692</v>
      </c>
      <c r="AB461" t="s">
        <v>693</v>
      </c>
      <c r="AD461" t="s">
        <v>694</v>
      </c>
      <c r="AE461" t="s">
        <v>695</v>
      </c>
      <c r="AH461" t="s">
        <v>65</v>
      </c>
      <c r="AI461" t="s">
        <v>1063</v>
      </c>
      <c r="AJ461">
        <v>1926</v>
      </c>
      <c r="AK461" t="s">
        <v>697</v>
      </c>
      <c r="AM461" t="s">
        <v>698</v>
      </c>
      <c r="AN461" t="s">
        <v>121</v>
      </c>
      <c r="AO461" t="s">
        <v>330</v>
      </c>
      <c r="AP461" t="s">
        <v>182</v>
      </c>
      <c r="AQ461" t="s">
        <v>699</v>
      </c>
      <c r="AR461" t="s">
        <v>70</v>
      </c>
      <c r="AS461">
        <v>702</v>
      </c>
      <c r="AT461" t="s">
        <v>71</v>
      </c>
      <c r="AU461">
        <v>22.51</v>
      </c>
      <c r="AV461">
        <v>-42.93</v>
      </c>
      <c r="AW461" t="s">
        <v>72</v>
      </c>
      <c r="AX461">
        <v>702</v>
      </c>
      <c r="AY461" t="s">
        <v>71</v>
      </c>
      <c r="AZ461">
        <v>24.25</v>
      </c>
      <c r="BA461">
        <v>-52.74</v>
      </c>
      <c r="BB461" t="s">
        <v>73</v>
      </c>
    </row>
    <row r="462" spans="1:54" x14ac:dyDescent="0.4">
      <c r="A462">
        <v>1285964</v>
      </c>
      <c r="D462" t="s">
        <v>246</v>
      </c>
      <c r="E462" t="s">
        <v>55</v>
      </c>
      <c r="G462">
        <v>1</v>
      </c>
      <c r="H462" t="s">
        <v>56</v>
      </c>
      <c r="I462" t="s">
        <v>57</v>
      </c>
      <c r="K462" t="s">
        <v>856</v>
      </c>
      <c r="L462" t="s">
        <v>1074</v>
      </c>
      <c r="M462" t="s">
        <v>59</v>
      </c>
      <c r="P462" t="s">
        <v>259</v>
      </c>
      <c r="Q462" t="s">
        <v>502</v>
      </c>
      <c r="R462" t="s">
        <v>260</v>
      </c>
      <c r="S462" t="s">
        <v>98</v>
      </c>
      <c r="T462">
        <v>259.51</v>
      </c>
      <c r="U462">
        <v>251.90199999999999</v>
      </c>
      <c r="V462">
        <f>(T462+U462)/2</f>
        <v>255.70599999999999</v>
      </c>
      <c r="W462">
        <f>T462-U462</f>
        <v>7.6080000000000041</v>
      </c>
      <c r="X462">
        <v>44.416668000000001</v>
      </c>
      <c r="Y462">
        <v>-24</v>
      </c>
      <c r="Z462" t="s">
        <v>99</v>
      </c>
      <c r="AA462" t="s">
        <v>692</v>
      </c>
      <c r="AB462" t="s">
        <v>693</v>
      </c>
      <c r="AD462" t="s">
        <v>694</v>
      </c>
      <c r="AE462" t="s">
        <v>695</v>
      </c>
      <c r="AH462" t="s">
        <v>65</v>
      </c>
      <c r="AI462" t="s">
        <v>1063</v>
      </c>
      <c r="AJ462">
        <v>1926</v>
      </c>
      <c r="AK462" t="s">
        <v>697</v>
      </c>
      <c r="AM462" t="s">
        <v>698</v>
      </c>
      <c r="AN462" t="s">
        <v>121</v>
      </c>
      <c r="AO462" t="s">
        <v>330</v>
      </c>
      <c r="AP462" t="s">
        <v>182</v>
      </c>
      <c r="AQ462" t="s">
        <v>699</v>
      </c>
      <c r="AR462" t="s">
        <v>70</v>
      </c>
      <c r="AS462">
        <v>702</v>
      </c>
      <c r="AT462" t="s">
        <v>71</v>
      </c>
      <c r="AU462">
        <v>22.51</v>
      </c>
      <c r="AV462">
        <v>-42.93</v>
      </c>
      <c r="AW462" t="s">
        <v>72</v>
      </c>
      <c r="AX462">
        <v>702</v>
      </c>
      <c r="AY462" t="s">
        <v>71</v>
      </c>
      <c r="AZ462">
        <v>24.25</v>
      </c>
      <c r="BA462">
        <v>-52.74</v>
      </c>
      <c r="BB462" t="s">
        <v>73</v>
      </c>
    </row>
    <row r="463" spans="1:54" x14ac:dyDescent="0.4">
      <c r="A463">
        <v>1285964</v>
      </c>
      <c r="D463" t="s">
        <v>246</v>
      </c>
      <c r="E463" t="s">
        <v>55</v>
      </c>
      <c r="G463">
        <v>1</v>
      </c>
      <c r="H463" t="s">
        <v>56</v>
      </c>
      <c r="I463" t="s">
        <v>57</v>
      </c>
      <c r="K463" t="s">
        <v>856</v>
      </c>
      <c r="L463" t="s">
        <v>1074</v>
      </c>
      <c r="M463" t="s">
        <v>59</v>
      </c>
      <c r="P463" t="s">
        <v>259</v>
      </c>
      <c r="Q463" t="s">
        <v>502</v>
      </c>
      <c r="R463" t="s">
        <v>260</v>
      </c>
      <c r="S463" t="s">
        <v>98</v>
      </c>
      <c r="T463">
        <v>259.51</v>
      </c>
      <c r="U463">
        <v>251.90199999999999</v>
      </c>
      <c r="V463">
        <f>(T463+U463)/2</f>
        <v>255.70599999999999</v>
      </c>
      <c r="W463">
        <f>T463-U463</f>
        <v>7.6080000000000041</v>
      </c>
      <c r="X463">
        <v>44.416668000000001</v>
      </c>
      <c r="Y463">
        <v>-24</v>
      </c>
      <c r="Z463" t="s">
        <v>99</v>
      </c>
      <c r="AA463" t="s">
        <v>692</v>
      </c>
      <c r="AB463" t="s">
        <v>693</v>
      </c>
      <c r="AD463" t="s">
        <v>694</v>
      </c>
      <c r="AE463" t="s">
        <v>695</v>
      </c>
      <c r="AH463" t="s">
        <v>65</v>
      </c>
      <c r="AI463" t="s">
        <v>1063</v>
      </c>
      <c r="AJ463">
        <v>1926</v>
      </c>
      <c r="AK463" t="s">
        <v>697</v>
      </c>
      <c r="AM463" t="s">
        <v>698</v>
      </c>
      <c r="AN463" t="s">
        <v>121</v>
      </c>
      <c r="AO463" t="s">
        <v>330</v>
      </c>
      <c r="AP463" t="s">
        <v>182</v>
      </c>
      <c r="AQ463" t="s">
        <v>699</v>
      </c>
      <c r="AR463" t="s">
        <v>70</v>
      </c>
      <c r="AS463">
        <v>702</v>
      </c>
      <c r="AT463" t="s">
        <v>71</v>
      </c>
      <c r="AU463">
        <v>22.51</v>
      </c>
      <c r="AV463">
        <v>-42.93</v>
      </c>
      <c r="AW463" t="s">
        <v>72</v>
      </c>
      <c r="AX463">
        <v>702</v>
      </c>
      <c r="AY463" t="s">
        <v>71</v>
      </c>
      <c r="AZ463">
        <v>24.25</v>
      </c>
      <c r="BA463">
        <v>-52.74</v>
      </c>
      <c r="BB463" t="s">
        <v>73</v>
      </c>
    </row>
    <row r="464" spans="1:54" x14ac:dyDescent="0.4">
      <c r="A464">
        <v>1285964</v>
      </c>
      <c r="D464" t="s">
        <v>246</v>
      </c>
      <c r="E464" t="s">
        <v>55</v>
      </c>
      <c r="G464">
        <v>1</v>
      </c>
      <c r="H464" t="s">
        <v>56</v>
      </c>
      <c r="I464" t="s">
        <v>57</v>
      </c>
      <c r="K464" t="s">
        <v>856</v>
      </c>
      <c r="L464" t="s">
        <v>1074</v>
      </c>
      <c r="M464" t="s">
        <v>59</v>
      </c>
      <c r="P464" t="s">
        <v>259</v>
      </c>
      <c r="Q464" t="s">
        <v>502</v>
      </c>
      <c r="R464" t="s">
        <v>260</v>
      </c>
      <c r="S464" t="s">
        <v>98</v>
      </c>
      <c r="T464">
        <v>259.51</v>
      </c>
      <c r="U464">
        <v>251.90199999999999</v>
      </c>
      <c r="V464">
        <f>(T464+U464)/2</f>
        <v>255.70599999999999</v>
      </c>
      <c r="W464">
        <f>T464-U464</f>
        <v>7.6080000000000041</v>
      </c>
      <c r="X464">
        <v>44.416668000000001</v>
      </c>
      <c r="Y464">
        <v>-24</v>
      </c>
      <c r="Z464" t="s">
        <v>99</v>
      </c>
      <c r="AA464" t="s">
        <v>692</v>
      </c>
      <c r="AB464" t="s">
        <v>693</v>
      </c>
      <c r="AD464" t="s">
        <v>694</v>
      </c>
      <c r="AE464" t="s">
        <v>695</v>
      </c>
      <c r="AH464" t="s">
        <v>65</v>
      </c>
      <c r="AI464" t="s">
        <v>1063</v>
      </c>
      <c r="AJ464">
        <v>1926</v>
      </c>
      <c r="AK464" t="s">
        <v>697</v>
      </c>
      <c r="AM464" t="s">
        <v>698</v>
      </c>
      <c r="AN464" t="s">
        <v>121</v>
      </c>
      <c r="AO464" t="s">
        <v>330</v>
      </c>
      <c r="AP464" t="s">
        <v>182</v>
      </c>
      <c r="AQ464" t="s">
        <v>699</v>
      </c>
      <c r="AR464" t="s">
        <v>70</v>
      </c>
      <c r="AS464">
        <v>702</v>
      </c>
      <c r="AT464" t="s">
        <v>71</v>
      </c>
      <c r="AU464">
        <v>22.51</v>
      </c>
      <c r="AV464">
        <v>-42.93</v>
      </c>
      <c r="AW464" t="s">
        <v>72</v>
      </c>
      <c r="AX464">
        <v>702</v>
      </c>
      <c r="AY464" t="s">
        <v>71</v>
      </c>
      <c r="AZ464">
        <v>24.25</v>
      </c>
      <c r="BA464">
        <v>-52.74</v>
      </c>
      <c r="BB464" t="s">
        <v>73</v>
      </c>
    </row>
    <row r="465" spans="1:54" x14ac:dyDescent="0.4">
      <c r="A465">
        <v>1285964</v>
      </c>
      <c r="D465" t="s">
        <v>246</v>
      </c>
      <c r="E465" t="s">
        <v>55</v>
      </c>
      <c r="G465">
        <v>1</v>
      </c>
      <c r="H465" t="s">
        <v>56</v>
      </c>
      <c r="I465" t="s">
        <v>57</v>
      </c>
      <c r="K465" t="s">
        <v>856</v>
      </c>
      <c r="L465" t="s">
        <v>1074</v>
      </c>
      <c r="M465" t="s">
        <v>59</v>
      </c>
      <c r="P465" t="s">
        <v>259</v>
      </c>
      <c r="Q465" t="s">
        <v>502</v>
      </c>
      <c r="R465" t="s">
        <v>260</v>
      </c>
      <c r="S465" t="s">
        <v>98</v>
      </c>
      <c r="T465">
        <v>259.51</v>
      </c>
      <c r="U465">
        <v>251.90199999999999</v>
      </c>
      <c r="V465">
        <f>(T465+U465)/2</f>
        <v>255.70599999999999</v>
      </c>
      <c r="W465">
        <f>T465-U465</f>
        <v>7.6080000000000041</v>
      </c>
      <c r="X465">
        <v>44.416668000000001</v>
      </c>
      <c r="Y465">
        <v>-24</v>
      </c>
      <c r="Z465" t="s">
        <v>99</v>
      </c>
      <c r="AA465" t="s">
        <v>692</v>
      </c>
      <c r="AB465" t="s">
        <v>693</v>
      </c>
      <c r="AD465" t="s">
        <v>694</v>
      </c>
      <c r="AE465" t="s">
        <v>695</v>
      </c>
      <c r="AH465" t="s">
        <v>65</v>
      </c>
      <c r="AI465" t="s">
        <v>1063</v>
      </c>
      <c r="AJ465">
        <v>1926</v>
      </c>
      <c r="AK465" t="s">
        <v>697</v>
      </c>
      <c r="AM465" t="s">
        <v>698</v>
      </c>
      <c r="AN465" t="s">
        <v>121</v>
      </c>
      <c r="AO465" t="s">
        <v>330</v>
      </c>
      <c r="AP465" t="s">
        <v>182</v>
      </c>
      <c r="AQ465" t="s">
        <v>699</v>
      </c>
      <c r="AR465" t="s">
        <v>70</v>
      </c>
      <c r="AS465">
        <v>702</v>
      </c>
      <c r="AT465" t="s">
        <v>71</v>
      </c>
      <c r="AU465">
        <v>22.51</v>
      </c>
      <c r="AV465">
        <v>-42.93</v>
      </c>
      <c r="AW465" t="s">
        <v>72</v>
      </c>
      <c r="AX465">
        <v>702</v>
      </c>
      <c r="AY465" t="s">
        <v>71</v>
      </c>
      <c r="AZ465">
        <v>24.25</v>
      </c>
      <c r="BA465">
        <v>-52.74</v>
      </c>
      <c r="BB465" t="s">
        <v>73</v>
      </c>
    </row>
    <row r="466" spans="1:54" x14ac:dyDescent="0.4">
      <c r="A466">
        <v>1285964</v>
      </c>
      <c r="D466" t="s">
        <v>246</v>
      </c>
      <c r="E466" t="s">
        <v>55</v>
      </c>
      <c r="G466">
        <v>1</v>
      </c>
      <c r="H466" t="s">
        <v>56</v>
      </c>
      <c r="I466" t="s">
        <v>57</v>
      </c>
      <c r="K466" t="s">
        <v>856</v>
      </c>
      <c r="L466" t="s">
        <v>1074</v>
      </c>
      <c r="M466" t="s">
        <v>59</v>
      </c>
      <c r="P466" t="s">
        <v>259</v>
      </c>
      <c r="Q466" t="s">
        <v>502</v>
      </c>
      <c r="R466" t="s">
        <v>260</v>
      </c>
      <c r="S466" t="s">
        <v>98</v>
      </c>
      <c r="T466">
        <v>259.51</v>
      </c>
      <c r="U466">
        <v>251.90199999999999</v>
      </c>
      <c r="V466">
        <f>(T466+U466)/2</f>
        <v>255.70599999999999</v>
      </c>
      <c r="W466">
        <f>T466-U466</f>
        <v>7.6080000000000041</v>
      </c>
      <c r="X466">
        <v>44.416668000000001</v>
      </c>
      <c r="Y466">
        <v>-24</v>
      </c>
      <c r="Z466" t="s">
        <v>99</v>
      </c>
      <c r="AA466" t="s">
        <v>692</v>
      </c>
      <c r="AB466" t="s">
        <v>693</v>
      </c>
      <c r="AD466" t="s">
        <v>694</v>
      </c>
      <c r="AE466" t="s">
        <v>695</v>
      </c>
      <c r="AH466" t="s">
        <v>65</v>
      </c>
      <c r="AI466" t="s">
        <v>1063</v>
      </c>
      <c r="AJ466">
        <v>1926</v>
      </c>
      <c r="AK466" t="s">
        <v>697</v>
      </c>
      <c r="AM466" t="s">
        <v>698</v>
      </c>
      <c r="AN466" t="s">
        <v>121</v>
      </c>
      <c r="AO466" t="s">
        <v>330</v>
      </c>
      <c r="AP466" t="s">
        <v>182</v>
      </c>
      <c r="AQ466" t="s">
        <v>699</v>
      </c>
      <c r="AR466" t="s">
        <v>70</v>
      </c>
      <c r="AS466">
        <v>702</v>
      </c>
      <c r="AT466" t="s">
        <v>71</v>
      </c>
      <c r="AU466">
        <v>22.51</v>
      </c>
      <c r="AV466">
        <v>-42.93</v>
      </c>
      <c r="AW466" t="s">
        <v>72</v>
      </c>
      <c r="AX466">
        <v>702</v>
      </c>
      <c r="AY466" t="s">
        <v>71</v>
      </c>
      <c r="AZ466">
        <v>24.25</v>
      </c>
      <c r="BA466">
        <v>-52.74</v>
      </c>
      <c r="BB466" t="s">
        <v>73</v>
      </c>
    </row>
    <row r="467" spans="1:54" x14ac:dyDescent="0.4">
      <c r="A467">
        <v>1285964</v>
      </c>
      <c r="D467" t="s">
        <v>246</v>
      </c>
      <c r="E467" t="s">
        <v>55</v>
      </c>
      <c r="G467">
        <v>1</v>
      </c>
      <c r="H467" t="s">
        <v>56</v>
      </c>
      <c r="I467" t="s">
        <v>57</v>
      </c>
      <c r="K467" t="s">
        <v>856</v>
      </c>
      <c r="L467" t="s">
        <v>1074</v>
      </c>
      <c r="M467" t="s">
        <v>59</v>
      </c>
      <c r="P467" t="s">
        <v>259</v>
      </c>
      <c r="Q467" t="s">
        <v>502</v>
      </c>
      <c r="R467" t="s">
        <v>260</v>
      </c>
      <c r="S467" t="s">
        <v>98</v>
      </c>
      <c r="T467">
        <v>259.51</v>
      </c>
      <c r="U467">
        <v>251.90199999999999</v>
      </c>
      <c r="V467">
        <f>(T467+U467)/2</f>
        <v>255.70599999999999</v>
      </c>
      <c r="W467">
        <f>T467-U467</f>
        <v>7.6080000000000041</v>
      </c>
      <c r="X467">
        <v>44.416668000000001</v>
      </c>
      <c r="Y467">
        <v>-24</v>
      </c>
      <c r="Z467" t="s">
        <v>99</v>
      </c>
      <c r="AA467" t="s">
        <v>692</v>
      </c>
      <c r="AB467" t="s">
        <v>693</v>
      </c>
      <c r="AD467" t="s">
        <v>694</v>
      </c>
      <c r="AE467" t="s">
        <v>695</v>
      </c>
      <c r="AH467" t="s">
        <v>65</v>
      </c>
      <c r="AI467" t="s">
        <v>1063</v>
      </c>
      <c r="AJ467">
        <v>1926</v>
      </c>
      <c r="AK467" t="s">
        <v>697</v>
      </c>
      <c r="AM467" t="s">
        <v>698</v>
      </c>
      <c r="AN467" t="s">
        <v>121</v>
      </c>
      <c r="AO467" t="s">
        <v>330</v>
      </c>
      <c r="AP467" t="s">
        <v>182</v>
      </c>
      <c r="AQ467" t="s">
        <v>699</v>
      </c>
      <c r="AR467" t="s">
        <v>70</v>
      </c>
      <c r="AS467">
        <v>702</v>
      </c>
      <c r="AT467" t="s">
        <v>71</v>
      </c>
      <c r="AU467">
        <v>22.51</v>
      </c>
      <c r="AV467">
        <v>-42.93</v>
      </c>
      <c r="AW467" t="s">
        <v>72</v>
      </c>
      <c r="AX467">
        <v>702</v>
      </c>
      <c r="AY467" t="s">
        <v>71</v>
      </c>
      <c r="AZ467">
        <v>24.25</v>
      </c>
      <c r="BA467">
        <v>-52.74</v>
      </c>
      <c r="BB467" t="s">
        <v>73</v>
      </c>
    </row>
    <row r="468" spans="1:54" x14ac:dyDescent="0.4">
      <c r="A468">
        <v>1285964</v>
      </c>
      <c r="D468" t="s">
        <v>246</v>
      </c>
      <c r="E468" t="s">
        <v>55</v>
      </c>
      <c r="G468">
        <v>1</v>
      </c>
      <c r="H468" t="s">
        <v>56</v>
      </c>
      <c r="I468" t="s">
        <v>57</v>
      </c>
      <c r="K468" t="s">
        <v>856</v>
      </c>
      <c r="L468" t="s">
        <v>1074</v>
      </c>
      <c r="M468" t="s">
        <v>59</v>
      </c>
      <c r="P468" t="s">
        <v>259</v>
      </c>
      <c r="Q468" t="s">
        <v>502</v>
      </c>
      <c r="R468" t="s">
        <v>260</v>
      </c>
      <c r="S468" t="s">
        <v>98</v>
      </c>
      <c r="T468">
        <v>259.51</v>
      </c>
      <c r="U468">
        <v>251.90199999999999</v>
      </c>
      <c r="V468">
        <f>(T468+U468)/2</f>
        <v>255.70599999999999</v>
      </c>
      <c r="W468">
        <f>T468-U468</f>
        <v>7.6080000000000041</v>
      </c>
      <c r="X468">
        <v>44.416668000000001</v>
      </c>
      <c r="Y468">
        <v>-24</v>
      </c>
      <c r="Z468" t="s">
        <v>99</v>
      </c>
      <c r="AA468" t="s">
        <v>692</v>
      </c>
      <c r="AB468" t="s">
        <v>693</v>
      </c>
      <c r="AD468" t="s">
        <v>694</v>
      </c>
      <c r="AE468" t="s">
        <v>695</v>
      </c>
      <c r="AH468" t="s">
        <v>65</v>
      </c>
      <c r="AI468" t="s">
        <v>1063</v>
      </c>
      <c r="AJ468">
        <v>1926</v>
      </c>
      <c r="AK468" t="s">
        <v>697</v>
      </c>
      <c r="AM468" t="s">
        <v>698</v>
      </c>
      <c r="AN468" t="s">
        <v>121</v>
      </c>
      <c r="AO468" t="s">
        <v>330</v>
      </c>
      <c r="AP468" t="s">
        <v>182</v>
      </c>
      <c r="AQ468" t="s">
        <v>699</v>
      </c>
      <c r="AR468" t="s">
        <v>70</v>
      </c>
      <c r="AS468">
        <v>702</v>
      </c>
      <c r="AT468" t="s">
        <v>71</v>
      </c>
      <c r="AU468">
        <v>22.51</v>
      </c>
      <c r="AV468">
        <v>-42.93</v>
      </c>
      <c r="AW468" t="s">
        <v>72</v>
      </c>
      <c r="AX468">
        <v>702</v>
      </c>
      <c r="AY468" t="s">
        <v>71</v>
      </c>
      <c r="AZ468">
        <v>24.25</v>
      </c>
      <c r="BA468">
        <v>-52.74</v>
      </c>
      <c r="BB468" t="s">
        <v>73</v>
      </c>
    </row>
    <row r="469" spans="1:54" x14ac:dyDescent="0.4">
      <c r="A469">
        <v>1285964</v>
      </c>
      <c r="D469" t="s">
        <v>246</v>
      </c>
      <c r="E469" t="s">
        <v>55</v>
      </c>
      <c r="G469">
        <v>1</v>
      </c>
      <c r="H469" t="s">
        <v>56</v>
      </c>
      <c r="I469" t="s">
        <v>57</v>
      </c>
      <c r="K469" t="s">
        <v>856</v>
      </c>
      <c r="L469" t="s">
        <v>1074</v>
      </c>
      <c r="M469" t="s">
        <v>59</v>
      </c>
      <c r="P469" t="s">
        <v>259</v>
      </c>
      <c r="Q469" t="s">
        <v>502</v>
      </c>
      <c r="R469" t="s">
        <v>260</v>
      </c>
      <c r="S469" t="s">
        <v>98</v>
      </c>
      <c r="T469">
        <v>259.51</v>
      </c>
      <c r="U469">
        <v>251.90199999999999</v>
      </c>
      <c r="V469">
        <f>(T469+U469)/2</f>
        <v>255.70599999999999</v>
      </c>
      <c r="W469">
        <f>T469-U469</f>
        <v>7.6080000000000041</v>
      </c>
      <c r="X469">
        <v>44.416668000000001</v>
      </c>
      <c r="Y469">
        <v>-24</v>
      </c>
      <c r="Z469" t="s">
        <v>99</v>
      </c>
      <c r="AA469" t="s">
        <v>692</v>
      </c>
      <c r="AB469" t="s">
        <v>693</v>
      </c>
      <c r="AD469" t="s">
        <v>694</v>
      </c>
      <c r="AE469" t="s">
        <v>695</v>
      </c>
      <c r="AH469" t="s">
        <v>65</v>
      </c>
      <c r="AI469" t="s">
        <v>1063</v>
      </c>
      <c r="AJ469">
        <v>1926</v>
      </c>
      <c r="AK469" t="s">
        <v>697</v>
      </c>
      <c r="AM469" t="s">
        <v>698</v>
      </c>
      <c r="AN469" t="s">
        <v>121</v>
      </c>
      <c r="AO469" t="s">
        <v>330</v>
      </c>
      <c r="AP469" t="s">
        <v>182</v>
      </c>
      <c r="AQ469" t="s">
        <v>699</v>
      </c>
      <c r="AR469" t="s">
        <v>70</v>
      </c>
      <c r="AS469">
        <v>702</v>
      </c>
      <c r="AT469" t="s">
        <v>71</v>
      </c>
      <c r="AU469">
        <v>22.51</v>
      </c>
      <c r="AV469">
        <v>-42.93</v>
      </c>
      <c r="AW469" t="s">
        <v>72</v>
      </c>
      <c r="AX469">
        <v>702</v>
      </c>
      <c r="AY469" t="s">
        <v>71</v>
      </c>
      <c r="AZ469">
        <v>24.25</v>
      </c>
      <c r="BA469">
        <v>-52.74</v>
      </c>
      <c r="BB469" t="s">
        <v>73</v>
      </c>
    </row>
    <row r="470" spans="1:54" x14ac:dyDescent="0.4">
      <c r="A470">
        <v>1285964</v>
      </c>
      <c r="D470" t="s">
        <v>246</v>
      </c>
      <c r="E470" t="s">
        <v>55</v>
      </c>
      <c r="G470">
        <v>1</v>
      </c>
      <c r="H470" t="s">
        <v>56</v>
      </c>
      <c r="I470" t="s">
        <v>57</v>
      </c>
      <c r="K470" t="s">
        <v>856</v>
      </c>
      <c r="L470" t="s">
        <v>1074</v>
      </c>
      <c r="M470" t="s">
        <v>59</v>
      </c>
      <c r="P470" t="s">
        <v>259</v>
      </c>
      <c r="Q470" t="s">
        <v>502</v>
      </c>
      <c r="R470" t="s">
        <v>260</v>
      </c>
      <c r="S470" t="s">
        <v>98</v>
      </c>
      <c r="T470">
        <v>259.51</v>
      </c>
      <c r="U470">
        <v>251.90199999999999</v>
      </c>
      <c r="V470">
        <f>(T470+U470)/2</f>
        <v>255.70599999999999</v>
      </c>
      <c r="W470">
        <f>T470-U470</f>
        <v>7.6080000000000041</v>
      </c>
      <c r="X470">
        <v>44.416668000000001</v>
      </c>
      <c r="Y470">
        <v>-24</v>
      </c>
      <c r="Z470" t="s">
        <v>99</v>
      </c>
      <c r="AA470" t="s">
        <v>692</v>
      </c>
      <c r="AB470" t="s">
        <v>693</v>
      </c>
      <c r="AD470" t="s">
        <v>694</v>
      </c>
      <c r="AE470" t="s">
        <v>695</v>
      </c>
      <c r="AH470" t="s">
        <v>65</v>
      </c>
      <c r="AI470" t="s">
        <v>1063</v>
      </c>
      <c r="AJ470">
        <v>1926</v>
      </c>
      <c r="AK470" t="s">
        <v>697</v>
      </c>
      <c r="AM470" t="s">
        <v>698</v>
      </c>
      <c r="AN470" t="s">
        <v>121</v>
      </c>
      <c r="AO470" t="s">
        <v>330</v>
      </c>
      <c r="AP470" t="s">
        <v>182</v>
      </c>
      <c r="AQ470" t="s">
        <v>699</v>
      </c>
      <c r="AR470" t="s">
        <v>70</v>
      </c>
      <c r="AS470">
        <v>702</v>
      </c>
      <c r="AT470" t="s">
        <v>71</v>
      </c>
      <c r="AU470">
        <v>22.51</v>
      </c>
      <c r="AV470">
        <v>-42.93</v>
      </c>
      <c r="AW470" t="s">
        <v>72</v>
      </c>
      <c r="AX470">
        <v>702</v>
      </c>
      <c r="AY470" t="s">
        <v>71</v>
      </c>
      <c r="AZ470">
        <v>24.25</v>
      </c>
      <c r="BA470">
        <v>-52.74</v>
      </c>
      <c r="BB470" t="s">
        <v>73</v>
      </c>
    </row>
    <row r="471" spans="1:54" x14ac:dyDescent="0.4">
      <c r="A471">
        <v>1285964</v>
      </c>
      <c r="D471" t="s">
        <v>246</v>
      </c>
      <c r="E471" t="s">
        <v>55</v>
      </c>
      <c r="G471">
        <v>1</v>
      </c>
      <c r="H471" t="s">
        <v>56</v>
      </c>
      <c r="I471" t="s">
        <v>57</v>
      </c>
      <c r="K471" t="s">
        <v>856</v>
      </c>
      <c r="L471" t="s">
        <v>1074</v>
      </c>
      <c r="M471" t="s">
        <v>59</v>
      </c>
      <c r="P471" t="s">
        <v>259</v>
      </c>
      <c r="Q471" t="s">
        <v>502</v>
      </c>
      <c r="R471" t="s">
        <v>260</v>
      </c>
      <c r="S471" t="s">
        <v>98</v>
      </c>
      <c r="T471">
        <v>259.51</v>
      </c>
      <c r="U471">
        <v>251.90199999999999</v>
      </c>
      <c r="V471">
        <f>(T471+U471)/2</f>
        <v>255.70599999999999</v>
      </c>
      <c r="W471">
        <f>T471-U471</f>
        <v>7.6080000000000041</v>
      </c>
      <c r="X471">
        <v>44.416668000000001</v>
      </c>
      <c r="Y471">
        <v>-24</v>
      </c>
      <c r="Z471" t="s">
        <v>99</v>
      </c>
      <c r="AA471" t="s">
        <v>692</v>
      </c>
      <c r="AB471" t="s">
        <v>693</v>
      </c>
      <c r="AD471" t="s">
        <v>694</v>
      </c>
      <c r="AE471" t="s">
        <v>695</v>
      </c>
      <c r="AH471" t="s">
        <v>65</v>
      </c>
      <c r="AI471" t="s">
        <v>1063</v>
      </c>
      <c r="AJ471">
        <v>1926</v>
      </c>
      <c r="AK471" t="s">
        <v>697</v>
      </c>
      <c r="AM471" t="s">
        <v>698</v>
      </c>
      <c r="AN471" t="s">
        <v>121</v>
      </c>
      <c r="AO471" t="s">
        <v>330</v>
      </c>
      <c r="AP471" t="s">
        <v>182</v>
      </c>
      <c r="AQ471" t="s">
        <v>699</v>
      </c>
      <c r="AR471" t="s">
        <v>70</v>
      </c>
      <c r="AS471">
        <v>702</v>
      </c>
      <c r="AT471" t="s">
        <v>71</v>
      </c>
      <c r="AU471">
        <v>22.51</v>
      </c>
      <c r="AV471">
        <v>-42.93</v>
      </c>
      <c r="AW471" t="s">
        <v>72</v>
      </c>
      <c r="AX471">
        <v>702</v>
      </c>
      <c r="AY471" t="s">
        <v>71</v>
      </c>
      <c r="AZ471">
        <v>24.25</v>
      </c>
      <c r="BA471">
        <v>-52.74</v>
      </c>
      <c r="BB471" t="s">
        <v>73</v>
      </c>
    </row>
    <row r="472" spans="1:54" x14ac:dyDescent="0.4">
      <c r="A472">
        <v>1285964</v>
      </c>
      <c r="D472" t="s">
        <v>246</v>
      </c>
      <c r="E472" t="s">
        <v>55</v>
      </c>
      <c r="G472">
        <v>1</v>
      </c>
      <c r="H472" t="s">
        <v>56</v>
      </c>
      <c r="I472" t="s">
        <v>57</v>
      </c>
      <c r="K472" t="s">
        <v>856</v>
      </c>
      <c r="L472" t="s">
        <v>1074</v>
      </c>
      <c r="M472" t="s">
        <v>59</v>
      </c>
      <c r="P472" t="s">
        <v>259</v>
      </c>
      <c r="Q472" t="s">
        <v>502</v>
      </c>
      <c r="R472" t="s">
        <v>260</v>
      </c>
      <c r="S472" t="s">
        <v>98</v>
      </c>
      <c r="T472">
        <v>259.51</v>
      </c>
      <c r="U472">
        <v>251.90199999999999</v>
      </c>
      <c r="V472">
        <f>(T472+U472)/2</f>
        <v>255.70599999999999</v>
      </c>
      <c r="W472">
        <f>T472-U472</f>
        <v>7.6080000000000041</v>
      </c>
      <c r="X472">
        <v>44.416668000000001</v>
      </c>
      <c r="Y472">
        <v>-24</v>
      </c>
      <c r="Z472" t="s">
        <v>99</v>
      </c>
      <c r="AA472" t="s">
        <v>692</v>
      </c>
      <c r="AB472" t="s">
        <v>693</v>
      </c>
      <c r="AD472" t="s">
        <v>694</v>
      </c>
      <c r="AE472" t="s">
        <v>695</v>
      </c>
      <c r="AH472" t="s">
        <v>65</v>
      </c>
      <c r="AI472" t="s">
        <v>1063</v>
      </c>
      <c r="AJ472">
        <v>1926</v>
      </c>
      <c r="AK472" t="s">
        <v>697</v>
      </c>
      <c r="AM472" t="s">
        <v>698</v>
      </c>
      <c r="AN472" t="s">
        <v>121</v>
      </c>
      <c r="AO472" t="s">
        <v>330</v>
      </c>
      <c r="AP472" t="s">
        <v>182</v>
      </c>
      <c r="AQ472" t="s">
        <v>699</v>
      </c>
      <c r="AR472" t="s">
        <v>70</v>
      </c>
      <c r="AS472">
        <v>702</v>
      </c>
      <c r="AT472" t="s">
        <v>71</v>
      </c>
      <c r="AU472">
        <v>22.51</v>
      </c>
      <c r="AV472">
        <v>-42.93</v>
      </c>
      <c r="AW472" t="s">
        <v>72</v>
      </c>
      <c r="AX472">
        <v>702</v>
      </c>
      <c r="AY472" t="s">
        <v>71</v>
      </c>
      <c r="AZ472">
        <v>24.25</v>
      </c>
      <c r="BA472">
        <v>-52.74</v>
      </c>
      <c r="BB472" t="s">
        <v>73</v>
      </c>
    </row>
    <row r="473" spans="1:54" x14ac:dyDescent="0.4">
      <c r="A473">
        <v>1285964</v>
      </c>
      <c r="D473" t="s">
        <v>246</v>
      </c>
      <c r="E473" t="s">
        <v>55</v>
      </c>
      <c r="G473">
        <v>1</v>
      </c>
      <c r="H473" t="s">
        <v>56</v>
      </c>
      <c r="I473" t="s">
        <v>57</v>
      </c>
      <c r="K473" t="s">
        <v>856</v>
      </c>
      <c r="L473" t="s">
        <v>1074</v>
      </c>
      <c r="M473" t="s">
        <v>59</v>
      </c>
      <c r="P473" t="s">
        <v>259</v>
      </c>
      <c r="Q473" t="s">
        <v>502</v>
      </c>
      <c r="R473" t="s">
        <v>260</v>
      </c>
      <c r="S473" t="s">
        <v>98</v>
      </c>
      <c r="T473">
        <v>259.51</v>
      </c>
      <c r="U473">
        <v>251.90199999999999</v>
      </c>
      <c r="V473">
        <f>(T473+U473)/2</f>
        <v>255.70599999999999</v>
      </c>
      <c r="W473">
        <f>T473-U473</f>
        <v>7.6080000000000041</v>
      </c>
      <c r="X473">
        <v>44.416668000000001</v>
      </c>
      <c r="Y473">
        <v>-24</v>
      </c>
      <c r="Z473" t="s">
        <v>99</v>
      </c>
      <c r="AA473" t="s">
        <v>692</v>
      </c>
      <c r="AB473" t="s">
        <v>693</v>
      </c>
      <c r="AD473" t="s">
        <v>694</v>
      </c>
      <c r="AE473" t="s">
        <v>695</v>
      </c>
      <c r="AH473" t="s">
        <v>65</v>
      </c>
      <c r="AI473" t="s">
        <v>1063</v>
      </c>
      <c r="AJ473">
        <v>1926</v>
      </c>
      <c r="AK473" t="s">
        <v>697</v>
      </c>
      <c r="AM473" t="s">
        <v>698</v>
      </c>
      <c r="AN473" t="s">
        <v>121</v>
      </c>
      <c r="AO473" t="s">
        <v>330</v>
      </c>
      <c r="AP473" t="s">
        <v>182</v>
      </c>
      <c r="AQ473" t="s">
        <v>699</v>
      </c>
      <c r="AR473" t="s">
        <v>70</v>
      </c>
      <c r="AS473">
        <v>702</v>
      </c>
      <c r="AT473" t="s">
        <v>71</v>
      </c>
      <c r="AU473">
        <v>22.51</v>
      </c>
      <c r="AV473">
        <v>-42.93</v>
      </c>
      <c r="AW473" t="s">
        <v>72</v>
      </c>
      <c r="AX473">
        <v>702</v>
      </c>
      <c r="AY473" t="s">
        <v>71</v>
      </c>
      <c r="AZ473">
        <v>24.25</v>
      </c>
      <c r="BA473">
        <v>-52.74</v>
      </c>
      <c r="BB473" t="s">
        <v>73</v>
      </c>
    </row>
    <row r="474" spans="1:54" x14ac:dyDescent="0.4">
      <c r="A474">
        <v>1285964</v>
      </c>
      <c r="D474" t="s">
        <v>246</v>
      </c>
      <c r="E474" t="s">
        <v>55</v>
      </c>
      <c r="G474">
        <v>1</v>
      </c>
      <c r="H474" t="s">
        <v>56</v>
      </c>
      <c r="I474" t="s">
        <v>57</v>
      </c>
      <c r="K474" t="s">
        <v>856</v>
      </c>
      <c r="L474" t="s">
        <v>1074</v>
      </c>
      <c r="M474" t="s">
        <v>59</v>
      </c>
      <c r="P474" t="s">
        <v>259</v>
      </c>
      <c r="Q474" t="s">
        <v>502</v>
      </c>
      <c r="R474" t="s">
        <v>260</v>
      </c>
      <c r="S474" t="s">
        <v>98</v>
      </c>
      <c r="T474">
        <v>259.51</v>
      </c>
      <c r="U474">
        <v>251.90199999999999</v>
      </c>
      <c r="V474">
        <f>(T474+U474)/2</f>
        <v>255.70599999999999</v>
      </c>
      <c r="W474">
        <f>T474-U474</f>
        <v>7.6080000000000041</v>
      </c>
      <c r="X474">
        <v>44.416668000000001</v>
      </c>
      <c r="Y474">
        <v>-24</v>
      </c>
      <c r="Z474" t="s">
        <v>99</v>
      </c>
      <c r="AA474" t="s">
        <v>692</v>
      </c>
      <c r="AB474" t="s">
        <v>693</v>
      </c>
      <c r="AD474" t="s">
        <v>694</v>
      </c>
      <c r="AE474" t="s">
        <v>695</v>
      </c>
      <c r="AH474" t="s">
        <v>65</v>
      </c>
      <c r="AI474" t="s">
        <v>1063</v>
      </c>
      <c r="AJ474">
        <v>1926</v>
      </c>
      <c r="AK474" t="s">
        <v>697</v>
      </c>
      <c r="AM474" t="s">
        <v>698</v>
      </c>
      <c r="AN474" t="s">
        <v>121</v>
      </c>
      <c r="AO474" t="s">
        <v>330</v>
      </c>
      <c r="AP474" t="s">
        <v>182</v>
      </c>
      <c r="AQ474" t="s">
        <v>699</v>
      </c>
      <c r="AR474" t="s">
        <v>70</v>
      </c>
      <c r="AS474">
        <v>702</v>
      </c>
      <c r="AT474" t="s">
        <v>71</v>
      </c>
      <c r="AU474">
        <v>22.51</v>
      </c>
      <c r="AV474">
        <v>-42.93</v>
      </c>
      <c r="AW474" t="s">
        <v>72</v>
      </c>
      <c r="AX474">
        <v>702</v>
      </c>
      <c r="AY474" t="s">
        <v>71</v>
      </c>
      <c r="AZ474">
        <v>24.25</v>
      </c>
      <c r="BA474">
        <v>-52.74</v>
      </c>
      <c r="BB474" t="s">
        <v>73</v>
      </c>
    </row>
    <row r="475" spans="1:54" x14ac:dyDescent="0.4">
      <c r="A475">
        <v>1285964</v>
      </c>
      <c r="D475" t="s">
        <v>246</v>
      </c>
      <c r="E475" t="s">
        <v>55</v>
      </c>
      <c r="G475">
        <v>1</v>
      </c>
      <c r="H475" t="s">
        <v>56</v>
      </c>
      <c r="I475" t="s">
        <v>57</v>
      </c>
      <c r="K475" t="s">
        <v>856</v>
      </c>
      <c r="L475" t="s">
        <v>1074</v>
      </c>
      <c r="M475" t="s">
        <v>59</v>
      </c>
      <c r="P475" t="s">
        <v>259</v>
      </c>
      <c r="Q475" t="s">
        <v>502</v>
      </c>
      <c r="R475" t="s">
        <v>260</v>
      </c>
      <c r="S475" t="s">
        <v>98</v>
      </c>
      <c r="T475">
        <v>259.51</v>
      </c>
      <c r="U475">
        <v>251.90199999999999</v>
      </c>
      <c r="V475">
        <f>(T475+U475)/2</f>
        <v>255.70599999999999</v>
      </c>
      <c r="W475">
        <f>T475-U475</f>
        <v>7.6080000000000041</v>
      </c>
      <c r="X475">
        <v>44.416668000000001</v>
      </c>
      <c r="Y475">
        <v>-24</v>
      </c>
      <c r="Z475" t="s">
        <v>99</v>
      </c>
      <c r="AA475" t="s">
        <v>692</v>
      </c>
      <c r="AB475" t="s">
        <v>693</v>
      </c>
      <c r="AD475" t="s">
        <v>694</v>
      </c>
      <c r="AE475" t="s">
        <v>695</v>
      </c>
      <c r="AH475" t="s">
        <v>65</v>
      </c>
      <c r="AI475" t="s">
        <v>1063</v>
      </c>
      <c r="AJ475">
        <v>1926</v>
      </c>
      <c r="AK475" t="s">
        <v>697</v>
      </c>
      <c r="AM475" t="s">
        <v>698</v>
      </c>
      <c r="AN475" t="s">
        <v>121</v>
      </c>
      <c r="AO475" t="s">
        <v>330</v>
      </c>
      <c r="AP475" t="s">
        <v>182</v>
      </c>
      <c r="AQ475" t="s">
        <v>699</v>
      </c>
      <c r="AR475" t="s">
        <v>70</v>
      </c>
      <c r="AS475">
        <v>702</v>
      </c>
      <c r="AT475" t="s">
        <v>71</v>
      </c>
      <c r="AU475">
        <v>22.51</v>
      </c>
      <c r="AV475">
        <v>-42.93</v>
      </c>
      <c r="AW475" t="s">
        <v>72</v>
      </c>
      <c r="AX475">
        <v>702</v>
      </c>
      <c r="AY475" t="s">
        <v>71</v>
      </c>
      <c r="AZ475">
        <v>24.25</v>
      </c>
      <c r="BA475">
        <v>-52.74</v>
      </c>
      <c r="BB475" t="s">
        <v>73</v>
      </c>
    </row>
    <row r="476" spans="1:54" x14ac:dyDescent="0.4">
      <c r="A476">
        <v>1285964</v>
      </c>
      <c r="D476" t="s">
        <v>246</v>
      </c>
      <c r="E476" t="s">
        <v>55</v>
      </c>
      <c r="G476">
        <v>1</v>
      </c>
      <c r="H476" t="s">
        <v>56</v>
      </c>
      <c r="I476" t="s">
        <v>57</v>
      </c>
      <c r="K476" t="s">
        <v>856</v>
      </c>
      <c r="L476" t="s">
        <v>1074</v>
      </c>
      <c r="M476" t="s">
        <v>59</v>
      </c>
      <c r="P476" t="s">
        <v>259</v>
      </c>
      <c r="Q476" t="s">
        <v>502</v>
      </c>
      <c r="R476" t="s">
        <v>260</v>
      </c>
      <c r="S476" t="s">
        <v>98</v>
      </c>
      <c r="T476">
        <v>259.51</v>
      </c>
      <c r="U476">
        <v>251.90199999999999</v>
      </c>
      <c r="V476">
        <f>(T476+U476)/2</f>
        <v>255.70599999999999</v>
      </c>
      <c r="W476">
        <f>T476-U476</f>
        <v>7.6080000000000041</v>
      </c>
      <c r="X476">
        <v>44.416668000000001</v>
      </c>
      <c r="Y476">
        <v>-24</v>
      </c>
      <c r="Z476" t="s">
        <v>99</v>
      </c>
      <c r="AA476" t="s">
        <v>692</v>
      </c>
      <c r="AB476" t="s">
        <v>693</v>
      </c>
      <c r="AD476" t="s">
        <v>694</v>
      </c>
      <c r="AE476" t="s">
        <v>695</v>
      </c>
      <c r="AH476" t="s">
        <v>65</v>
      </c>
      <c r="AI476" t="s">
        <v>1063</v>
      </c>
      <c r="AJ476">
        <v>1926</v>
      </c>
      <c r="AK476" t="s">
        <v>697</v>
      </c>
      <c r="AM476" t="s">
        <v>698</v>
      </c>
      <c r="AN476" t="s">
        <v>121</v>
      </c>
      <c r="AO476" t="s">
        <v>330</v>
      </c>
      <c r="AP476" t="s">
        <v>182</v>
      </c>
      <c r="AQ476" t="s">
        <v>699</v>
      </c>
      <c r="AR476" t="s">
        <v>70</v>
      </c>
      <c r="AS476">
        <v>702</v>
      </c>
      <c r="AT476" t="s">
        <v>71</v>
      </c>
      <c r="AU476">
        <v>22.51</v>
      </c>
      <c r="AV476">
        <v>-42.93</v>
      </c>
      <c r="AW476" t="s">
        <v>72</v>
      </c>
      <c r="AX476">
        <v>702</v>
      </c>
      <c r="AY476" t="s">
        <v>71</v>
      </c>
      <c r="AZ476">
        <v>24.25</v>
      </c>
      <c r="BA476">
        <v>-52.74</v>
      </c>
      <c r="BB476" t="s">
        <v>73</v>
      </c>
    </row>
    <row r="477" spans="1:54" x14ac:dyDescent="0.4">
      <c r="A477">
        <v>1285964</v>
      </c>
      <c r="D477" t="s">
        <v>246</v>
      </c>
      <c r="E477" t="s">
        <v>55</v>
      </c>
      <c r="G477">
        <v>1</v>
      </c>
      <c r="H477" t="s">
        <v>56</v>
      </c>
      <c r="I477" t="s">
        <v>57</v>
      </c>
      <c r="K477" t="s">
        <v>856</v>
      </c>
      <c r="L477" t="s">
        <v>1074</v>
      </c>
      <c r="M477" t="s">
        <v>59</v>
      </c>
      <c r="P477" t="s">
        <v>259</v>
      </c>
      <c r="Q477" t="s">
        <v>502</v>
      </c>
      <c r="R477" t="s">
        <v>260</v>
      </c>
      <c r="S477" t="s">
        <v>98</v>
      </c>
      <c r="T477">
        <v>259.51</v>
      </c>
      <c r="U477">
        <v>251.90199999999999</v>
      </c>
      <c r="V477">
        <f>(T477+U477)/2</f>
        <v>255.70599999999999</v>
      </c>
      <c r="W477">
        <f>T477-U477</f>
        <v>7.6080000000000041</v>
      </c>
      <c r="X477">
        <v>44.416668000000001</v>
      </c>
      <c r="Y477">
        <v>-24</v>
      </c>
      <c r="Z477" t="s">
        <v>99</v>
      </c>
      <c r="AA477" t="s">
        <v>692</v>
      </c>
      <c r="AB477" t="s">
        <v>693</v>
      </c>
      <c r="AD477" t="s">
        <v>694</v>
      </c>
      <c r="AE477" t="s">
        <v>695</v>
      </c>
      <c r="AH477" t="s">
        <v>65</v>
      </c>
      <c r="AI477" t="s">
        <v>1063</v>
      </c>
      <c r="AJ477">
        <v>1926</v>
      </c>
      <c r="AK477" t="s">
        <v>697</v>
      </c>
      <c r="AM477" t="s">
        <v>698</v>
      </c>
      <c r="AN477" t="s">
        <v>121</v>
      </c>
      <c r="AO477" t="s">
        <v>330</v>
      </c>
      <c r="AP477" t="s">
        <v>182</v>
      </c>
      <c r="AQ477" t="s">
        <v>699</v>
      </c>
      <c r="AR477" t="s">
        <v>70</v>
      </c>
      <c r="AS477">
        <v>702</v>
      </c>
      <c r="AT477" t="s">
        <v>71</v>
      </c>
      <c r="AU477">
        <v>22.51</v>
      </c>
      <c r="AV477">
        <v>-42.93</v>
      </c>
      <c r="AW477" t="s">
        <v>72</v>
      </c>
      <c r="AX477">
        <v>702</v>
      </c>
      <c r="AY477" t="s">
        <v>71</v>
      </c>
      <c r="AZ477">
        <v>24.25</v>
      </c>
      <c r="BA477">
        <v>-52.74</v>
      </c>
      <c r="BB477" t="s">
        <v>73</v>
      </c>
    </row>
    <row r="478" spans="1:54" x14ac:dyDescent="0.4">
      <c r="A478">
        <v>1285964</v>
      </c>
      <c r="D478" t="s">
        <v>246</v>
      </c>
      <c r="E478" t="s">
        <v>55</v>
      </c>
      <c r="G478">
        <v>1</v>
      </c>
      <c r="H478" t="s">
        <v>56</v>
      </c>
      <c r="I478" t="s">
        <v>57</v>
      </c>
      <c r="K478" t="s">
        <v>856</v>
      </c>
      <c r="L478" t="s">
        <v>1074</v>
      </c>
      <c r="M478" t="s">
        <v>59</v>
      </c>
      <c r="P478" t="s">
        <v>259</v>
      </c>
      <c r="Q478" t="s">
        <v>502</v>
      </c>
      <c r="R478" t="s">
        <v>260</v>
      </c>
      <c r="S478" t="s">
        <v>98</v>
      </c>
      <c r="T478">
        <v>259.51</v>
      </c>
      <c r="U478">
        <v>251.90199999999999</v>
      </c>
      <c r="V478">
        <f>(T478+U478)/2</f>
        <v>255.70599999999999</v>
      </c>
      <c r="W478">
        <f>T478-U478</f>
        <v>7.6080000000000041</v>
      </c>
      <c r="X478">
        <v>44.416668000000001</v>
      </c>
      <c r="Y478">
        <v>-24</v>
      </c>
      <c r="Z478" t="s">
        <v>99</v>
      </c>
      <c r="AA478" t="s">
        <v>692</v>
      </c>
      <c r="AB478" t="s">
        <v>693</v>
      </c>
      <c r="AD478" t="s">
        <v>694</v>
      </c>
      <c r="AE478" t="s">
        <v>695</v>
      </c>
      <c r="AH478" t="s">
        <v>65</v>
      </c>
      <c r="AI478" t="s">
        <v>1063</v>
      </c>
      <c r="AJ478">
        <v>1926</v>
      </c>
      <c r="AK478" t="s">
        <v>697</v>
      </c>
      <c r="AM478" t="s">
        <v>698</v>
      </c>
      <c r="AN478" t="s">
        <v>121</v>
      </c>
      <c r="AO478" t="s">
        <v>330</v>
      </c>
      <c r="AP478" t="s">
        <v>182</v>
      </c>
      <c r="AQ478" t="s">
        <v>699</v>
      </c>
      <c r="AR478" t="s">
        <v>70</v>
      </c>
      <c r="AS478">
        <v>702</v>
      </c>
      <c r="AT478" t="s">
        <v>71</v>
      </c>
      <c r="AU478">
        <v>22.51</v>
      </c>
      <c r="AV478">
        <v>-42.93</v>
      </c>
      <c r="AW478" t="s">
        <v>72</v>
      </c>
      <c r="AX478">
        <v>702</v>
      </c>
      <c r="AY478" t="s">
        <v>71</v>
      </c>
      <c r="AZ478">
        <v>24.25</v>
      </c>
      <c r="BA478">
        <v>-52.74</v>
      </c>
      <c r="BB478" t="s">
        <v>73</v>
      </c>
    </row>
    <row r="479" spans="1:54" x14ac:dyDescent="0.4">
      <c r="A479">
        <v>1285964</v>
      </c>
      <c r="D479" t="s">
        <v>246</v>
      </c>
      <c r="E479" t="s">
        <v>55</v>
      </c>
      <c r="G479">
        <v>1</v>
      </c>
      <c r="H479" t="s">
        <v>56</v>
      </c>
      <c r="I479" t="s">
        <v>57</v>
      </c>
      <c r="K479" t="s">
        <v>856</v>
      </c>
      <c r="L479" t="s">
        <v>1074</v>
      </c>
      <c r="M479" t="s">
        <v>59</v>
      </c>
      <c r="P479" t="s">
        <v>259</v>
      </c>
      <c r="Q479" t="s">
        <v>502</v>
      </c>
      <c r="R479" t="s">
        <v>260</v>
      </c>
      <c r="S479" t="s">
        <v>98</v>
      </c>
      <c r="T479">
        <v>259.51</v>
      </c>
      <c r="U479">
        <v>251.90199999999999</v>
      </c>
      <c r="V479">
        <f>(T479+U479)/2</f>
        <v>255.70599999999999</v>
      </c>
      <c r="W479">
        <f>T479-U479</f>
        <v>7.6080000000000041</v>
      </c>
      <c r="X479">
        <v>44.416668000000001</v>
      </c>
      <c r="Y479">
        <v>-24</v>
      </c>
      <c r="Z479" t="s">
        <v>99</v>
      </c>
      <c r="AA479" t="s">
        <v>692</v>
      </c>
      <c r="AB479" t="s">
        <v>693</v>
      </c>
      <c r="AD479" t="s">
        <v>694</v>
      </c>
      <c r="AE479" t="s">
        <v>695</v>
      </c>
      <c r="AH479" t="s">
        <v>65</v>
      </c>
      <c r="AI479" t="s">
        <v>1063</v>
      </c>
      <c r="AJ479">
        <v>1926</v>
      </c>
      <c r="AK479" t="s">
        <v>697</v>
      </c>
      <c r="AM479" t="s">
        <v>698</v>
      </c>
      <c r="AN479" t="s">
        <v>121</v>
      </c>
      <c r="AO479" t="s">
        <v>330</v>
      </c>
      <c r="AP479" t="s">
        <v>182</v>
      </c>
      <c r="AQ479" t="s">
        <v>699</v>
      </c>
      <c r="AR479" t="s">
        <v>70</v>
      </c>
      <c r="AS479">
        <v>702</v>
      </c>
      <c r="AT479" t="s">
        <v>71</v>
      </c>
      <c r="AU479">
        <v>22.51</v>
      </c>
      <c r="AV479">
        <v>-42.93</v>
      </c>
      <c r="AW479" t="s">
        <v>72</v>
      </c>
      <c r="AX479">
        <v>702</v>
      </c>
      <c r="AY479" t="s">
        <v>71</v>
      </c>
      <c r="AZ479">
        <v>24.25</v>
      </c>
      <c r="BA479">
        <v>-52.74</v>
      </c>
      <c r="BB479" t="s">
        <v>73</v>
      </c>
    </row>
    <row r="480" spans="1:54" x14ac:dyDescent="0.4">
      <c r="A480">
        <v>1285964</v>
      </c>
      <c r="D480" t="s">
        <v>246</v>
      </c>
      <c r="E480" t="s">
        <v>55</v>
      </c>
      <c r="G480">
        <v>1</v>
      </c>
      <c r="H480" t="s">
        <v>56</v>
      </c>
      <c r="I480" t="s">
        <v>57</v>
      </c>
      <c r="K480" t="s">
        <v>856</v>
      </c>
      <c r="L480" t="s">
        <v>1074</v>
      </c>
      <c r="M480" t="s">
        <v>59</v>
      </c>
      <c r="P480" t="s">
        <v>259</v>
      </c>
      <c r="Q480" t="s">
        <v>502</v>
      </c>
      <c r="R480" t="s">
        <v>260</v>
      </c>
      <c r="S480" t="s">
        <v>98</v>
      </c>
      <c r="T480">
        <v>259.51</v>
      </c>
      <c r="U480">
        <v>251.90199999999999</v>
      </c>
      <c r="V480">
        <f>(T480+U480)/2</f>
        <v>255.70599999999999</v>
      </c>
      <c r="W480">
        <f>T480-U480</f>
        <v>7.6080000000000041</v>
      </c>
      <c r="X480">
        <v>44.416668000000001</v>
      </c>
      <c r="Y480">
        <v>-24</v>
      </c>
      <c r="Z480" t="s">
        <v>99</v>
      </c>
      <c r="AA480" t="s">
        <v>692</v>
      </c>
      <c r="AB480" t="s">
        <v>693</v>
      </c>
      <c r="AD480" t="s">
        <v>694</v>
      </c>
      <c r="AE480" t="s">
        <v>695</v>
      </c>
      <c r="AH480" t="s">
        <v>65</v>
      </c>
      <c r="AI480" t="s">
        <v>1063</v>
      </c>
      <c r="AJ480">
        <v>1926</v>
      </c>
      <c r="AK480" t="s">
        <v>697</v>
      </c>
      <c r="AM480" t="s">
        <v>698</v>
      </c>
      <c r="AN480" t="s">
        <v>121</v>
      </c>
      <c r="AO480" t="s">
        <v>330</v>
      </c>
      <c r="AP480" t="s">
        <v>182</v>
      </c>
      <c r="AQ480" t="s">
        <v>699</v>
      </c>
      <c r="AR480" t="s">
        <v>70</v>
      </c>
      <c r="AS480">
        <v>702</v>
      </c>
      <c r="AT480" t="s">
        <v>71</v>
      </c>
      <c r="AU480">
        <v>22.51</v>
      </c>
      <c r="AV480">
        <v>-42.93</v>
      </c>
      <c r="AW480" t="s">
        <v>72</v>
      </c>
      <c r="AX480">
        <v>702</v>
      </c>
      <c r="AY480" t="s">
        <v>71</v>
      </c>
      <c r="AZ480">
        <v>24.25</v>
      </c>
      <c r="BA480">
        <v>-52.74</v>
      </c>
      <c r="BB480" t="s">
        <v>73</v>
      </c>
    </row>
    <row r="481" spans="1:54" x14ac:dyDescent="0.4">
      <c r="A481">
        <v>1285964</v>
      </c>
      <c r="D481" t="s">
        <v>246</v>
      </c>
      <c r="E481" t="s">
        <v>55</v>
      </c>
      <c r="G481">
        <v>1</v>
      </c>
      <c r="H481" t="s">
        <v>56</v>
      </c>
      <c r="I481" t="s">
        <v>57</v>
      </c>
      <c r="K481" t="s">
        <v>856</v>
      </c>
      <c r="L481" t="s">
        <v>1074</v>
      </c>
      <c r="M481" t="s">
        <v>59</v>
      </c>
      <c r="P481" t="s">
        <v>259</v>
      </c>
      <c r="Q481" t="s">
        <v>502</v>
      </c>
      <c r="R481" t="s">
        <v>260</v>
      </c>
      <c r="S481" t="s">
        <v>98</v>
      </c>
      <c r="T481">
        <v>259.51</v>
      </c>
      <c r="U481">
        <v>251.90199999999999</v>
      </c>
      <c r="V481">
        <f>(T481+U481)/2</f>
        <v>255.70599999999999</v>
      </c>
      <c r="W481">
        <f>T481-U481</f>
        <v>7.6080000000000041</v>
      </c>
      <c r="X481">
        <v>44.416668000000001</v>
      </c>
      <c r="Y481">
        <v>-24</v>
      </c>
      <c r="Z481" t="s">
        <v>99</v>
      </c>
      <c r="AA481" t="s">
        <v>692</v>
      </c>
      <c r="AB481" t="s">
        <v>693</v>
      </c>
      <c r="AD481" t="s">
        <v>694</v>
      </c>
      <c r="AE481" t="s">
        <v>695</v>
      </c>
      <c r="AH481" t="s">
        <v>65</v>
      </c>
      <c r="AI481" t="s">
        <v>1063</v>
      </c>
      <c r="AJ481">
        <v>1926</v>
      </c>
      <c r="AK481" t="s">
        <v>697</v>
      </c>
      <c r="AM481" t="s">
        <v>698</v>
      </c>
      <c r="AN481" t="s">
        <v>121</v>
      </c>
      <c r="AO481" t="s">
        <v>330</v>
      </c>
      <c r="AP481" t="s">
        <v>182</v>
      </c>
      <c r="AQ481" t="s">
        <v>699</v>
      </c>
      <c r="AR481" t="s">
        <v>70</v>
      </c>
      <c r="AS481">
        <v>702</v>
      </c>
      <c r="AT481" t="s">
        <v>71</v>
      </c>
      <c r="AU481">
        <v>22.51</v>
      </c>
      <c r="AV481">
        <v>-42.93</v>
      </c>
      <c r="AW481" t="s">
        <v>72</v>
      </c>
      <c r="AX481">
        <v>702</v>
      </c>
      <c r="AY481" t="s">
        <v>71</v>
      </c>
      <c r="AZ481">
        <v>24.25</v>
      </c>
      <c r="BA481">
        <v>-52.74</v>
      </c>
      <c r="BB481" t="s">
        <v>73</v>
      </c>
    </row>
    <row r="482" spans="1:54" x14ac:dyDescent="0.4">
      <c r="A482">
        <v>1285964</v>
      </c>
      <c r="D482" t="s">
        <v>246</v>
      </c>
      <c r="E482" t="s">
        <v>55</v>
      </c>
      <c r="G482">
        <v>1</v>
      </c>
      <c r="H482" t="s">
        <v>56</v>
      </c>
      <c r="I482" t="s">
        <v>57</v>
      </c>
      <c r="K482" t="s">
        <v>856</v>
      </c>
      <c r="L482" t="s">
        <v>1074</v>
      </c>
      <c r="M482" t="s">
        <v>59</v>
      </c>
      <c r="P482" t="s">
        <v>259</v>
      </c>
      <c r="Q482" t="s">
        <v>502</v>
      </c>
      <c r="R482" t="s">
        <v>260</v>
      </c>
      <c r="S482" t="s">
        <v>98</v>
      </c>
      <c r="T482">
        <v>259.51</v>
      </c>
      <c r="U482">
        <v>251.90199999999999</v>
      </c>
      <c r="V482">
        <f>(T482+U482)/2</f>
        <v>255.70599999999999</v>
      </c>
      <c r="W482">
        <f>T482-U482</f>
        <v>7.6080000000000041</v>
      </c>
      <c r="X482">
        <v>44.416668000000001</v>
      </c>
      <c r="Y482">
        <v>-24</v>
      </c>
      <c r="Z482" t="s">
        <v>99</v>
      </c>
      <c r="AA482" t="s">
        <v>692</v>
      </c>
      <c r="AB482" t="s">
        <v>693</v>
      </c>
      <c r="AD482" t="s">
        <v>694</v>
      </c>
      <c r="AE482" t="s">
        <v>695</v>
      </c>
      <c r="AH482" t="s">
        <v>65</v>
      </c>
      <c r="AI482" t="s">
        <v>1063</v>
      </c>
      <c r="AJ482">
        <v>1926</v>
      </c>
      <c r="AK482" t="s">
        <v>697</v>
      </c>
      <c r="AM482" t="s">
        <v>698</v>
      </c>
      <c r="AN482" t="s">
        <v>121</v>
      </c>
      <c r="AO482" t="s">
        <v>330</v>
      </c>
      <c r="AP482" t="s">
        <v>182</v>
      </c>
      <c r="AQ482" t="s">
        <v>699</v>
      </c>
      <c r="AR482" t="s">
        <v>70</v>
      </c>
      <c r="AS482">
        <v>702</v>
      </c>
      <c r="AT482" t="s">
        <v>71</v>
      </c>
      <c r="AU482">
        <v>22.51</v>
      </c>
      <c r="AV482">
        <v>-42.93</v>
      </c>
      <c r="AW482" t="s">
        <v>72</v>
      </c>
      <c r="AX482">
        <v>702</v>
      </c>
      <c r="AY482" t="s">
        <v>71</v>
      </c>
      <c r="AZ482">
        <v>24.25</v>
      </c>
      <c r="BA482">
        <v>-52.74</v>
      </c>
      <c r="BB482" t="s">
        <v>73</v>
      </c>
    </row>
    <row r="483" spans="1:54" x14ac:dyDescent="0.4">
      <c r="A483">
        <v>1285964</v>
      </c>
      <c r="D483" t="s">
        <v>246</v>
      </c>
      <c r="E483" t="s">
        <v>55</v>
      </c>
      <c r="G483">
        <v>1</v>
      </c>
      <c r="H483" t="s">
        <v>56</v>
      </c>
      <c r="I483" t="s">
        <v>57</v>
      </c>
      <c r="K483" t="s">
        <v>856</v>
      </c>
      <c r="L483" t="s">
        <v>1074</v>
      </c>
      <c r="M483" t="s">
        <v>59</v>
      </c>
      <c r="P483" t="s">
        <v>259</v>
      </c>
      <c r="Q483" t="s">
        <v>502</v>
      </c>
      <c r="R483" t="s">
        <v>260</v>
      </c>
      <c r="S483" t="s">
        <v>98</v>
      </c>
      <c r="T483">
        <v>259.51</v>
      </c>
      <c r="U483">
        <v>251.90199999999999</v>
      </c>
      <c r="V483">
        <f>(T483+U483)/2</f>
        <v>255.70599999999999</v>
      </c>
      <c r="W483">
        <f>T483-U483</f>
        <v>7.6080000000000041</v>
      </c>
      <c r="X483">
        <v>44.416668000000001</v>
      </c>
      <c r="Y483">
        <v>-24</v>
      </c>
      <c r="Z483" t="s">
        <v>99</v>
      </c>
      <c r="AA483" t="s">
        <v>692</v>
      </c>
      <c r="AB483" t="s">
        <v>693</v>
      </c>
      <c r="AD483" t="s">
        <v>694</v>
      </c>
      <c r="AE483" t="s">
        <v>695</v>
      </c>
      <c r="AH483" t="s">
        <v>65</v>
      </c>
      <c r="AI483" t="s">
        <v>1063</v>
      </c>
      <c r="AJ483">
        <v>1926</v>
      </c>
      <c r="AK483" t="s">
        <v>697</v>
      </c>
      <c r="AM483" t="s">
        <v>698</v>
      </c>
      <c r="AN483" t="s">
        <v>121</v>
      </c>
      <c r="AO483" t="s">
        <v>330</v>
      </c>
      <c r="AP483" t="s">
        <v>182</v>
      </c>
      <c r="AQ483" t="s">
        <v>699</v>
      </c>
      <c r="AR483" t="s">
        <v>70</v>
      </c>
      <c r="AS483">
        <v>702</v>
      </c>
      <c r="AT483" t="s">
        <v>71</v>
      </c>
      <c r="AU483">
        <v>22.51</v>
      </c>
      <c r="AV483">
        <v>-42.93</v>
      </c>
      <c r="AW483" t="s">
        <v>72</v>
      </c>
      <c r="AX483">
        <v>702</v>
      </c>
      <c r="AY483" t="s">
        <v>71</v>
      </c>
      <c r="AZ483">
        <v>24.25</v>
      </c>
      <c r="BA483">
        <v>-52.74</v>
      </c>
      <c r="BB483" t="s">
        <v>73</v>
      </c>
    </row>
    <row r="484" spans="1:54" x14ac:dyDescent="0.4">
      <c r="A484">
        <v>1285964</v>
      </c>
      <c r="D484" t="s">
        <v>246</v>
      </c>
      <c r="E484" t="s">
        <v>55</v>
      </c>
      <c r="G484">
        <v>1</v>
      </c>
      <c r="H484" t="s">
        <v>56</v>
      </c>
      <c r="I484" t="s">
        <v>57</v>
      </c>
      <c r="K484" t="s">
        <v>856</v>
      </c>
      <c r="L484" t="s">
        <v>1074</v>
      </c>
      <c r="M484" t="s">
        <v>59</v>
      </c>
      <c r="P484" t="s">
        <v>259</v>
      </c>
      <c r="Q484" t="s">
        <v>502</v>
      </c>
      <c r="R484" t="s">
        <v>260</v>
      </c>
      <c r="S484" t="s">
        <v>98</v>
      </c>
      <c r="T484">
        <v>259.51</v>
      </c>
      <c r="U484">
        <v>251.90199999999999</v>
      </c>
      <c r="V484">
        <f>(T484+U484)/2</f>
        <v>255.70599999999999</v>
      </c>
      <c r="W484">
        <f>T484-U484</f>
        <v>7.6080000000000041</v>
      </c>
      <c r="X484">
        <v>44.416668000000001</v>
      </c>
      <c r="Y484">
        <v>-24</v>
      </c>
      <c r="Z484" t="s">
        <v>99</v>
      </c>
      <c r="AA484" t="s">
        <v>692</v>
      </c>
      <c r="AB484" t="s">
        <v>693</v>
      </c>
      <c r="AD484" t="s">
        <v>694</v>
      </c>
      <c r="AE484" t="s">
        <v>695</v>
      </c>
      <c r="AH484" t="s">
        <v>65</v>
      </c>
      <c r="AI484" t="s">
        <v>1063</v>
      </c>
      <c r="AJ484">
        <v>1926</v>
      </c>
      <c r="AK484" t="s">
        <v>697</v>
      </c>
      <c r="AM484" t="s">
        <v>698</v>
      </c>
      <c r="AN484" t="s">
        <v>121</v>
      </c>
      <c r="AO484" t="s">
        <v>330</v>
      </c>
      <c r="AP484" t="s">
        <v>182</v>
      </c>
      <c r="AQ484" t="s">
        <v>699</v>
      </c>
      <c r="AR484" t="s">
        <v>70</v>
      </c>
      <c r="AS484">
        <v>702</v>
      </c>
      <c r="AT484" t="s">
        <v>71</v>
      </c>
      <c r="AU484">
        <v>22.51</v>
      </c>
      <c r="AV484">
        <v>-42.93</v>
      </c>
      <c r="AW484" t="s">
        <v>72</v>
      </c>
      <c r="AX484">
        <v>702</v>
      </c>
      <c r="AY484" t="s">
        <v>71</v>
      </c>
      <c r="AZ484">
        <v>24.25</v>
      </c>
      <c r="BA484">
        <v>-52.74</v>
      </c>
      <c r="BB484" t="s">
        <v>73</v>
      </c>
    </row>
    <row r="485" spans="1:54" x14ac:dyDescent="0.4">
      <c r="A485">
        <v>1285964</v>
      </c>
      <c r="D485" t="s">
        <v>246</v>
      </c>
      <c r="E485" t="s">
        <v>55</v>
      </c>
      <c r="G485">
        <v>1</v>
      </c>
      <c r="H485" t="s">
        <v>56</v>
      </c>
      <c r="I485" t="s">
        <v>57</v>
      </c>
      <c r="K485" t="s">
        <v>856</v>
      </c>
      <c r="L485" t="s">
        <v>1074</v>
      </c>
      <c r="M485" t="s">
        <v>59</v>
      </c>
      <c r="P485" t="s">
        <v>259</v>
      </c>
      <c r="Q485" t="s">
        <v>502</v>
      </c>
      <c r="R485" t="s">
        <v>260</v>
      </c>
      <c r="S485" t="s">
        <v>98</v>
      </c>
      <c r="T485">
        <v>259.51</v>
      </c>
      <c r="U485">
        <v>251.90199999999999</v>
      </c>
      <c r="V485">
        <f>(T485+U485)/2</f>
        <v>255.70599999999999</v>
      </c>
      <c r="W485">
        <f>T485-U485</f>
        <v>7.6080000000000041</v>
      </c>
      <c r="X485">
        <v>44.416668000000001</v>
      </c>
      <c r="Y485">
        <v>-24</v>
      </c>
      <c r="Z485" t="s">
        <v>99</v>
      </c>
      <c r="AA485" t="s">
        <v>692</v>
      </c>
      <c r="AB485" t="s">
        <v>693</v>
      </c>
      <c r="AD485" t="s">
        <v>694</v>
      </c>
      <c r="AE485" t="s">
        <v>695</v>
      </c>
      <c r="AH485" t="s">
        <v>65</v>
      </c>
      <c r="AI485" t="s">
        <v>1063</v>
      </c>
      <c r="AJ485">
        <v>1926</v>
      </c>
      <c r="AK485" t="s">
        <v>697</v>
      </c>
      <c r="AM485" t="s">
        <v>698</v>
      </c>
      <c r="AN485" t="s">
        <v>121</v>
      </c>
      <c r="AO485" t="s">
        <v>330</v>
      </c>
      <c r="AP485" t="s">
        <v>182</v>
      </c>
      <c r="AQ485" t="s">
        <v>699</v>
      </c>
      <c r="AR485" t="s">
        <v>70</v>
      </c>
      <c r="AS485">
        <v>702</v>
      </c>
      <c r="AT485" t="s">
        <v>71</v>
      </c>
      <c r="AU485">
        <v>22.51</v>
      </c>
      <c r="AV485">
        <v>-42.93</v>
      </c>
      <c r="AW485" t="s">
        <v>72</v>
      </c>
      <c r="AX485">
        <v>702</v>
      </c>
      <c r="AY485" t="s">
        <v>71</v>
      </c>
      <c r="AZ485">
        <v>24.25</v>
      </c>
      <c r="BA485">
        <v>-52.74</v>
      </c>
      <c r="BB485" t="s">
        <v>73</v>
      </c>
    </row>
    <row r="486" spans="1:54" x14ac:dyDescent="0.4">
      <c r="A486">
        <v>1285964</v>
      </c>
      <c r="D486" t="s">
        <v>246</v>
      </c>
      <c r="E486" t="s">
        <v>55</v>
      </c>
      <c r="G486">
        <v>1</v>
      </c>
      <c r="H486" t="s">
        <v>56</v>
      </c>
      <c r="I486" t="s">
        <v>57</v>
      </c>
      <c r="K486" t="s">
        <v>856</v>
      </c>
      <c r="L486" t="s">
        <v>1074</v>
      </c>
      <c r="M486" t="s">
        <v>59</v>
      </c>
      <c r="P486" t="s">
        <v>259</v>
      </c>
      <c r="Q486" t="s">
        <v>502</v>
      </c>
      <c r="R486" t="s">
        <v>260</v>
      </c>
      <c r="S486" t="s">
        <v>98</v>
      </c>
      <c r="T486">
        <v>259.51</v>
      </c>
      <c r="U486">
        <v>251.90199999999999</v>
      </c>
      <c r="V486">
        <f>(T486+U486)/2</f>
        <v>255.70599999999999</v>
      </c>
      <c r="W486">
        <f>T486-U486</f>
        <v>7.6080000000000041</v>
      </c>
      <c r="X486">
        <v>44.416668000000001</v>
      </c>
      <c r="Y486">
        <v>-24</v>
      </c>
      <c r="Z486" t="s">
        <v>99</v>
      </c>
      <c r="AA486" t="s">
        <v>692</v>
      </c>
      <c r="AB486" t="s">
        <v>693</v>
      </c>
      <c r="AD486" t="s">
        <v>694</v>
      </c>
      <c r="AE486" t="s">
        <v>695</v>
      </c>
      <c r="AH486" t="s">
        <v>65</v>
      </c>
      <c r="AI486" t="s">
        <v>1063</v>
      </c>
      <c r="AJ486">
        <v>1926</v>
      </c>
      <c r="AK486" t="s">
        <v>697</v>
      </c>
      <c r="AM486" t="s">
        <v>698</v>
      </c>
      <c r="AN486" t="s">
        <v>121</v>
      </c>
      <c r="AO486" t="s">
        <v>330</v>
      </c>
      <c r="AP486" t="s">
        <v>182</v>
      </c>
      <c r="AQ486" t="s">
        <v>699</v>
      </c>
      <c r="AR486" t="s">
        <v>70</v>
      </c>
      <c r="AS486">
        <v>702</v>
      </c>
      <c r="AT486" t="s">
        <v>71</v>
      </c>
      <c r="AU486">
        <v>22.51</v>
      </c>
      <c r="AV486">
        <v>-42.93</v>
      </c>
      <c r="AW486" t="s">
        <v>72</v>
      </c>
      <c r="AX486">
        <v>702</v>
      </c>
      <c r="AY486" t="s">
        <v>71</v>
      </c>
      <c r="AZ486">
        <v>24.25</v>
      </c>
      <c r="BA486">
        <v>-52.74</v>
      </c>
      <c r="BB486" t="s">
        <v>73</v>
      </c>
    </row>
    <row r="487" spans="1:54" x14ac:dyDescent="0.4">
      <c r="A487">
        <v>1285964</v>
      </c>
      <c r="D487" t="s">
        <v>246</v>
      </c>
      <c r="E487" t="s">
        <v>55</v>
      </c>
      <c r="G487">
        <v>1</v>
      </c>
      <c r="H487" t="s">
        <v>56</v>
      </c>
      <c r="I487" t="s">
        <v>57</v>
      </c>
      <c r="K487" t="s">
        <v>856</v>
      </c>
      <c r="L487" t="s">
        <v>1074</v>
      </c>
      <c r="M487" t="s">
        <v>59</v>
      </c>
      <c r="P487" t="s">
        <v>259</v>
      </c>
      <c r="Q487" t="s">
        <v>502</v>
      </c>
      <c r="R487" t="s">
        <v>260</v>
      </c>
      <c r="S487" t="s">
        <v>98</v>
      </c>
      <c r="T487">
        <v>259.51</v>
      </c>
      <c r="U487">
        <v>251.90199999999999</v>
      </c>
      <c r="V487">
        <f>(T487+U487)/2</f>
        <v>255.70599999999999</v>
      </c>
      <c r="W487">
        <f>T487-U487</f>
        <v>7.6080000000000041</v>
      </c>
      <c r="X487">
        <v>44.416668000000001</v>
      </c>
      <c r="Y487">
        <v>-24</v>
      </c>
      <c r="Z487" t="s">
        <v>99</v>
      </c>
      <c r="AA487" t="s">
        <v>692</v>
      </c>
      <c r="AB487" t="s">
        <v>693</v>
      </c>
      <c r="AD487" t="s">
        <v>694</v>
      </c>
      <c r="AE487" t="s">
        <v>695</v>
      </c>
      <c r="AH487" t="s">
        <v>65</v>
      </c>
      <c r="AI487" t="s">
        <v>1063</v>
      </c>
      <c r="AJ487">
        <v>1926</v>
      </c>
      <c r="AK487" t="s">
        <v>697</v>
      </c>
      <c r="AM487" t="s">
        <v>698</v>
      </c>
      <c r="AN487" t="s">
        <v>121</v>
      </c>
      <c r="AO487" t="s">
        <v>330</v>
      </c>
      <c r="AP487" t="s">
        <v>182</v>
      </c>
      <c r="AQ487" t="s">
        <v>699</v>
      </c>
      <c r="AR487" t="s">
        <v>70</v>
      </c>
      <c r="AS487">
        <v>702</v>
      </c>
      <c r="AT487" t="s">
        <v>71</v>
      </c>
      <c r="AU487">
        <v>22.51</v>
      </c>
      <c r="AV487">
        <v>-42.93</v>
      </c>
      <c r="AW487" t="s">
        <v>72</v>
      </c>
      <c r="AX487">
        <v>702</v>
      </c>
      <c r="AY487" t="s">
        <v>71</v>
      </c>
      <c r="AZ487">
        <v>24.25</v>
      </c>
      <c r="BA487">
        <v>-52.74</v>
      </c>
      <c r="BB487" t="s">
        <v>73</v>
      </c>
    </row>
    <row r="488" spans="1:54" x14ac:dyDescent="0.4">
      <c r="A488">
        <v>1285964</v>
      </c>
      <c r="D488" t="s">
        <v>246</v>
      </c>
      <c r="E488" t="s">
        <v>55</v>
      </c>
      <c r="G488">
        <v>1</v>
      </c>
      <c r="H488" t="s">
        <v>56</v>
      </c>
      <c r="I488" t="s">
        <v>57</v>
      </c>
      <c r="K488" t="s">
        <v>856</v>
      </c>
      <c r="L488" t="s">
        <v>1074</v>
      </c>
      <c r="M488" t="s">
        <v>59</v>
      </c>
      <c r="P488" t="s">
        <v>259</v>
      </c>
      <c r="Q488" t="s">
        <v>502</v>
      </c>
      <c r="R488" t="s">
        <v>260</v>
      </c>
      <c r="S488" t="s">
        <v>98</v>
      </c>
      <c r="T488">
        <v>259.51</v>
      </c>
      <c r="U488">
        <v>251.90199999999999</v>
      </c>
      <c r="V488">
        <f>(T488+U488)/2</f>
        <v>255.70599999999999</v>
      </c>
      <c r="W488">
        <f>T488-U488</f>
        <v>7.6080000000000041</v>
      </c>
      <c r="X488">
        <v>44.416668000000001</v>
      </c>
      <c r="Y488">
        <v>-24</v>
      </c>
      <c r="Z488" t="s">
        <v>99</v>
      </c>
      <c r="AA488" t="s">
        <v>692</v>
      </c>
      <c r="AB488" t="s">
        <v>693</v>
      </c>
      <c r="AD488" t="s">
        <v>694</v>
      </c>
      <c r="AE488" t="s">
        <v>695</v>
      </c>
      <c r="AH488" t="s">
        <v>65</v>
      </c>
      <c r="AI488" t="s">
        <v>1063</v>
      </c>
      <c r="AJ488">
        <v>1926</v>
      </c>
      <c r="AK488" t="s">
        <v>697</v>
      </c>
      <c r="AM488" t="s">
        <v>698</v>
      </c>
      <c r="AN488" t="s">
        <v>121</v>
      </c>
      <c r="AO488" t="s">
        <v>330</v>
      </c>
      <c r="AP488" t="s">
        <v>182</v>
      </c>
      <c r="AQ488" t="s">
        <v>699</v>
      </c>
      <c r="AR488" t="s">
        <v>70</v>
      </c>
      <c r="AS488">
        <v>702</v>
      </c>
      <c r="AT488" t="s">
        <v>71</v>
      </c>
      <c r="AU488">
        <v>22.51</v>
      </c>
      <c r="AV488">
        <v>-42.93</v>
      </c>
      <c r="AW488" t="s">
        <v>72</v>
      </c>
      <c r="AX488">
        <v>702</v>
      </c>
      <c r="AY488" t="s">
        <v>71</v>
      </c>
      <c r="AZ488">
        <v>24.25</v>
      </c>
      <c r="BA488">
        <v>-52.74</v>
      </c>
      <c r="BB488" t="s">
        <v>73</v>
      </c>
    </row>
    <row r="489" spans="1:54" x14ac:dyDescent="0.4">
      <c r="A489">
        <v>1285964</v>
      </c>
      <c r="D489" t="s">
        <v>246</v>
      </c>
      <c r="E489" t="s">
        <v>55</v>
      </c>
      <c r="G489">
        <v>1</v>
      </c>
      <c r="H489" t="s">
        <v>56</v>
      </c>
      <c r="I489" t="s">
        <v>57</v>
      </c>
      <c r="K489" t="s">
        <v>856</v>
      </c>
      <c r="L489" t="s">
        <v>1074</v>
      </c>
      <c r="M489" t="s">
        <v>59</v>
      </c>
      <c r="P489" t="s">
        <v>259</v>
      </c>
      <c r="Q489" t="s">
        <v>502</v>
      </c>
      <c r="R489" t="s">
        <v>260</v>
      </c>
      <c r="S489" t="s">
        <v>98</v>
      </c>
      <c r="T489">
        <v>259.51</v>
      </c>
      <c r="U489">
        <v>251.90199999999999</v>
      </c>
      <c r="V489">
        <f>(T489+U489)/2</f>
        <v>255.70599999999999</v>
      </c>
      <c r="W489">
        <f>T489-U489</f>
        <v>7.6080000000000041</v>
      </c>
      <c r="X489">
        <v>44.416668000000001</v>
      </c>
      <c r="Y489">
        <v>-24</v>
      </c>
      <c r="Z489" t="s">
        <v>99</v>
      </c>
      <c r="AA489" t="s">
        <v>692</v>
      </c>
      <c r="AB489" t="s">
        <v>693</v>
      </c>
      <c r="AD489" t="s">
        <v>694</v>
      </c>
      <c r="AE489" t="s">
        <v>695</v>
      </c>
      <c r="AH489" t="s">
        <v>65</v>
      </c>
      <c r="AI489" t="s">
        <v>1063</v>
      </c>
      <c r="AJ489">
        <v>1926</v>
      </c>
      <c r="AK489" t="s">
        <v>697</v>
      </c>
      <c r="AM489" t="s">
        <v>698</v>
      </c>
      <c r="AN489" t="s">
        <v>121</v>
      </c>
      <c r="AO489" t="s">
        <v>330</v>
      </c>
      <c r="AP489" t="s">
        <v>182</v>
      </c>
      <c r="AQ489" t="s">
        <v>699</v>
      </c>
      <c r="AR489" t="s">
        <v>70</v>
      </c>
      <c r="AS489">
        <v>702</v>
      </c>
      <c r="AT489" t="s">
        <v>71</v>
      </c>
      <c r="AU489">
        <v>22.51</v>
      </c>
      <c r="AV489">
        <v>-42.93</v>
      </c>
      <c r="AW489" t="s">
        <v>72</v>
      </c>
      <c r="AX489">
        <v>702</v>
      </c>
      <c r="AY489" t="s">
        <v>71</v>
      </c>
      <c r="AZ489">
        <v>24.25</v>
      </c>
      <c r="BA489">
        <v>-52.74</v>
      </c>
      <c r="BB489" t="s">
        <v>73</v>
      </c>
    </row>
    <row r="490" spans="1:54" x14ac:dyDescent="0.4">
      <c r="A490">
        <v>1285964</v>
      </c>
      <c r="D490" t="s">
        <v>246</v>
      </c>
      <c r="E490" t="s">
        <v>55</v>
      </c>
      <c r="G490">
        <v>1</v>
      </c>
      <c r="H490" t="s">
        <v>56</v>
      </c>
      <c r="I490" t="s">
        <v>57</v>
      </c>
      <c r="K490" t="s">
        <v>856</v>
      </c>
      <c r="L490" t="s">
        <v>1074</v>
      </c>
      <c r="M490" t="s">
        <v>59</v>
      </c>
      <c r="P490" t="s">
        <v>259</v>
      </c>
      <c r="Q490" t="s">
        <v>502</v>
      </c>
      <c r="R490" t="s">
        <v>260</v>
      </c>
      <c r="S490" t="s">
        <v>98</v>
      </c>
      <c r="T490">
        <v>259.51</v>
      </c>
      <c r="U490">
        <v>251.90199999999999</v>
      </c>
      <c r="V490">
        <f>(T490+U490)/2</f>
        <v>255.70599999999999</v>
      </c>
      <c r="W490">
        <f>T490-U490</f>
        <v>7.6080000000000041</v>
      </c>
      <c r="X490">
        <v>44.416668000000001</v>
      </c>
      <c r="Y490">
        <v>-24</v>
      </c>
      <c r="Z490" t="s">
        <v>99</v>
      </c>
      <c r="AA490" t="s">
        <v>692</v>
      </c>
      <c r="AB490" t="s">
        <v>693</v>
      </c>
      <c r="AD490" t="s">
        <v>694</v>
      </c>
      <c r="AE490" t="s">
        <v>695</v>
      </c>
      <c r="AH490" t="s">
        <v>65</v>
      </c>
      <c r="AI490" t="s">
        <v>1063</v>
      </c>
      <c r="AJ490">
        <v>1926</v>
      </c>
      <c r="AK490" t="s">
        <v>697</v>
      </c>
      <c r="AM490" t="s">
        <v>698</v>
      </c>
      <c r="AN490" t="s">
        <v>121</v>
      </c>
      <c r="AO490" t="s">
        <v>330</v>
      </c>
      <c r="AP490" t="s">
        <v>182</v>
      </c>
      <c r="AQ490" t="s">
        <v>699</v>
      </c>
      <c r="AR490" t="s">
        <v>70</v>
      </c>
      <c r="AS490">
        <v>702</v>
      </c>
      <c r="AT490" t="s">
        <v>71</v>
      </c>
      <c r="AU490">
        <v>22.51</v>
      </c>
      <c r="AV490">
        <v>-42.93</v>
      </c>
      <c r="AW490" t="s">
        <v>72</v>
      </c>
      <c r="AX490">
        <v>702</v>
      </c>
      <c r="AY490" t="s">
        <v>71</v>
      </c>
      <c r="AZ490">
        <v>24.25</v>
      </c>
      <c r="BA490">
        <v>-52.74</v>
      </c>
      <c r="BB490" t="s">
        <v>73</v>
      </c>
    </row>
    <row r="491" spans="1:54" x14ac:dyDescent="0.4">
      <c r="A491">
        <v>1285964</v>
      </c>
      <c r="D491" t="s">
        <v>246</v>
      </c>
      <c r="E491" t="s">
        <v>55</v>
      </c>
      <c r="G491">
        <v>1</v>
      </c>
      <c r="H491" t="s">
        <v>56</v>
      </c>
      <c r="I491" t="s">
        <v>57</v>
      </c>
      <c r="K491" t="s">
        <v>856</v>
      </c>
      <c r="L491" t="s">
        <v>1074</v>
      </c>
      <c r="M491" t="s">
        <v>59</v>
      </c>
      <c r="P491" t="s">
        <v>259</v>
      </c>
      <c r="Q491" t="s">
        <v>502</v>
      </c>
      <c r="R491" t="s">
        <v>260</v>
      </c>
      <c r="S491" t="s">
        <v>98</v>
      </c>
      <c r="T491">
        <v>259.51</v>
      </c>
      <c r="U491">
        <v>251.90199999999999</v>
      </c>
      <c r="V491">
        <f>(T491+U491)/2</f>
        <v>255.70599999999999</v>
      </c>
      <c r="W491">
        <f>T491-U491</f>
        <v>7.6080000000000041</v>
      </c>
      <c r="X491">
        <v>44.416668000000001</v>
      </c>
      <c r="Y491">
        <v>-24</v>
      </c>
      <c r="Z491" t="s">
        <v>99</v>
      </c>
      <c r="AA491" t="s">
        <v>692</v>
      </c>
      <c r="AB491" t="s">
        <v>693</v>
      </c>
      <c r="AD491" t="s">
        <v>694</v>
      </c>
      <c r="AE491" t="s">
        <v>695</v>
      </c>
      <c r="AH491" t="s">
        <v>65</v>
      </c>
      <c r="AI491" t="s">
        <v>1063</v>
      </c>
      <c r="AJ491">
        <v>1926</v>
      </c>
      <c r="AK491" t="s">
        <v>697</v>
      </c>
      <c r="AM491" t="s">
        <v>698</v>
      </c>
      <c r="AN491" t="s">
        <v>121</v>
      </c>
      <c r="AO491" t="s">
        <v>330</v>
      </c>
      <c r="AP491" t="s">
        <v>182</v>
      </c>
      <c r="AQ491" t="s">
        <v>699</v>
      </c>
      <c r="AR491" t="s">
        <v>70</v>
      </c>
      <c r="AS491">
        <v>702</v>
      </c>
      <c r="AT491" t="s">
        <v>71</v>
      </c>
      <c r="AU491">
        <v>22.51</v>
      </c>
      <c r="AV491">
        <v>-42.93</v>
      </c>
      <c r="AW491" t="s">
        <v>72</v>
      </c>
      <c r="AX491">
        <v>702</v>
      </c>
      <c r="AY491" t="s">
        <v>71</v>
      </c>
      <c r="AZ491">
        <v>24.25</v>
      </c>
      <c r="BA491">
        <v>-52.74</v>
      </c>
      <c r="BB491" t="s">
        <v>73</v>
      </c>
    </row>
    <row r="492" spans="1:54" x14ac:dyDescent="0.4">
      <c r="A492">
        <v>1285964</v>
      </c>
      <c r="D492" t="s">
        <v>246</v>
      </c>
      <c r="E492" t="s">
        <v>55</v>
      </c>
      <c r="G492">
        <v>1</v>
      </c>
      <c r="H492" t="s">
        <v>56</v>
      </c>
      <c r="I492" t="s">
        <v>57</v>
      </c>
      <c r="K492" t="s">
        <v>856</v>
      </c>
      <c r="L492" t="s">
        <v>1074</v>
      </c>
      <c r="M492" t="s">
        <v>59</v>
      </c>
      <c r="P492" t="s">
        <v>259</v>
      </c>
      <c r="Q492" t="s">
        <v>502</v>
      </c>
      <c r="R492" t="s">
        <v>260</v>
      </c>
      <c r="S492" t="s">
        <v>98</v>
      </c>
      <c r="T492">
        <v>259.51</v>
      </c>
      <c r="U492">
        <v>251.90199999999999</v>
      </c>
      <c r="V492">
        <f>(T492+U492)/2</f>
        <v>255.70599999999999</v>
      </c>
      <c r="W492">
        <f>T492-U492</f>
        <v>7.6080000000000041</v>
      </c>
      <c r="X492">
        <v>44.416668000000001</v>
      </c>
      <c r="Y492">
        <v>-24</v>
      </c>
      <c r="Z492" t="s">
        <v>99</v>
      </c>
      <c r="AA492" t="s">
        <v>692</v>
      </c>
      <c r="AB492" t="s">
        <v>693</v>
      </c>
      <c r="AD492" t="s">
        <v>694</v>
      </c>
      <c r="AE492" t="s">
        <v>695</v>
      </c>
      <c r="AH492" t="s">
        <v>65</v>
      </c>
      <c r="AI492" t="s">
        <v>1063</v>
      </c>
      <c r="AJ492">
        <v>1926</v>
      </c>
      <c r="AK492" t="s">
        <v>697</v>
      </c>
      <c r="AM492" t="s">
        <v>698</v>
      </c>
      <c r="AN492" t="s">
        <v>121</v>
      </c>
      <c r="AO492" t="s">
        <v>330</v>
      </c>
      <c r="AP492" t="s">
        <v>182</v>
      </c>
      <c r="AQ492" t="s">
        <v>699</v>
      </c>
      <c r="AR492" t="s">
        <v>70</v>
      </c>
      <c r="AS492">
        <v>702</v>
      </c>
      <c r="AT492" t="s">
        <v>71</v>
      </c>
      <c r="AU492">
        <v>22.51</v>
      </c>
      <c r="AV492">
        <v>-42.93</v>
      </c>
      <c r="AW492" t="s">
        <v>72</v>
      </c>
      <c r="AX492">
        <v>702</v>
      </c>
      <c r="AY492" t="s">
        <v>71</v>
      </c>
      <c r="AZ492">
        <v>24.25</v>
      </c>
      <c r="BA492">
        <v>-52.74</v>
      </c>
      <c r="BB492" t="s">
        <v>73</v>
      </c>
    </row>
    <row r="493" spans="1:54" x14ac:dyDescent="0.4">
      <c r="A493">
        <v>1285964</v>
      </c>
      <c r="D493" t="s">
        <v>246</v>
      </c>
      <c r="E493" t="s">
        <v>55</v>
      </c>
      <c r="G493">
        <v>1</v>
      </c>
      <c r="H493" t="s">
        <v>56</v>
      </c>
      <c r="I493" t="s">
        <v>57</v>
      </c>
      <c r="K493" t="s">
        <v>856</v>
      </c>
      <c r="L493" t="s">
        <v>1074</v>
      </c>
      <c r="M493" t="s">
        <v>59</v>
      </c>
      <c r="P493" t="s">
        <v>259</v>
      </c>
      <c r="Q493" t="s">
        <v>502</v>
      </c>
      <c r="R493" t="s">
        <v>260</v>
      </c>
      <c r="S493" t="s">
        <v>98</v>
      </c>
      <c r="T493">
        <v>259.51</v>
      </c>
      <c r="U493">
        <v>251.90199999999999</v>
      </c>
      <c r="V493">
        <f>(T493+U493)/2</f>
        <v>255.70599999999999</v>
      </c>
      <c r="W493">
        <f>T493-U493</f>
        <v>7.6080000000000041</v>
      </c>
      <c r="X493">
        <v>44.416668000000001</v>
      </c>
      <c r="Y493">
        <v>-24</v>
      </c>
      <c r="Z493" t="s">
        <v>99</v>
      </c>
      <c r="AA493" t="s">
        <v>692</v>
      </c>
      <c r="AB493" t="s">
        <v>693</v>
      </c>
      <c r="AD493" t="s">
        <v>694</v>
      </c>
      <c r="AE493" t="s">
        <v>695</v>
      </c>
      <c r="AH493" t="s">
        <v>65</v>
      </c>
      <c r="AI493" t="s">
        <v>1063</v>
      </c>
      <c r="AJ493">
        <v>1926</v>
      </c>
      <c r="AK493" t="s">
        <v>697</v>
      </c>
      <c r="AM493" t="s">
        <v>698</v>
      </c>
      <c r="AN493" t="s">
        <v>121</v>
      </c>
      <c r="AO493" t="s">
        <v>330</v>
      </c>
      <c r="AP493" t="s">
        <v>182</v>
      </c>
      <c r="AQ493" t="s">
        <v>699</v>
      </c>
      <c r="AR493" t="s">
        <v>70</v>
      </c>
      <c r="AS493">
        <v>702</v>
      </c>
      <c r="AT493" t="s">
        <v>71</v>
      </c>
      <c r="AU493">
        <v>22.51</v>
      </c>
      <c r="AV493">
        <v>-42.93</v>
      </c>
      <c r="AW493" t="s">
        <v>72</v>
      </c>
      <c r="AX493">
        <v>702</v>
      </c>
      <c r="AY493" t="s">
        <v>71</v>
      </c>
      <c r="AZ493">
        <v>24.25</v>
      </c>
      <c r="BA493">
        <v>-52.74</v>
      </c>
      <c r="BB493" t="s">
        <v>73</v>
      </c>
    </row>
    <row r="494" spans="1:54" x14ac:dyDescent="0.4">
      <c r="A494">
        <v>1285964</v>
      </c>
      <c r="D494" t="s">
        <v>246</v>
      </c>
      <c r="E494" t="s">
        <v>55</v>
      </c>
      <c r="G494">
        <v>1</v>
      </c>
      <c r="H494" t="s">
        <v>56</v>
      </c>
      <c r="I494" t="s">
        <v>57</v>
      </c>
      <c r="K494" t="s">
        <v>856</v>
      </c>
      <c r="L494" t="s">
        <v>1074</v>
      </c>
      <c r="M494" t="s">
        <v>59</v>
      </c>
      <c r="P494" t="s">
        <v>259</v>
      </c>
      <c r="Q494" t="s">
        <v>502</v>
      </c>
      <c r="R494" t="s">
        <v>260</v>
      </c>
      <c r="S494" t="s">
        <v>98</v>
      </c>
      <c r="T494">
        <v>259.51</v>
      </c>
      <c r="U494">
        <v>251.90199999999999</v>
      </c>
      <c r="V494">
        <f>(T494+U494)/2</f>
        <v>255.70599999999999</v>
      </c>
      <c r="W494">
        <f>T494-U494</f>
        <v>7.6080000000000041</v>
      </c>
      <c r="X494">
        <v>44.416668000000001</v>
      </c>
      <c r="Y494">
        <v>-24</v>
      </c>
      <c r="Z494" t="s">
        <v>99</v>
      </c>
      <c r="AA494" t="s">
        <v>692</v>
      </c>
      <c r="AB494" t="s">
        <v>693</v>
      </c>
      <c r="AD494" t="s">
        <v>694</v>
      </c>
      <c r="AE494" t="s">
        <v>695</v>
      </c>
      <c r="AH494" t="s">
        <v>65</v>
      </c>
      <c r="AI494" t="s">
        <v>1063</v>
      </c>
      <c r="AJ494">
        <v>1926</v>
      </c>
      <c r="AK494" t="s">
        <v>697</v>
      </c>
      <c r="AM494" t="s">
        <v>698</v>
      </c>
      <c r="AN494" t="s">
        <v>121</v>
      </c>
      <c r="AO494" t="s">
        <v>330</v>
      </c>
      <c r="AP494" t="s">
        <v>182</v>
      </c>
      <c r="AQ494" t="s">
        <v>699</v>
      </c>
      <c r="AR494" t="s">
        <v>70</v>
      </c>
      <c r="AS494">
        <v>702</v>
      </c>
      <c r="AT494" t="s">
        <v>71</v>
      </c>
      <c r="AU494">
        <v>22.51</v>
      </c>
      <c r="AV494">
        <v>-42.93</v>
      </c>
      <c r="AW494" t="s">
        <v>72</v>
      </c>
      <c r="AX494">
        <v>702</v>
      </c>
      <c r="AY494" t="s">
        <v>71</v>
      </c>
      <c r="AZ494">
        <v>24.25</v>
      </c>
      <c r="BA494">
        <v>-52.74</v>
      </c>
      <c r="BB494" t="s">
        <v>73</v>
      </c>
    </row>
    <row r="495" spans="1:54" x14ac:dyDescent="0.4">
      <c r="A495">
        <v>1285964</v>
      </c>
      <c r="D495" t="s">
        <v>246</v>
      </c>
      <c r="E495" t="s">
        <v>55</v>
      </c>
      <c r="G495">
        <v>1</v>
      </c>
      <c r="H495" t="s">
        <v>56</v>
      </c>
      <c r="I495" t="s">
        <v>57</v>
      </c>
      <c r="K495" t="s">
        <v>856</v>
      </c>
      <c r="L495" t="s">
        <v>1074</v>
      </c>
      <c r="M495" t="s">
        <v>59</v>
      </c>
      <c r="P495" t="s">
        <v>259</v>
      </c>
      <c r="Q495" t="s">
        <v>502</v>
      </c>
      <c r="R495" t="s">
        <v>260</v>
      </c>
      <c r="S495" t="s">
        <v>98</v>
      </c>
      <c r="T495">
        <v>259.51</v>
      </c>
      <c r="U495">
        <v>251.90199999999999</v>
      </c>
      <c r="V495">
        <f>(T495+U495)/2</f>
        <v>255.70599999999999</v>
      </c>
      <c r="W495">
        <f>T495-U495</f>
        <v>7.6080000000000041</v>
      </c>
      <c r="X495">
        <v>44.416668000000001</v>
      </c>
      <c r="Y495">
        <v>-24</v>
      </c>
      <c r="Z495" t="s">
        <v>99</v>
      </c>
      <c r="AA495" t="s">
        <v>692</v>
      </c>
      <c r="AB495" t="s">
        <v>693</v>
      </c>
      <c r="AD495" t="s">
        <v>694</v>
      </c>
      <c r="AE495" t="s">
        <v>695</v>
      </c>
      <c r="AH495" t="s">
        <v>65</v>
      </c>
      <c r="AI495" t="s">
        <v>1063</v>
      </c>
      <c r="AJ495">
        <v>1926</v>
      </c>
      <c r="AK495" t="s">
        <v>697</v>
      </c>
      <c r="AM495" t="s">
        <v>698</v>
      </c>
      <c r="AN495" t="s">
        <v>121</v>
      </c>
      <c r="AO495" t="s">
        <v>330</v>
      </c>
      <c r="AP495" t="s">
        <v>182</v>
      </c>
      <c r="AQ495" t="s">
        <v>699</v>
      </c>
      <c r="AR495" t="s">
        <v>70</v>
      </c>
      <c r="AS495">
        <v>702</v>
      </c>
      <c r="AT495" t="s">
        <v>71</v>
      </c>
      <c r="AU495">
        <v>22.51</v>
      </c>
      <c r="AV495">
        <v>-42.93</v>
      </c>
      <c r="AW495" t="s">
        <v>72</v>
      </c>
      <c r="AX495">
        <v>702</v>
      </c>
      <c r="AY495" t="s">
        <v>71</v>
      </c>
      <c r="AZ495">
        <v>24.25</v>
      </c>
      <c r="BA495">
        <v>-52.74</v>
      </c>
      <c r="BB495" t="s">
        <v>73</v>
      </c>
    </row>
    <row r="496" spans="1:54" x14ac:dyDescent="0.4">
      <c r="A496">
        <v>1285964</v>
      </c>
      <c r="D496" t="s">
        <v>246</v>
      </c>
      <c r="E496" t="s">
        <v>55</v>
      </c>
      <c r="G496">
        <v>1</v>
      </c>
      <c r="H496" t="s">
        <v>56</v>
      </c>
      <c r="I496" t="s">
        <v>57</v>
      </c>
      <c r="K496" t="s">
        <v>856</v>
      </c>
      <c r="L496" t="s">
        <v>1074</v>
      </c>
      <c r="M496" t="s">
        <v>59</v>
      </c>
      <c r="P496" t="s">
        <v>259</v>
      </c>
      <c r="Q496" t="s">
        <v>502</v>
      </c>
      <c r="R496" t="s">
        <v>260</v>
      </c>
      <c r="S496" t="s">
        <v>98</v>
      </c>
      <c r="T496">
        <v>259.51</v>
      </c>
      <c r="U496">
        <v>251.90199999999999</v>
      </c>
      <c r="V496">
        <f>(T496+U496)/2</f>
        <v>255.70599999999999</v>
      </c>
      <c r="W496">
        <f>T496-U496</f>
        <v>7.6080000000000041</v>
      </c>
      <c r="X496">
        <v>44.416668000000001</v>
      </c>
      <c r="Y496">
        <v>-24</v>
      </c>
      <c r="Z496" t="s">
        <v>99</v>
      </c>
      <c r="AA496" t="s">
        <v>692</v>
      </c>
      <c r="AB496" t="s">
        <v>693</v>
      </c>
      <c r="AD496" t="s">
        <v>694</v>
      </c>
      <c r="AE496" t="s">
        <v>695</v>
      </c>
      <c r="AH496" t="s">
        <v>65</v>
      </c>
      <c r="AI496" t="s">
        <v>1063</v>
      </c>
      <c r="AJ496">
        <v>1926</v>
      </c>
      <c r="AK496" t="s">
        <v>697</v>
      </c>
      <c r="AM496" t="s">
        <v>698</v>
      </c>
      <c r="AN496" t="s">
        <v>121</v>
      </c>
      <c r="AO496" t="s">
        <v>330</v>
      </c>
      <c r="AP496" t="s">
        <v>182</v>
      </c>
      <c r="AQ496" t="s">
        <v>699</v>
      </c>
      <c r="AR496" t="s">
        <v>70</v>
      </c>
      <c r="AS496">
        <v>702</v>
      </c>
      <c r="AT496" t="s">
        <v>71</v>
      </c>
      <c r="AU496">
        <v>22.51</v>
      </c>
      <c r="AV496">
        <v>-42.93</v>
      </c>
      <c r="AW496" t="s">
        <v>72</v>
      </c>
      <c r="AX496">
        <v>702</v>
      </c>
      <c r="AY496" t="s">
        <v>71</v>
      </c>
      <c r="AZ496">
        <v>24.25</v>
      </c>
      <c r="BA496">
        <v>-52.74</v>
      </c>
      <c r="BB496" t="s">
        <v>73</v>
      </c>
    </row>
    <row r="497" spans="1:54" x14ac:dyDescent="0.4">
      <c r="A497">
        <v>1285964</v>
      </c>
      <c r="D497" t="s">
        <v>246</v>
      </c>
      <c r="E497" t="s">
        <v>55</v>
      </c>
      <c r="G497">
        <v>1</v>
      </c>
      <c r="H497" t="s">
        <v>56</v>
      </c>
      <c r="I497" t="s">
        <v>57</v>
      </c>
      <c r="K497" t="s">
        <v>856</v>
      </c>
      <c r="L497" t="s">
        <v>1074</v>
      </c>
      <c r="M497" t="s">
        <v>59</v>
      </c>
      <c r="P497" t="s">
        <v>259</v>
      </c>
      <c r="Q497" t="s">
        <v>502</v>
      </c>
      <c r="R497" t="s">
        <v>260</v>
      </c>
      <c r="S497" t="s">
        <v>98</v>
      </c>
      <c r="T497">
        <v>259.51</v>
      </c>
      <c r="U497">
        <v>251.90199999999999</v>
      </c>
      <c r="V497">
        <f>(T497+U497)/2</f>
        <v>255.70599999999999</v>
      </c>
      <c r="W497">
        <f>T497-U497</f>
        <v>7.6080000000000041</v>
      </c>
      <c r="X497">
        <v>44.416668000000001</v>
      </c>
      <c r="Y497">
        <v>-24</v>
      </c>
      <c r="Z497" t="s">
        <v>99</v>
      </c>
      <c r="AA497" t="s">
        <v>692</v>
      </c>
      <c r="AB497" t="s">
        <v>693</v>
      </c>
      <c r="AD497" t="s">
        <v>694</v>
      </c>
      <c r="AE497" t="s">
        <v>695</v>
      </c>
      <c r="AH497" t="s">
        <v>65</v>
      </c>
      <c r="AI497" t="s">
        <v>1063</v>
      </c>
      <c r="AJ497">
        <v>1926</v>
      </c>
      <c r="AK497" t="s">
        <v>697</v>
      </c>
      <c r="AM497" t="s">
        <v>698</v>
      </c>
      <c r="AN497" t="s">
        <v>121</v>
      </c>
      <c r="AO497" t="s">
        <v>330</v>
      </c>
      <c r="AP497" t="s">
        <v>182</v>
      </c>
      <c r="AQ497" t="s">
        <v>699</v>
      </c>
      <c r="AR497" t="s">
        <v>70</v>
      </c>
      <c r="AS497">
        <v>702</v>
      </c>
      <c r="AT497" t="s">
        <v>71</v>
      </c>
      <c r="AU497">
        <v>22.51</v>
      </c>
      <c r="AV497">
        <v>-42.93</v>
      </c>
      <c r="AW497" t="s">
        <v>72</v>
      </c>
      <c r="AX497">
        <v>702</v>
      </c>
      <c r="AY497" t="s">
        <v>71</v>
      </c>
      <c r="AZ497">
        <v>24.25</v>
      </c>
      <c r="BA497">
        <v>-52.74</v>
      </c>
      <c r="BB497" t="s">
        <v>73</v>
      </c>
    </row>
    <row r="498" spans="1:54" x14ac:dyDescent="0.4">
      <c r="A498">
        <v>1285964</v>
      </c>
      <c r="D498" t="s">
        <v>246</v>
      </c>
      <c r="E498" t="s">
        <v>55</v>
      </c>
      <c r="G498">
        <v>1</v>
      </c>
      <c r="H498" t="s">
        <v>56</v>
      </c>
      <c r="I498" t="s">
        <v>57</v>
      </c>
      <c r="K498" t="s">
        <v>856</v>
      </c>
      <c r="L498" t="s">
        <v>1074</v>
      </c>
      <c r="M498" t="s">
        <v>59</v>
      </c>
      <c r="P498" t="s">
        <v>259</v>
      </c>
      <c r="Q498" t="s">
        <v>502</v>
      </c>
      <c r="R498" t="s">
        <v>260</v>
      </c>
      <c r="S498" t="s">
        <v>98</v>
      </c>
      <c r="T498">
        <v>259.51</v>
      </c>
      <c r="U498">
        <v>251.90199999999999</v>
      </c>
      <c r="V498">
        <f>(T498+U498)/2</f>
        <v>255.70599999999999</v>
      </c>
      <c r="W498">
        <f>T498-U498</f>
        <v>7.6080000000000041</v>
      </c>
      <c r="X498">
        <v>44.416668000000001</v>
      </c>
      <c r="Y498">
        <v>-24</v>
      </c>
      <c r="Z498" t="s">
        <v>99</v>
      </c>
      <c r="AA498" t="s">
        <v>692</v>
      </c>
      <c r="AB498" t="s">
        <v>693</v>
      </c>
      <c r="AD498" t="s">
        <v>694</v>
      </c>
      <c r="AE498" t="s">
        <v>695</v>
      </c>
      <c r="AH498" t="s">
        <v>65</v>
      </c>
      <c r="AI498" t="s">
        <v>1063</v>
      </c>
      <c r="AJ498">
        <v>1926</v>
      </c>
      <c r="AK498" t="s">
        <v>697</v>
      </c>
      <c r="AM498" t="s">
        <v>698</v>
      </c>
      <c r="AN498" t="s">
        <v>121</v>
      </c>
      <c r="AO498" t="s">
        <v>330</v>
      </c>
      <c r="AP498" t="s">
        <v>182</v>
      </c>
      <c r="AQ498" t="s">
        <v>699</v>
      </c>
      <c r="AR498" t="s">
        <v>70</v>
      </c>
      <c r="AS498">
        <v>702</v>
      </c>
      <c r="AT498" t="s">
        <v>71</v>
      </c>
      <c r="AU498">
        <v>22.51</v>
      </c>
      <c r="AV498">
        <v>-42.93</v>
      </c>
      <c r="AW498" t="s">
        <v>72</v>
      </c>
      <c r="AX498">
        <v>702</v>
      </c>
      <c r="AY498" t="s">
        <v>71</v>
      </c>
      <c r="AZ498">
        <v>24.25</v>
      </c>
      <c r="BA498">
        <v>-52.74</v>
      </c>
      <c r="BB498" t="s">
        <v>73</v>
      </c>
    </row>
    <row r="499" spans="1:54" x14ac:dyDescent="0.4">
      <c r="A499">
        <v>1285964</v>
      </c>
      <c r="D499" t="s">
        <v>246</v>
      </c>
      <c r="E499" t="s">
        <v>55</v>
      </c>
      <c r="G499">
        <v>1</v>
      </c>
      <c r="H499" t="s">
        <v>56</v>
      </c>
      <c r="I499" t="s">
        <v>57</v>
      </c>
      <c r="K499" t="s">
        <v>856</v>
      </c>
      <c r="L499" t="s">
        <v>1074</v>
      </c>
      <c r="M499" t="s">
        <v>59</v>
      </c>
      <c r="P499" t="s">
        <v>259</v>
      </c>
      <c r="Q499" t="s">
        <v>502</v>
      </c>
      <c r="R499" t="s">
        <v>260</v>
      </c>
      <c r="S499" t="s">
        <v>98</v>
      </c>
      <c r="T499">
        <v>259.51</v>
      </c>
      <c r="U499">
        <v>251.90199999999999</v>
      </c>
      <c r="V499">
        <f>(T499+U499)/2</f>
        <v>255.70599999999999</v>
      </c>
      <c r="W499">
        <f>T499-U499</f>
        <v>7.6080000000000041</v>
      </c>
      <c r="X499">
        <v>44.416668000000001</v>
      </c>
      <c r="Y499">
        <v>-24</v>
      </c>
      <c r="Z499" t="s">
        <v>99</v>
      </c>
      <c r="AA499" t="s">
        <v>692</v>
      </c>
      <c r="AB499" t="s">
        <v>693</v>
      </c>
      <c r="AD499" t="s">
        <v>694</v>
      </c>
      <c r="AE499" t="s">
        <v>695</v>
      </c>
      <c r="AH499" t="s">
        <v>65</v>
      </c>
      <c r="AI499" t="s">
        <v>1063</v>
      </c>
      <c r="AJ499">
        <v>1926</v>
      </c>
      <c r="AK499" t="s">
        <v>697</v>
      </c>
      <c r="AM499" t="s">
        <v>698</v>
      </c>
      <c r="AN499" t="s">
        <v>121</v>
      </c>
      <c r="AO499" t="s">
        <v>330</v>
      </c>
      <c r="AP499" t="s">
        <v>182</v>
      </c>
      <c r="AQ499" t="s">
        <v>699</v>
      </c>
      <c r="AR499" t="s">
        <v>70</v>
      </c>
      <c r="AS499">
        <v>702</v>
      </c>
      <c r="AT499" t="s">
        <v>71</v>
      </c>
      <c r="AU499">
        <v>22.51</v>
      </c>
      <c r="AV499">
        <v>-42.93</v>
      </c>
      <c r="AW499" t="s">
        <v>72</v>
      </c>
      <c r="AX499">
        <v>702</v>
      </c>
      <c r="AY499" t="s">
        <v>71</v>
      </c>
      <c r="AZ499">
        <v>24.25</v>
      </c>
      <c r="BA499">
        <v>-52.74</v>
      </c>
      <c r="BB499" t="s">
        <v>73</v>
      </c>
    </row>
    <row r="500" spans="1:54" x14ac:dyDescent="0.4">
      <c r="A500">
        <v>1285964</v>
      </c>
      <c r="D500" t="s">
        <v>246</v>
      </c>
      <c r="E500" t="s">
        <v>55</v>
      </c>
      <c r="G500">
        <v>1</v>
      </c>
      <c r="H500" t="s">
        <v>56</v>
      </c>
      <c r="I500" t="s">
        <v>57</v>
      </c>
      <c r="K500" t="s">
        <v>856</v>
      </c>
      <c r="L500" t="s">
        <v>1074</v>
      </c>
      <c r="M500" t="s">
        <v>59</v>
      </c>
      <c r="P500" t="s">
        <v>259</v>
      </c>
      <c r="Q500" t="s">
        <v>502</v>
      </c>
      <c r="R500" t="s">
        <v>260</v>
      </c>
      <c r="S500" t="s">
        <v>98</v>
      </c>
      <c r="T500">
        <v>259.51</v>
      </c>
      <c r="U500">
        <v>251.90199999999999</v>
      </c>
      <c r="V500">
        <f>(T500+U500)/2</f>
        <v>255.70599999999999</v>
      </c>
      <c r="W500">
        <f>T500-U500</f>
        <v>7.6080000000000041</v>
      </c>
      <c r="X500">
        <v>44.416668000000001</v>
      </c>
      <c r="Y500">
        <v>-24</v>
      </c>
      <c r="Z500" t="s">
        <v>99</v>
      </c>
      <c r="AA500" t="s">
        <v>692</v>
      </c>
      <c r="AB500" t="s">
        <v>693</v>
      </c>
      <c r="AD500" t="s">
        <v>694</v>
      </c>
      <c r="AE500" t="s">
        <v>695</v>
      </c>
      <c r="AH500" t="s">
        <v>65</v>
      </c>
      <c r="AI500" t="s">
        <v>1063</v>
      </c>
      <c r="AJ500">
        <v>1926</v>
      </c>
      <c r="AK500" t="s">
        <v>697</v>
      </c>
      <c r="AM500" t="s">
        <v>698</v>
      </c>
      <c r="AN500" t="s">
        <v>121</v>
      </c>
      <c r="AO500" t="s">
        <v>330</v>
      </c>
      <c r="AP500" t="s">
        <v>182</v>
      </c>
      <c r="AQ500" t="s">
        <v>699</v>
      </c>
      <c r="AR500" t="s">
        <v>70</v>
      </c>
      <c r="AS500">
        <v>702</v>
      </c>
      <c r="AT500" t="s">
        <v>71</v>
      </c>
      <c r="AU500">
        <v>22.51</v>
      </c>
      <c r="AV500">
        <v>-42.93</v>
      </c>
      <c r="AW500" t="s">
        <v>72</v>
      </c>
      <c r="AX500">
        <v>702</v>
      </c>
      <c r="AY500" t="s">
        <v>71</v>
      </c>
      <c r="AZ500">
        <v>24.25</v>
      </c>
      <c r="BA500">
        <v>-52.74</v>
      </c>
      <c r="BB500" t="s">
        <v>73</v>
      </c>
    </row>
    <row r="501" spans="1:54" x14ac:dyDescent="0.4">
      <c r="A501">
        <v>1285964</v>
      </c>
      <c r="D501" t="s">
        <v>246</v>
      </c>
      <c r="E501" t="s">
        <v>55</v>
      </c>
      <c r="G501">
        <v>1</v>
      </c>
      <c r="H501" t="s">
        <v>56</v>
      </c>
      <c r="I501" t="s">
        <v>57</v>
      </c>
      <c r="K501" t="s">
        <v>856</v>
      </c>
      <c r="L501" t="s">
        <v>1074</v>
      </c>
      <c r="M501" t="s">
        <v>59</v>
      </c>
      <c r="P501" t="s">
        <v>259</v>
      </c>
      <c r="Q501" t="s">
        <v>502</v>
      </c>
      <c r="R501" t="s">
        <v>260</v>
      </c>
      <c r="S501" t="s">
        <v>98</v>
      </c>
      <c r="T501">
        <v>259.51</v>
      </c>
      <c r="U501">
        <v>251.90199999999999</v>
      </c>
      <c r="V501">
        <f>(T501+U501)/2</f>
        <v>255.70599999999999</v>
      </c>
      <c r="W501">
        <f>T501-U501</f>
        <v>7.6080000000000041</v>
      </c>
      <c r="X501">
        <v>44.416668000000001</v>
      </c>
      <c r="Y501">
        <v>-24</v>
      </c>
      <c r="Z501" t="s">
        <v>99</v>
      </c>
      <c r="AA501" t="s">
        <v>692</v>
      </c>
      <c r="AB501" t="s">
        <v>693</v>
      </c>
      <c r="AD501" t="s">
        <v>694</v>
      </c>
      <c r="AE501" t="s">
        <v>695</v>
      </c>
      <c r="AH501" t="s">
        <v>65</v>
      </c>
      <c r="AI501" t="s">
        <v>1063</v>
      </c>
      <c r="AJ501">
        <v>1926</v>
      </c>
      <c r="AK501" t="s">
        <v>697</v>
      </c>
      <c r="AM501" t="s">
        <v>698</v>
      </c>
      <c r="AN501" t="s">
        <v>121</v>
      </c>
      <c r="AO501" t="s">
        <v>330</v>
      </c>
      <c r="AP501" t="s">
        <v>182</v>
      </c>
      <c r="AQ501" t="s">
        <v>699</v>
      </c>
      <c r="AR501" t="s">
        <v>70</v>
      </c>
      <c r="AS501">
        <v>702</v>
      </c>
      <c r="AT501" t="s">
        <v>71</v>
      </c>
      <c r="AU501">
        <v>22.51</v>
      </c>
      <c r="AV501">
        <v>-42.93</v>
      </c>
      <c r="AW501" t="s">
        <v>72</v>
      </c>
      <c r="AX501">
        <v>702</v>
      </c>
      <c r="AY501" t="s">
        <v>71</v>
      </c>
      <c r="AZ501">
        <v>24.25</v>
      </c>
      <c r="BA501">
        <v>-52.74</v>
      </c>
      <c r="BB501" t="s">
        <v>73</v>
      </c>
    </row>
    <row r="502" spans="1:54" x14ac:dyDescent="0.4">
      <c r="A502">
        <v>1285964</v>
      </c>
      <c r="D502" t="s">
        <v>246</v>
      </c>
      <c r="E502" t="s">
        <v>55</v>
      </c>
      <c r="G502">
        <v>1</v>
      </c>
      <c r="H502" t="s">
        <v>56</v>
      </c>
      <c r="I502" t="s">
        <v>57</v>
      </c>
      <c r="K502" t="s">
        <v>856</v>
      </c>
      <c r="L502" t="s">
        <v>1074</v>
      </c>
      <c r="M502" t="s">
        <v>59</v>
      </c>
      <c r="P502" t="s">
        <v>259</v>
      </c>
      <c r="Q502" t="s">
        <v>502</v>
      </c>
      <c r="R502" t="s">
        <v>260</v>
      </c>
      <c r="S502" t="s">
        <v>98</v>
      </c>
      <c r="T502">
        <v>259.51</v>
      </c>
      <c r="U502">
        <v>251.90199999999999</v>
      </c>
      <c r="V502">
        <f>(T502+U502)/2</f>
        <v>255.70599999999999</v>
      </c>
      <c r="W502">
        <f>T502-U502</f>
        <v>7.6080000000000041</v>
      </c>
      <c r="X502">
        <v>44.416668000000001</v>
      </c>
      <c r="Y502">
        <v>-24</v>
      </c>
      <c r="Z502" t="s">
        <v>99</v>
      </c>
      <c r="AA502" t="s">
        <v>692</v>
      </c>
      <c r="AB502" t="s">
        <v>693</v>
      </c>
      <c r="AD502" t="s">
        <v>694</v>
      </c>
      <c r="AE502" t="s">
        <v>695</v>
      </c>
      <c r="AH502" t="s">
        <v>65</v>
      </c>
      <c r="AI502" t="s">
        <v>1063</v>
      </c>
      <c r="AJ502">
        <v>1926</v>
      </c>
      <c r="AK502" t="s">
        <v>697</v>
      </c>
      <c r="AM502" t="s">
        <v>698</v>
      </c>
      <c r="AN502" t="s">
        <v>121</v>
      </c>
      <c r="AO502" t="s">
        <v>330</v>
      </c>
      <c r="AP502" t="s">
        <v>182</v>
      </c>
      <c r="AQ502" t="s">
        <v>699</v>
      </c>
      <c r="AR502" t="s">
        <v>70</v>
      </c>
      <c r="AS502">
        <v>702</v>
      </c>
      <c r="AT502" t="s">
        <v>71</v>
      </c>
      <c r="AU502">
        <v>22.51</v>
      </c>
      <c r="AV502">
        <v>-42.93</v>
      </c>
      <c r="AW502" t="s">
        <v>72</v>
      </c>
      <c r="AX502">
        <v>702</v>
      </c>
      <c r="AY502" t="s">
        <v>71</v>
      </c>
      <c r="AZ502">
        <v>24.25</v>
      </c>
      <c r="BA502">
        <v>-52.74</v>
      </c>
      <c r="BB502" t="s">
        <v>73</v>
      </c>
    </row>
    <row r="503" spans="1:54" x14ac:dyDescent="0.4">
      <c r="A503">
        <v>1285964</v>
      </c>
      <c r="D503" t="s">
        <v>246</v>
      </c>
      <c r="E503" t="s">
        <v>55</v>
      </c>
      <c r="G503">
        <v>1</v>
      </c>
      <c r="H503" t="s">
        <v>56</v>
      </c>
      <c r="I503" t="s">
        <v>57</v>
      </c>
      <c r="K503" t="s">
        <v>856</v>
      </c>
      <c r="L503" t="s">
        <v>1074</v>
      </c>
      <c r="M503" t="s">
        <v>59</v>
      </c>
      <c r="P503" t="s">
        <v>259</v>
      </c>
      <c r="Q503" t="s">
        <v>502</v>
      </c>
      <c r="R503" t="s">
        <v>260</v>
      </c>
      <c r="S503" t="s">
        <v>98</v>
      </c>
      <c r="T503">
        <v>259.51</v>
      </c>
      <c r="U503">
        <v>251.90199999999999</v>
      </c>
      <c r="V503">
        <f>(T503+U503)/2</f>
        <v>255.70599999999999</v>
      </c>
      <c r="W503">
        <f>T503-U503</f>
        <v>7.6080000000000041</v>
      </c>
      <c r="X503">
        <v>44.416668000000001</v>
      </c>
      <c r="Y503">
        <v>-24</v>
      </c>
      <c r="Z503" t="s">
        <v>99</v>
      </c>
      <c r="AA503" t="s">
        <v>692</v>
      </c>
      <c r="AB503" t="s">
        <v>693</v>
      </c>
      <c r="AD503" t="s">
        <v>694</v>
      </c>
      <c r="AE503" t="s">
        <v>695</v>
      </c>
      <c r="AH503" t="s">
        <v>65</v>
      </c>
      <c r="AI503" t="s">
        <v>1063</v>
      </c>
      <c r="AJ503">
        <v>1926</v>
      </c>
      <c r="AK503" t="s">
        <v>697</v>
      </c>
      <c r="AM503" t="s">
        <v>698</v>
      </c>
      <c r="AN503" t="s">
        <v>121</v>
      </c>
      <c r="AO503" t="s">
        <v>330</v>
      </c>
      <c r="AP503" t="s">
        <v>182</v>
      </c>
      <c r="AQ503" t="s">
        <v>699</v>
      </c>
      <c r="AR503" t="s">
        <v>70</v>
      </c>
      <c r="AS503">
        <v>702</v>
      </c>
      <c r="AT503" t="s">
        <v>71</v>
      </c>
      <c r="AU503">
        <v>22.51</v>
      </c>
      <c r="AV503">
        <v>-42.93</v>
      </c>
      <c r="AW503" t="s">
        <v>72</v>
      </c>
      <c r="AX503">
        <v>702</v>
      </c>
      <c r="AY503" t="s">
        <v>71</v>
      </c>
      <c r="AZ503">
        <v>24.25</v>
      </c>
      <c r="BA503">
        <v>-52.74</v>
      </c>
      <c r="BB503" t="s">
        <v>73</v>
      </c>
    </row>
    <row r="504" spans="1:54" x14ac:dyDescent="0.4">
      <c r="A504">
        <v>1285964</v>
      </c>
      <c r="D504" t="s">
        <v>246</v>
      </c>
      <c r="E504" t="s">
        <v>55</v>
      </c>
      <c r="G504">
        <v>1</v>
      </c>
      <c r="H504" t="s">
        <v>56</v>
      </c>
      <c r="I504" t="s">
        <v>57</v>
      </c>
      <c r="K504" t="s">
        <v>856</v>
      </c>
      <c r="L504" t="s">
        <v>1074</v>
      </c>
      <c r="M504" t="s">
        <v>59</v>
      </c>
      <c r="P504" t="s">
        <v>259</v>
      </c>
      <c r="Q504" t="s">
        <v>502</v>
      </c>
      <c r="R504" t="s">
        <v>260</v>
      </c>
      <c r="S504" t="s">
        <v>98</v>
      </c>
      <c r="T504">
        <v>259.51</v>
      </c>
      <c r="U504">
        <v>251.90199999999999</v>
      </c>
      <c r="V504">
        <f>(T504+U504)/2</f>
        <v>255.70599999999999</v>
      </c>
      <c r="W504">
        <f>T504-U504</f>
        <v>7.6080000000000041</v>
      </c>
      <c r="X504">
        <v>44.416668000000001</v>
      </c>
      <c r="Y504">
        <v>-24</v>
      </c>
      <c r="Z504" t="s">
        <v>99</v>
      </c>
      <c r="AA504" t="s">
        <v>692</v>
      </c>
      <c r="AB504" t="s">
        <v>693</v>
      </c>
      <c r="AD504" t="s">
        <v>694</v>
      </c>
      <c r="AE504" t="s">
        <v>695</v>
      </c>
      <c r="AH504" t="s">
        <v>65</v>
      </c>
      <c r="AI504" t="s">
        <v>1063</v>
      </c>
      <c r="AJ504">
        <v>1926</v>
      </c>
      <c r="AK504" t="s">
        <v>697</v>
      </c>
      <c r="AM504" t="s">
        <v>698</v>
      </c>
      <c r="AN504" t="s">
        <v>121</v>
      </c>
      <c r="AO504" t="s">
        <v>330</v>
      </c>
      <c r="AP504" t="s">
        <v>182</v>
      </c>
      <c r="AQ504" t="s">
        <v>699</v>
      </c>
      <c r="AR504" t="s">
        <v>70</v>
      </c>
      <c r="AS504">
        <v>702</v>
      </c>
      <c r="AT504" t="s">
        <v>71</v>
      </c>
      <c r="AU504">
        <v>22.51</v>
      </c>
      <c r="AV504">
        <v>-42.93</v>
      </c>
      <c r="AW504" t="s">
        <v>72</v>
      </c>
      <c r="AX504">
        <v>702</v>
      </c>
      <c r="AY504" t="s">
        <v>71</v>
      </c>
      <c r="AZ504">
        <v>24.25</v>
      </c>
      <c r="BA504">
        <v>-52.74</v>
      </c>
      <c r="BB504" t="s">
        <v>73</v>
      </c>
    </row>
    <row r="505" spans="1:54" x14ac:dyDescent="0.4">
      <c r="A505">
        <v>1285964</v>
      </c>
      <c r="D505" t="s">
        <v>246</v>
      </c>
      <c r="E505" t="s">
        <v>55</v>
      </c>
      <c r="G505">
        <v>1</v>
      </c>
      <c r="H505" t="s">
        <v>56</v>
      </c>
      <c r="I505" t="s">
        <v>57</v>
      </c>
      <c r="K505" t="s">
        <v>856</v>
      </c>
      <c r="L505" t="s">
        <v>1074</v>
      </c>
      <c r="M505" t="s">
        <v>59</v>
      </c>
      <c r="P505" t="s">
        <v>259</v>
      </c>
      <c r="Q505" t="s">
        <v>502</v>
      </c>
      <c r="R505" t="s">
        <v>260</v>
      </c>
      <c r="S505" t="s">
        <v>98</v>
      </c>
      <c r="T505">
        <v>259.51</v>
      </c>
      <c r="U505">
        <v>251.90199999999999</v>
      </c>
      <c r="V505">
        <f>(T505+U505)/2</f>
        <v>255.70599999999999</v>
      </c>
      <c r="W505">
        <f>T505-U505</f>
        <v>7.6080000000000041</v>
      </c>
      <c r="X505">
        <v>44.416668000000001</v>
      </c>
      <c r="Y505">
        <v>-24</v>
      </c>
      <c r="Z505" t="s">
        <v>99</v>
      </c>
      <c r="AA505" t="s">
        <v>692</v>
      </c>
      <c r="AB505" t="s">
        <v>693</v>
      </c>
      <c r="AD505" t="s">
        <v>694</v>
      </c>
      <c r="AE505" t="s">
        <v>695</v>
      </c>
      <c r="AH505" t="s">
        <v>65</v>
      </c>
      <c r="AI505" t="s">
        <v>1063</v>
      </c>
      <c r="AJ505">
        <v>1926</v>
      </c>
      <c r="AK505" t="s">
        <v>697</v>
      </c>
      <c r="AM505" t="s">
        <v>698</v>
      </c>
      <c r="AN505" t="s">
        <v>121</v>
      </c>
      <c r="AO505" t="s">
        <v>330</v>
      </c>
      <c r="AP505" t="s">
        <v>182</v>
      </c>
      <c r="AQ505" t="s">
        <v>699</v>
      </c>
      <c r="AR505" t="s">
        <v>70</v>
      </c>
      <c r="AS505">
        <v>702</v>
      </c>
      <c r="AT505" t="s">
        <v>71</v>
      </c>
      <c r="AU505">
        <v>22.51</v>
      </c>
      <c r="AV505">
        <v>-42.93</v>
      </c>
      <c r="AW505" t="s">
        <v>72</v>
      </c>
      <c r="AX505">
        <v>702</v>
      </c>
      <c r="AY505" t="s">
        <v>71</v>
      </c>
      <c r="AZ505">
        <v>24.25</v>
      </c>
      <c r="BA505">
        <v>-52.74</v>
      </c>
      <c r="BB505" t="s">
        <v>73</v>
      </c>
    </row>
    <row r="506" spans="1:54" x14ac:dyDescent="0.4">
      <c r="A506">
        <v>1285964</v>
      </c>
      <c r="D506" t="s">
        <v>246</v>
      </c>
      <c r="E506" t="s">
        <v>55</v>
      </c>
      <c r="G506">
        <v>1</v>
      </c>
      <c r="H506" t="s">
        <v>56</v>
      </c>
      <c r="I506" t="s">
        <v>57</v>
      </c>
      <c r="K506" t="s">
        <v>856</v>
      </c>
      <c r="L506" t="s">
        <v>1074</v>
      </c>
      <c r="M506" t="s">
        <v>59</v>
      </c>
      <c r="P506" t="s">
        <v>259</v>
      </c>
      <c r="Q506" t="s">
        <v>502</v>
      </c>
      <c r="R506" t="s">
        <v>260</v>
      </c>
      <c r="S506" t="s">
        <v>98</v>
      </c>
      <c r="T506">
        <v>259.51</v>
      </c>
      <c r="U506">
        <v>251.90199999999999</v>
      </c>
      <c r="V506">
        <f>(T506+U506)/2</f>
        <v>255.70599999999999</v>
      </c>
      <c r="W506">
        <f>T506-U506</f>
        <v>7.6080000000000041</v>
      </c>
      <c r="X506">
        <v>44.416668000000001</v>
      </c>
      <c r="Y506">
        <v>-24</v>
      </c>
      <c r="Z506" t="s">
        <v>99</v>
      </c>
      <c r="AA506" t="s">
        <v>692</v>
      </c>
      <c r="AB506" t="s">
        <v>693</v>
      </c>
      <c r="AD506" t="s">
        <v>694</v>
      </c>
      <c r="AE506" t="s">
        <v>695</v>
      </c>
      <c r="AH506" t="s">
        <v>65</v>
      </c>
      <c r="AI506" t="s">
        <v>1063</v>
      </c>
      <c r="AJ506">
        <v>1926</v>
      </c>
      <c r="AK506" t="s">
        <v>697</v>
      </c>
      <c r="AM506" t="s">
        <v>698</v>
      </c>
      <c r="AN506" t="s">
        <v>121</v>
      </c>
      <c r="AO506" t="s">
        <v>330</v>
      </c>
      <c r="AP506" t="s">
        <v>182</v>
      </c>
      <c r="AQ506" t="s">
        <v>699</v>
      </c>
      <c r="AR506" t="s">
        <v>70</v>
      </c>
      <c r="AS506">
        <v>702</v>
      </c>
      <c r="AT506" t="s">
        <v>71</v>
      </c>
      <c r="AU506">
        <v>22.51</v>
      </c>
      <c r="AV506">
        <v>-42.93</v>
      </c>
      <c r="AW506" t="s">
        <v>72</v>
      </c>
      <c r="AX506">
        <v>702</v>
      </c>
      <c r="AY506" t="s">
        <v>71</v>
      </c>
      <c r="AZ506">
        <v>24.25</v>
      </c>
      <c r="BA506">
        <v>-52.74</v>
      </c>
      <c r="BB506" t="s">
        <v>73</v>
      </c>
    </row>
    <row r="507" spans="1:54" x14ac:dyDescent="0.4">
      <c r="A507">
        <v>1285964</v>
      </c>
      <c r="D507" t="s">
        <v>246</v>
      </c>
      <c r="E507" t="s">
        <v>55</v>
      </c>
      <c r="G507">
        <v>1</v>
      </c>
      <c r="H507" t="s">
        <v>56</v>
      </c>
      <c r="I507" t="s">
        <v>57</v>
      </c>
      <c r="K507" t="s">
        <v>856</v>
      </c>
      <c r="L507" t="s">
        <v>1074</v>
      </c>
      <c r="M507" t="s">
        <v>59</v>
      </c>
      <c r="P507" t="s">
        <v>259</v>
      </c>
      <c r="Q507" t="s">
        <v>502</v>
      </c>
      <c r="R507" t="s">
        <v>260</v>
      </c>
      <c r="S507" t="s">
        <v>98</v>
      </c>
      <c r="T507">
        <v>259.51</v>
      </c>
      <c r="U507">
        <v>251.90199999999999</v>
      </c>
      <c r="V507">
        <f>(T507+U507)/2</f>
        <v>255.70599999999999</v>
      </c>
      <c r="W507">
        <f>T507-U507</f>
        <v>7.6080000000000041</v>
      </c>
      <c r="X507">
        <v>44.416668000000001</v>
      </c>
      <c r="Y507">
        <v>-24</v>
      </c>
      <c r="Z507" t="s">
        <v>99</v>
      </c>
      <c r="AA507" t="s">
        <v>692</v>
      </c>
      <c r="AB507" t="s">
        <v>693</v>
      </c>
      <c r="AD507" t="s">
        <v>694</v>
      </c>
      <c r="AE507" t="s">
        <v>695</v>
      </c>
      <c r="AH507" t="s">
        <v>65</v>
      </c>
      <c r="AI507" t="s">
        <v>1063</v>
      </c>
      <c r="AJ507">
        <v>1926</v>
      </c>
      <c r="AK507" t="s">
        <v>697</v>
      </c>
      <c r="AM507" t="s">
        <v>698</v>
      </c>
      <c r="AN507" t="s">
        <v>121</v>
      </c>
      <c r="AO507" t="s">
        <v>330</v>
      </c>
      <c r="AP507" t="s">
        <v>182</v>
      </c>
      <c r="AQ507" t="s">
        <v>699</v>
      </c>
      <c r="AR507" t="s">
        <v>70</v>
      </c>
      <c r="AS507">
        <v>702</v>
      </c>
      <c r="AT507" t="s">
        <v>71</v>
      </c>
      <c r="AU507">
        <v>22.51</v>
      </c>
      <c r="AV507">
        <v>-42.93</v>
      </c>
      <c r="AW507" t="s">
        <v>72</v>
      </c>
      <c r="AX507">
        <v>702</v>
      </c>
      <c r="AY507" t="s">
        <v>71</v>
      </c>
      <c r="AZ507">
        <v>24.25</v>
      </c>
      <c r="BA507">
        <v>-52.74</v>
      </c>
      <c r="BB507" t="s">
        <v>73</v>
      </c>
    </row>
    <row r="508" spans="1:54" x14ac:dyDescent="0.4">
      <c r="A508">
        <v>1285964</v>
      </c>
      <c r="D508" t="s">
        <v>246</v>
      </c>
      <c r="E508" t="s">
        <v>55</v>
      </c>
      <c r="G508">
        <v>1</v>
      </c>
      <c r="H508" t="s">
        <v>56</v>
      </c>
      <c r="I508" t="s">
        <v>57</v>
      </c>
      <c r="K508" t="s">
        <v>856</v>
      </c>
      <c r="L508" t="s">
        <v>1074</v>
      </c>
      <c r="M508" t="s">
        <v>59</v>
      </c>
      <c r="P508" t="s">
        <v>259</v>
      </c>
      <c r="Q508" t="s">
        <v>502</v>
      </c>
      <c r="R508" t="s">
        <v>260</v>
      </c>
      <c r="S508" t="s">
        <v>98</v>
      </c>
      <c r="T508">
        <v>259.51</v>
      </c>
      <c r="U508">
        <v>251.90199999999999</v>
      </c>
      <c r="V508">
        <f>(T508+U508)/2</f>
        <v>255.70599999999999</v>
      </c>
      <c r="W508">
        <f>T508-U508</f>
        <v>7.6080000000000041</v>
      </c>
      <c r="X508">
        <v>44.416668000000001</v>
      </c>
      <c r="Y508">
        <v>-24</v>
      </c>
      <c r="Z508" t="s">
        <v>99</v>
      </c>
      <c r="AA508" t="s">
        <v>692</v>
      </c>
      <c r="AB508" t="s">
        <v>693</v>
      </c>
      <c r="AD508" t="s">
        <v>694</v>
      </c>
      <c r="AE508" t="s">
        <v>695</v>
      </c>
      <c r="AH508" t="s">
        <v>65</v>
      </c>
      <c r="AI508" t="s">
        <v>1063</v>
      </c>
      <c r="AJ508">
        <v>1926</v>
      </c>
      <c r="AK508" t="s">
        <v>697</v>
      </c>
      <c r="AM508" t="s">
        <v>698</v>
      </c>
      <c r="AN508" t="s">
        <v>121</v>
      </c>
      <c r="AO508" t="s">
        <v>330</v>
      </c>
      <c r="AP508" t="s">
        <v>182</v>
      </c>
      <c r="AQ508" t="s">
        <v>699</v>
      </c>
      <c r="AR508" t="s">
        <v>70</v>
      </c>
      <c r="AS508">
        <v>702</v>
      </c>
      <c r="AT508" t="s">
        <v>71</v>
      </c>
      <c r="AU508">
        <v>22.51</v>
      </c>
      <c r="AV508">
        <v>-42.93</v>
      </c>
      <c r="AW508" t="s">
        <v>72</v>
      </c>
      <c r="AX508">
        <v>702</v>
      </c>
      <c r="AY508" t="s">
        <v>71</v>
      </c>
      <c r="AZ508">
        <v>24.25</v>
      </c>
      <c r="BA508">
        <v>-52.74</v>
      </c>
      <c r="BB508" t="s">
        <v>73</v>
      </c>
    </row>
    <row r="509" spans="1:54" x14ac:dyDescent="0.4">
      <c r="A509">
        <v>1285964</v>
      </c>
      <c r="D509" t="s">
        <v>246</v>
      </c>
      <c r="E509" t="s">
        <v>55</v>
      </c>
      <c r="G509">
        <v>1</v>
      </c>
      <c r="H509" t="s">
        <v>56</v>
      </c>
      <c r="I509" t="s">
        <v>57</v>
      </c>
      <c r="K509" t="s">
        <v>856</v>
      </c>
      <c r="L509" t="s">
        <v>1074</v>
      </c>
      <c r="M509" t="s">
        <v>59</v>
      </c>
      <c r="P509" t="s">
        <v>259</v>
      </c>
      <c r="Q509" t="s">
        <v>502</v>
      </c>
      <c r="R509" t="s">
        <v>260</v>
      </c>
      <c r="S509" t="s">
        <v>98</v>
      </c>
      <c r="T509">
        <v>259.51</v>
      </c>
      <c r="U509">
        <v>251.90199999999999</v>
      </c>
      <c r="V509">
        <f>(T509+U509)/2</f>
        <v>255.70599999999999</v>
      </c>
      <c r="W509">
        <f>T509-U509</f>
        <v>7.6080000000000041</v>
      </c>
      <c r="X509">
        <v>44.416668000000001</v>
      </c>
      <c r="Y509">
        <v>-24</v>
      </c>
      <c r="Z509" t="s">
        <v>99</v>
      </c>
      <c r="AA509" t="s">
        <v>692</v>
      </c>
      <c r="AB509" t="s">
        <v>693</v>
      </c>
      <c r="AD509" t="s">
        <v>694</v>
      </c>
      <c r="AE509" t="s">
        <v>695</v>
      </c>
      <c r="AH509" t="s">
        <v>65</v>
      </c>
      <c r="AI509" t="s">
        <v>1063</v>
      </c>
      <c r="AJ509">
        <v>1926</v>
      </c>
      <c r="AK509" t="s">
        <v>697</v>
      </c>
      <c r="AM509" t="s">
        <v>698</v>
      </c>
      <c r="AN509" t="s">
        <v>121</v>
      </c>
      <c r="AO509" t="s">
        <v>330</v>
      </c>
      <c r="AP509" t="s">
        <v>182</v>
      </c>
      <c r="AQ509" t="s">
        <v>699</v>
      </c>
      <c r="AR509" t="s">
        <v>70</v>
      </c>
      <c r="AS509">
        <v>702</v>
      </c>
      <c r="AT509" t="s">
        <v>71</v>
      </c>
      <c r="AU509">
        <v>22.51</v>
      </c>
      <c r="AV509">
        <v>-42.93</v>
      </c>
      <c r="AW509" t="s">
        <v>72</v>
      </c>
      <c r="AX509">
        <v>702</v>
      </c>
      <c r="AY509" t="s">
        <v>71</v>
      </c>
      <c r="AZ509">
        <v>24.25</v>
      </c>
      <c r="BA509">
        <v>-52.74</v>
      </c>
      <c r="BB509" t="s">
        <v>73</v>
      </c>
    </row>
    <row r="510" spans="1:54" x14ac:dyDescent="0.4">
      <c r="A510">
        <v>1285964</v>
      </c>
      <c r="D510" t="s">
        <v>246</v>
      </c>
      <c r="E510" t="s">
        <v>55</v>
      </c>
      <c r="G510">
        <v>1</v>
      </c>
      <c r="H510" t="s">
        <v>56</v>
      </c>
      <c r="I510" t="s">
        <v>57</v>
      </c>
      <c r="K510" t="s">
        <v>856</v>
      </c>
      <c r="L510" t="s">
        <v>1074</v>
      </c>
      <c r="M510" t="s">
        <v>59</v>
      </c>
      <c r="P510" t="s">
        <v>259</v>
      </c>
      <c r="Q510" t="s">
        <v>502</v>
      </c>
      <c r="R510" t="s">
        <v>260</v>
      </c>
      <c r="S510" t="s">
        <v>98</v>
      </c>
      <c r="T510">
        <v>259.51</v>
      </c>
      <c r="U510">
        <v>251.90199999999999</v>
      </c>
      <c r="V510">
        <f>(T510+U510)/2</f>
        <v>255.70599999999999</v>
      </c>
      <c r="W510">
        <f>T510-U510</f>
        <v>7.6080000000000041</v>
      </c>
      <c r="X510">
        <v>44.416668000000001</v>
      </c>
      <c r="Y510">
        <v>-24</v>
      </c>
      <c r="Z510" t="s">
        <v>99</v>
      </c>
      <c r="AA510" t="s">
        <v>692</v>
      </c>
      <c r="AB510" t="s">
        <v>693</v>
      </c>
      <c r="AD510" t="s">
        <v>694</v>
      </c>
      <c r="AE510" t="s">
        <v>695</v>
      </c>
      <c r="AH510" t="s">
        <v>65</v>
      </c>
      <c r="AI510" t="s">
        <v>1063</v>
      </c>
      <c r="AJ510">
        <v>1926</v>
      </c>
      <c r="AK510" t="s">
        <v>697</v>
      </c>
      <c r="AM510" t="s">
        <v>698</v>
      </c>
      <c r="AN510" t="s">
        <v>121</v>
      </c>
      <c r="AO510" t="s">
        <v>330</v>
      </c>
      <c r="AP510" t="s">
        <v>182</v>
      </c>
      <c r="AQ510" t="s">
        <v>699</v>
      </c>
      <c r="AR510" t="s">
        <v>70</v>
      </c>
      <c r="AS510">
        <v>702</v>
      </c>
      <c r="AT510" t="s">
        <v>71</v>
      </c>
      <c r="AU510">
        <v>22.51</v>
      </c>
      <c r="AV510">
        <v>-42.93</v>
      </c>
      <c r="AW510" t="s">
        <v>72</v>
      </c>
      <c r="AX510">
        <v>702</v>
      </c>
      <c r="AY510" t="s">
        <v>71</v>
      </c>
      <c r="AZ510">
        <v>24.25</v>
      </c>
      <c r="BA510">
        <v>-52.74</v>
      </c>
      <c r="BB510" t="s">
        <v>73</v>
      </c>
    </row>
    <row r="511" spans="1:54" x14ac:dyDescent="0.4">
      <c r="A511">
        <v>1285964</v>
      </c>
      <c r="D511" t="s">
        <v>246</v>
      </c>
      <c r="E511" t="s">
        <v>55</v>
      </c>
      <c r="G511">
        <v>1</v>
      </c>
      <c r="H511" t="s">
        <v>56</v>
      </c>
      <c r="I511" t="s">
        <v>57</v>
      </c>
      <c r="K511" t="s">
        <v>856</v>
      </c>
      <c r="L511" t="s">
        <v>1074</v>
      </c>
      <c r="M511" t="s">
        <v>59</v>
      </c>
      <c r="P511" t="s">
        <v>259</v>
      </c>
      <c r="Q511" t="s">
        <v>502</v>
      </c>
      <c r="R511" t="s">
        <v>260</v>
      </c>
      <c r="S511" t="s">
        <v>98</v>
      </c>
      <c r="T511">
        <v>259.51</v>
      </c>
      <c r="U511">
        <v>251.90199999999999</v>
      </c>
      <c r="V511">
        <f>(T511+U511)/2</f>
        <v>255.70599999999999</v>
      </c>
      <c r="W511">
        <f>T511-U511</f>
        <v>7.6080000000000041</v>
      </c>
      <c r="X511">
        <v>44.416668000000001</v>
      </c>
      <c r="Y511">
        <v>-24</v>
      </c>
      <c r="Z511" t="s">
        <v>99</v>
      </c>
      <c r="AA511" t="s">
        <v>692</v>
      </c>
      <c r="AB511" t="s">
        <v>693</v>
      </c>
      <c r="AD511" t="s">
        <v>694</v>
      </c>
      <c r="AE511" t="s">
        <v>695</v>
      </c>
      <c r="AH511" t="s">
        <v>65</v>
      </c>
      <c r="AI511" t="s">
        <v>1063</v>
      </c>
      <c r="AJ511">
        <v>1926</v>
      </c>
      <c r="AK511" t="s">
        <v>697</v>
      </c>
      <c r="AM511" t="s">
        <v>698</v>
      </c>
      <c r="AN511" t="s">
        <v>121</v>
      </c>
      <c r="AO511" t="s">
        <v>330</v>
      </c>
      <c r="AP511" t="s">
        <v>182</v>
      </c>
      <c r="AQ511" t="s">
        <v>699</v>
      </c>
      <c r="AR511" t="s">
        <v>70</v>
      </c>
      <c r="AS511">
        <v>702</v>
      </c>
      <c r="AT511" t="s">
        <v>71</v>
      </c>
      <c r="AU511">
        <v>22.51</v>
      </c>
      <c r="AV511">
        <v>-42.93</v>
      </c>
      <c r="AW511" t="s">
        <v>72</v>
      </c>
      <c r="AX511">
        <v>702</v>
      </c>
      <c r="AY511" t="s">
        <v>71</v>
      </c>
      <c r="AZ511">
        <v>24.25</v>
      </c>
      <c r="BA511">
        <v>-52.74</v>
      </c>
      <c r="BB511" t="s">
        <v>73</v>
      </c>
    </row>
    <row r="512" spans="1:54" x14ac:dyDescent="0.4">
      <c r="A512">
        <v>1285964</v>
      </c>
      <c r="D512" t="s">
        <v>246</v>
      </c>
      <c r="E512" t="s">
        <v>55</v>
      </c>
      <c r="G512">
        <v>1</v>
      </c>
      <c r="H512" t="s">
        <v>56</v>
      </c>
      <c r="I512" t="s">
        <v>57</v>
      </c>
      <c r="K512" t="s">
        <v>856</v>
      </c>
      <c r="L512" t="s">
        <v>1074</v>
      </c>
      <c r="M512" t="s">
        <v>59</v>
      </c>
      <c r="P512" t="s">
        <v>259</v>
      </c>
      <c r="Q512" t="s">
        <v>502</v>
      </c>
      <c r="R512" t="s">
        <v>260</v>
      </c>
      <c r="S512" t="s">
        <v>98</v>
      </c>
      <c r="T512">
        <v>259.51</v>
      </c>
      <c r="U512">
        <v>251.90199999999999</v>
      </c>
      <c r="V512">
        <f>(T512+U512)/2</f>
        <v>255.70599999999999</v>
      </c>
      <c r="W512">
        <f>T512-U512</f>
        <v>7.6080000000000041</v>
      </c>
      <c r="X512">
        <v>44.416668000000001</v>
      </c>
      <c r="Y512">
        <v>-24</v>
      </c>
      <c r="Z512" t="s">
        <v>99</v>
      </c>
      <c r="AA512" t="s">
        <v>692</v>
      </c>
      <c r="AB512" t="s">
        <v>693</v>
      </c>
      <c r="AD512" t="s">
        <v>694</v>
      </c>
      <c r="AE512" t="s">
        <v>695</v>
      </c>
      <c r="AH512" t="s">
        <v>65</v>
      </c>
      <c r="AI512" t="s">
        <v>1063</v>
      </c>
      <c r="AJ512">
        <v>1926</v>
      </c>
      <c r="AK512" t="s">
        <v>697</v>
      </c>
      <c r="AM512" t="s">
        <v>698</v>
      </c>
      <c r="AN512" t="s">
        <v>121</v>
      </c>
      <c r="AO512" t="s">
        <v>330</v>
      </c>
      <c r="AP512" t="s">
        <v>182</v>
      </c>
      <c r="AQ512" t="s">
        <v>699</v>
      </c>
      <c r="AR512" t="s">
        <v>70</v>
      </c>
      <c r="AS512">
        <v>702</v>
      </c>
      <c r="AT512" t="s">
        <v>71</v>
      </c>
      <c r="AU512">
        <v>22.51</v>
      </c>
      <c r="AV512">
        <v>-42.93</v>
      </c>
      <c r="AW512" t="s">
        <v>72</v>
      </c>
      <c r="AX512">
        <v>702</v>
      </c>
      <c r="AY512" t="s">
        <v>71</v>
      </c>
      <c r="AZ512">
        <v>24.25</v>
      </c>
      <c r="BA512">
        <v>-52.74</v>
      </c>
      <c r="BB512" t="s">
        <v>73</v>
      </c>
    </row>
    <row r="513" spans="1:54" x14ac:dyDescent="0.4">
      <c r="A513">
        <v>1285964</v>
      </c>
      <c r="D513" t="s">
        <v>246</v>
      </c>
      <c r="E513" t="s">
        <v>55</v>
      </c>
      <c r="G513">
        <v>1</v>
      </c>
      <c r="H513" t="s">
        <v>56</v>
      </c>
      <c r="I513" t="s">
        <v>57</v>
      </c>
      <c r="K513" t="s">
        <v>856</v>
      </c>
      <c r="L513" t="s">
        <v>1074</v>
      </c>
      <c r="M513" t="s">
        <v>59</v>
      </c>
      <c r="P513" t="s">
        <v>259</v>
      </c>
      <c r="Q513" t="s">
        <v>502</v>
      </c>
      <c r="R513" t="s">
        <v>260</v>
      </c>
      <c r="S513" t="s">
        <v>98</v>
      </c>
      <c r="T513">
        <v>259.51</v>
      </c>
      <c r="U513">
        <v>251.90199999999999</v>
      </c>
      <c r="V513">
        <f>(T513+U513)/2</f>
        <v>255.70599999999999</v>
      </c>
      <c r="W513">
        <f>T513-U513</f>
        <v>7.6080000000000041</v>
      </c>
      <c r="X513">
        <v>44.416668000000001</v>
      </c>
      <c r="Y513">
        <v>-24</v>
      </c>
      <c r="Z513" t="s">
        <v>99</v>
      </c>
      <c r="AA513" t="s">
        <v>692</v>
      </c>
      <c r="AB513" t="s">
        <v>693</v>
      </c>
      <c r="AD513" t="s">
        <v>694</v>
      </c>
      <c r="AE513" t="s">
        <v>695</v>
      </c>
      <c r="AH513" t="s">
        <v>65</v>
      </c>
      <c r="AI513" t="s">
        <v>1063</v>
      </c>
      <c r="AJ513">
        <v>1926</v>
      </c>
      <c r="AK513" t="s">
        <v>697</v>
      </c>
      <c r="AM513" t="s">
        <v>698</v>
      </c>
      <c r="AN513" t="s">
        <v>121</v>
      </c>
      <c r="AO513" t="s">
        <v>330</v>
      </c>
      <c r="AP513" t="s">
        <v>182</v>
      </c>
      <c r="AQ513" t="s">
        <v>699</v>
      </c>
      <c r="AR513" t="s">
        <v>70</v>
      </c>
      <c r="AS513">
        <v>702</v>
      </c>
      <c r="AT513" t="s">
        <v>71</v>
      </c>
      <c r="AU513">
        <v>22.51</v>
      </c>
      <c r="AV513">
        <v>-42.93</v>
      </c>
      <c r="AW513" t="s">
        <v>72</v>
      </c>
      <c r="AX513">
        <v>702</v>
      </c>
      <c r="AY513" t="s">
        <v>71</v>
      </c>
      <c r="AZ513">
        <v>24.25</v>
      </c>
      <c r="BA513">
        <v>-52.74</v>
      </c>
      <c r="BB513" t="s">
        <v>73</v>
      </c>
    </row>
    <row r="514" spans="1:54" x14ac:dyDescent="0.4">
      <c r="A514">
        <v>1285964</v>
      </c>
      <c r="D514" t="s">
        <v>246</v>
      </c>
      <c r="E514" t="s">
        <v>55</v>
      </c>
      <c r="G514">
        <v>1</v>
      </c>
      <c r="H514" t="s">
        <v>56</v>
      </c>
      <c r="I514" t="s">
        <v>57</v>
      </c>
      <c r="K514" t="s">
        <v>856</v>
      </c>
      <c r="L514" t="s">
        <v>1074</v>
      </c>
      <c r="M514" t="s">
        <v>59</v>
      </c>
      <c r="P514" t="s">
        <v>259</v>
      </c>
      <c r="Q514" t="s">
        <v>502</v>
      </c>
      <c r="R514" t="s">
        <v>260</v>
      </c>
      <c r="S514" t="s">
        <v>98</v>
      </c>
      <c r="T514">
        <v>259.51</v>
      </c>
      <c r="U514">
        <v>251.90199999999999</v>
      </c>
      <c r="V514">
        <f>(T514+U514)/2</f>
        <v>255.70599999999999</v>
      </c>
      <c r="W514">
        <f>T514-U514</f>
        <v>7.6080000000000041</v>
      </c>
      <c r="X514">
        <v>44.416668000000001</v>
      </c>
      <c r="Y514">
        <v>-24</v>
      </c>
      <c r="Z514" t="s">
        <v>99</v>
      </c>
      <c r="AA514" t="s">
        <v>692</v>
      </c>
      <c r="AB514" t="s">
        <v>693</v>
      </c>
      <c r="AD514" t="s">
        <v>694</v>
      </c>
      <c r="AE514" t="s">
        <v>695</v>
      </c>
      <c r="AH514" t="s">
        <v>65</v>
      </c>
      <c r="AI514" t="s">
        <v>1063</v>
      </c>
      <c r="AJ514">
        <v>1926</v>
      </c>
      <c r="AK514" t="s">
        <v>697</v>
      </c>
      <c r="AM514" t="s">
        <v>698</v>
      </c>
      <c r="AN514" t="s">
        <v>121</v>
      </c>
      <c r="AO514" t="s">
        <v>330</v>
      </c>
      <c r="AP514" t="s">
        <v>182</v>
      </c>
      <c r="AQ514" t="s">
        <v>699</v>
      </c>
      <c r="AR514" t="s">
        <v>70</v>
      </c>
      <c r="AS514">
        <v>702</v>
      </c>
      <c r="AT514" t="s">
        <v>71</v>
      </c>
      <c r="AU514">
        <v>22.51</v>
      </c>
      <c r="AV514">
        <v>-42.93</v>
      </c>
      <c r="AW514" t="s">
        <v>72</v>
      </c>
      <c r="AX514">
        <v>702</v>
      </c>
      <c r="AY514" t="s">
        <v>71</v>
      </c>
      <c r="AZ514">
        <v>24.25</v>
      </c>
      <c r="BA514">
        <v>-52.74</v>
      </c>
      <c r="BB514" t="s">
        <v>73</v>
      </c>
    </row>
    <row r="515" spans="1:54" x14ac:dyDescent="0.4">
      <c r="A515">
        <v>1285964</v>
      </c>
      <c r="D515" t="s">
        <v>246</v>
      </c>
      <c r="E515" t="s">
        <v>55</v>
      </c>
      <c r="G515">
        <v>1</v>
      </c>
      <c r="H515" t="s">
        <v>56</v>
      </c>
      <c r="I515" t="s">
        <v>57</v>
      </c>
      <c r="K515" t="s">
        <v>856</v>
      </c>
      <c r="L515" t="s">
        <v>1074</v>
      </c>
      <c r="M515" t="s">
        <v>59</v>
      </c>
      <c r="P515" t="s">
        <v>259</v>
      </c>
      <c r="Q515" t="s">
        <v>502</v>
      </c>
      <c r="R515" t="s">
        <v>260</v>
      </c>
      <c r="S515" t="s">
        <v>98</v>
      </c>
      <c r="T515">
        <v>259.51</v>
      </c>
      <c r="U515">
        <v>251.90199999999999</v>
      </c>
      <c r="V515">
        <f>(T515+U515)/2</f>
        <v>255.70599999999999</v>
      </c>
      <c r="W515">
        <f>T515-U515</f>
        <v>7.6080000000000041</v>
      </c>
      <c r="X515">
        <v>44.416668000000001</v>
      </c>
      <c r="Y515">
        <v>-24</v>
      </c>
      <c r="Z515" t="s">
        <v>99</v>
      </c>
      <c r="AA515" t="s">
        <v>692</v>
      </c>
      <c r="AB515" t="s">
        <v>693</v>
      </c>
      <c r="AD515" t="s">
        <v>694</v>
      </c>
      <c r="AE515" t="s">
        <v>695</v>
      </c>
      <c r="AH515" t="s">
        <v>65</v>
      </c>
      <c r="AI515" t="s">
        <v>1063</v>
      </c>
      <c r="AJ515">
        <v>1926</v>
      </c>
      <c r="AK515" t="s">
        <v>697</v>
      </c>
      <c r="AM515" t="s">
        <v>698</v>
      </c>
      <c r="AN515" t="s">
        <v>121</v>
      </c>
      <c r="AO515" t="s">
        <v>330</v>
      </c>
      <c r="AP515" t="s">
        <v>182</v>
      </c>
      <c r="AQ515" t="s">
        <v>699</v>
      </c>
      <c r="AR515" t="s">
        <v>70</v>
      </c>
      <c r="AS515">
        <v>702</v>
      </c>
      <c r="AT515" t="s">
        <v>71</v>
      </c>
      <c r="AU515">
        <v>22.51</v>
      </c>
      <c r="AV515">
        <v>-42.93</v>
      </c>
      <c r="AW515" t="s">
        <v>72</v>
      </c>
      <c r="AX515">
        <v>702</v>
      </c>
      <c r="AY515" t="s">
        <v>71</v>
      </c>
      <c r="AZ515">
        <v>24.25</v>
      </c>
      <c r="BA515">
        <v>-52.74</v>
      </c>
      <c r="BB515" t="s">
        <v>73</v>
      </c>
    </row>
    <row r="516" spans="1:54" x14ac:dyDescent="0.4">
      <c r="A516">
        <v>1285964</v>
      </c>
      <c r="D516" t="s">
        <v>246</v>
      </c>
      <c r="E516" t="s">
        <v>55</v>
      </c>
      <c r="G516">
        <v>1</v>
      </c>
      <c r="H516" t="s">
        <v>56</v>
      </c>
      <c r="I516" t="s">
        <v>57</v>
      </c>
      <c r="K516" t="s">
        <v>856</v>
      </c>
      <c r="L516" t="s">
        <v>1074</v>
      </c>
      <c r="M516" t="s">
        <v>59</v>
      </c>
      <c r="P516" t="s">
        <v>259</v>
      </c>
      <c r="Q516" t="s">
        <v>502</v>
      </c>
      <c r="R516" t="s">
        <v>260</v>
      </c>
      <c r="S516" t="s">
        <v>98</v>
      </c>
      <c r="T516">
        <v>259.51</v>
      </c>
      <c r="U516">
        <v>251.90199999999999</v>
      </c>
      <c r="V516">
        <f>(T516+U516)/2</f>
        <v>255.70599999999999</v>
      </c>
      <c r="W516">
        <f>T516-U516</f>
        <v>7.6080000000000041</v>
      </c>
      <c r="X516">
        <v>44.416668000000001</v>
      </c>
      <c r="Y516">
        <v>-24</v>
      </c>
      <c r="Z516" t="s">
        <v>99</v>
      </c>
      <c r="AA516" t="s">
        <v>692</v>
      </c>
      <c r="AB516" t="s">
        <v>693</v>
      </c>
      <c r="AD516" t="s">
        <v>694</v>
      </c>
      <c r="AE516" t="s">
        <v>695</v>
      </c>
      <c r="AH516" t="s">
        <v>65</v>
      </c>
      <c r="AI516" t="s">
        <v>1063</v>
      </c>
      <c r="AJ516">
        <v>1926</v>
      </c>
      <c r="AK516" t="s">
        <v>697</v>
      </c>
      <c r="AM516" t="s">
        <v>698</v>
      </c>
      <c r="AN516" t="s">
        <v>121</v>
      </c>
      <c r="AO516" t="s">
        <v>330</v>
      </c>
      <c r="AP516" t="s">
        <v>182</v>
      </c>
      <c r="AQ516" t="s">
        <v>699</v>
      </c>
      <c r="AR516" t="s">
        <v>70</v>
      </c>
      <c r="AS516">
        <v>702</v>
      </c>
      <c r="AT516" t="s">
        <v>71</v>
      </c>
      <c r="AU516">
        <v>22.51</v>
      </c>
      <c r="AV516">
        <v>-42.93</v>
      </c>
      <c r="AW516" t="s">
        <v>72</v>
      </c>
      <c r="AX516">
        <v>702</v>
      </c>
      <c r="AY516" t="s">
        <v>71</v>
      </c>
      <c r="AZ516">
        <v>24.25</v>
      </c>
      <c r="BA516">
        <v>-52.74</v>
      </c>
      <c r="BB516" t="s">
        <v>73</v>
      </c>
    </row>
    <row r="517" spans="1:54" x14ac:dyDescent="0.4">
      <c r="A517">
        <v>1285964</v>
      </c>
      <c r="D517" t="s">
        <v>246</v>
      </c>
      <c r="E517" t="s">
        <v>55</v>
      </c>
      <c r="G517">
        <v>1</v>
      </c>
      <c r="H517" t="s">
        <v>56</v>
      </c>
      <c r="I517" t="s">
        <v>57</v>
      </c>
      <c r="K517" t="s">
        <v>856</v>
      </c>
      <c r="L517" t="s">
        <v>1074</v>
      </c>
      <c r="M517" t="s">
        <v>59</v>
      </c>
      <c r="P517" t="s">
        <v>259</v>
      </c>
      <c r="Q517" t="s">
        <v>502</v>
      </c>
      <c r="R517" t="s">
        <v>260</v>
      </c>
      <c r="S517" t="s">
        <v>98</v>
      </c>
      <c r="T517">
        <v>259.51</v>
      </c>
      <c r="U517">
        <v>251.90199999999999</v>
      </c>
      <c r="V517">
        <f>(T517+U517)/2</f>
        <v>255.70599999999999</v>
      </c>
      <c r="W517">
        <f>T517-U517</f>
        <v>7.6080000000000041</v>
      </c>
      <c r="X517">
        <v>44.416668000000001</v>
      </c>
      <c r="Y517">
        <v>-24</v>
      </c>
      <c r="Z517" t="s">
        <v>99</v>
      </c>
      <c r="AA517" t="s">
        <v>692</v>
      </c>
      <c r="AB517" t="s">
        <v>693</v>
      </c>
      <c r="AD517" t="s">
        <v>694</v>
      </c>
      <c r="AE517" t="s">
        <v>695</v>
      </c>
      <c r="AH517" t="s">
        <v>65</v>
      </c>
      <c r="AI517" t="s">
        <v>1063</v>
      </c>
      <c r="AJ517">
        <v>1926</v>
      </c>
      <c r="AK517" t="s">
        <v>697</v>
      </c>
      <c r="AM517" t="s">
        <v>698</v>
      </c>
      <c r="AN517" t="s">
        <v>121</v>
      </c>
      <c r="AO517" t="s">
        <v>330</v>
      </c>
      <c r="AP517" t="s">
        <v>182</v>
      </c>
      <c r="AQ517" t="s">
        <v>699</v>
      </c>
      <c r="AR517" t="s">
        <v>70</v>
      </c>
      <c r="AS517">
        <v>702</v>
      </c>
      <c r="AT517" t="s">
        <v>71</v>
      </c>
      <c r="AU517">
        <v>22.51</v>
      </c>
      <c r="AV517">
        <v>-42.93</v>
      </c>
      <c r="AW517" t="s">
        <v>72</v>
      </c>
      <c r="AX517">
        <v>702</v>
      </c>
      <c r="AY517" t="s">
        <v>71</v>
      </c>
      <c r="AZ517">
        <v>24.25</v>
      </c>
      <c r="BA517">
        <v>-52.74</v>
      </c>
      <c r="BB517" t="s">
        <v>73</v>
      </c>
    </row>
    <row r="518" spans="1:54" x14ac:dyDescent="0.4">
      <c r="A518">
        <v>1285964</v>
      </c>
      <c r="D518" t="s">
        <v>246</v>
      </c>
      <c r="E518" t="s">
        <v>55</v>
      </c>
      <c r="G518">
        <v>1</v>
      </c>
      <c r="H518" t="s">
        <v>56</v>
      </c>
      <c r="I518" t="s">
        <v>57</v>
      </c>
      <c r="K518" t="s">
        <v>856</v>
      </c>
      <c r="L518" t="s">
        <v>1074</v>
      </c>
      <c r="M518" t="s">
        <v>59</v>
      </c>
      <c r="P518" t="s">
        <v>259</v>
      </c>
      <c r="Q518" t="s">
        <v>502</v>
      </c>
      <c r="R518" t="s">
        <v>260</v>
      </c>
      <c r="S518" t="s">
        <v>98</v>
      </c>
      <c r="T518">
        <v>259.51</v>
      </c>
      <c r="U518">
        <v>251.90199999999999</v>
      </c>
      <c r="V518">
        <f>(T518+U518)/2</f>
        <v>255.70599999999999</v>
      </c>
      <c r="W518">
        <f>T518-U518</f>
        <v>7.6080000000000041</v>
      </c>
      <c r="X518">
        <v>44.416668000000001</v>
      </c>
      <c r="Y518">
        <v>-24</v>
      </c>
      <c r="Z518" t="s">
        <v>99</v>
      </c>
      <c r="AA518" t="s">
        <v>692</v>
      </c>
      <c r="AB518" t="s">
        <v>693</v>
      </c>
      <c r="AD518" t="s">
        <v>694</v>
      </c>
      <c r="AE518" t="s">
        <v>695</v>
      </c>
      <c r="AH518" t="s">
        <v>65</v>
      </c>
      <c r="AI518" t="s">
        <v>1063</v>
      </c>
      <c r="AJ518">
        <v>1926</v>
      </c>
      <c r="AK518" t="s">
        <v>697</v>
      </c>
      <c r="AM518" t="s">
        <v>698</v>
      </c>
      <c r="AN518" t="s">
        <v>121</v>
      </c>
      <c r="AO518" t="s">
        <v>330</v>
      </c>
      <c r="AP518" t="s">
        <v>182</v>
      </c>
      <c r="AQ518" t="s">
        <v>699</v>
      </c>
      <c r="AR518" t="s">
        <v>70</v>
      </c>
      <c r="AS518">
        <v>702</v>
      </c>
      <c r="AT518" t="s">
        <v>71</v>
      </c>
      <c r="AU518">
        <v>22.51</v>
      </c>
      <c r="AV518">
        <v>-42.93</v>
      </c>
      <c r="AW518" t="s">
        <v>72</v>
      </c>
      <c r="AX518">
        <v>702</v>
      </c>
      <c r="AY518" t="s">
        <v>71</v>
      </c>
      <c r="AZ518">
        <v>24.25</v>
      </c>
      <c r="BA518">
        <v>-52.74</v>
      </c>
      <c r="BB518" t="s">
        <v>73</v>
      </c>
    </row>
    <row r="519" spans="1:54" x14ac:dyDescent="0.4">
      <c r="A519">
        <v>1285964</v>
      </c>
      <c r="D519" t="s">
        <v>246</v>
      </c>
      <c r="E519" t="s">
        <v>55</v>
      </c>
      <c r="G519">
        <v>1</v>
      </c>
      <c r="H519" t="s">
        <v>56</v>
      </c>
      <c r="I519" t="s">
        <v>57</v>
      </c>
      <c r="K519" t="s">
        <v>856</v>
      </c>
      <c r="L519" t="s">
        <v>1074</v>
      </c>
      <c r="M519" t="s">
        <v>59</v>
      </c>
      <c r="P519" t="s">
        <v>259</v>
      </c>
      <c r="Q519" t="s">
        <v>502</v>
      </c>
      <c r="R519" t="s">
        <v>260</v>
      </c>
      <c r="S519" t="s">
        <v>98</v>
      </c>
      <c r="T519">
        <v>259.51</v>
      </c>
      <c r="U519">
        <v>251.90199999999999</v>
      </c>
      <c r="V519">
        <f>(T519+U519)/2</f>
        <v>255.70599999999999</v>
      </c>
      <c r="W519">
        <f>T519-U519</f>
        <v>7.6080000000000041</v>
      </c>
      <c r="X519">
        <v>44.416668000000001</v>
      </c>
      <c r="Y519">
        <v>-24</v>
      </c>
      <c r="Z519" t="s">
        <v>99</v>
      </c>
      <c r="AA519" t="s">
        <v>692</v>
      </c>
      <c r="AB519" t="s">
        <v>693</v>
      </c>
      <c r="AD519" t="s">
        <v>694</v>
      </c>
      <c r="AE519" t="s">
        <v>695</v>
      </c>
      <c r="AH519" t="s">
        <v>65</v>
      </c>
      <c r="AI519" t="s">
        <v>1063</v>
      </c>
      <c r="AJ519">
        <v>1926</v>
      </c>
      <c r="AK519" t="s">
        <v>697</v>
      </c>
      <c r="AM519" t="s">
        <v>698</v>
      </c>
      <c r="AN519" t="s">
        <v>121</v>
      </c>
      <c r="AO519" t="s">
        <v>330</v>
      </c>
      <c r="AP519" t="s">
        <v>182</v>
      </c>
      <c r="AQ519" t="s">
        <v>699</v>
      </c>
      <c r="AR519" t="s">
        <v>70</v>
      </c>
      <c r="AS519">
        <v>702</v>
      </c>
      <c r="AT519" t="s">
        <v>71</v>
      </c>
      <c r="AU519">
        <v>22.51</v>
      </c>
      <c r="AV519">
        <v>-42.93</v>
      </c>
      <c r="AW519" t="s">
        <v>72</v>
      </c>
      <c r="AX519">
        <v>702</v>
      </c>
      <c r="AY519" t="s">
        <v>71</v>
      </c>
      <c r="AZ519">
        <v>24.25</v>
      </c>
      <c r="BA519">
        <v>-52.74</v>
      </c>
      <c r="BB519" t="s">
        <v>73</v>
      </c>
    </row>
    <row r="520" spans="1:54" x14ac:dyDescent="0.4">
      <c r="A520">
        <v>1285964</v>
      </c>
      <c r="D520" t="s">
        <v>246</v>
      </c>
      <c r="E520" t="s">
        <v>55</v>
      </c>
      <c r="G520">
        <v>1</v>
      </c>
      <c r="H520" t="s">
        <v>56</v>
      </c>
      <c r="I520" t="s">
        <v>57</v>
      </c>
      <c r="K520" t="s">
        <v>856</v>
      </c>
      <c r="L520" t="s">
        <v>1074</v>
      </c>
      <c r="M520" t="s">
        <v>59</v>
      </c>
      <c r="P520" t="s">
        <v>259</v>
      </c>
      <c r="Q520" t="s">
        <v>502</v>
      </c>
      <c r="R520" t="s">
        <v>260</v>
      </c>
      <c r="S520" t="s">
        <v>98</v>
      </c>
      <c r="T520">
        <v>259.51</v>
      </c>
      <c r="U520">
        <v>251.90199999999999</v>
      </c>
      <c r="V520">
        <f>(T520+U520)/2</f>
        <v>255.70599999999999</v>
      </c>
      <c r="W520">
        <f>T520-U520</f>
        <v>7.6080000000000041</v>
      </c>
      <c r="X520">
        <v>44.416668000000001</v>
      </c>
      <c r="Y520">
        <v>-24</v>
      </c>
      <c r="Z520" t="s">
        <v>99</v>
      </c>
      <c r="AA520" t="s">
        <v>692</v>
      </c>
      <c r="AB520" t="s">
        <v>693</v>
      </c>
      <c r="AD520" t="s">
        <v>694</v>
      </c>
      <c r="AE520" t="s">
        <v>695</v>
      </c>
      <c r="AH520" t="s">
        <v>65</v>
      </c>
      <c r="AI520" t="s">
        <v>1063</v>
      </c>
      <c r="AJ520">
        <v>1926</v>
      </c>
      <c r="AK520" t="s">
        <v>697</v>
      </c>
      <c r="AM520" t="s">
        <v>698</v>
      </c>
      <c r="AN520" t="s">
        <v>121</v>
      </c>
      <c r="AO520" t="s">
        <v>330</v>
      </c>
      <c r="AP520" t="s">
        <v>182</v>
      </c>
      <c r="AQ520" t="s">
        <v>699</v>
      </c>
      <c r="AR520" t="s">
        <v>70</v>
      </c>
      <c r="AS520">
        <v>702</v>
      </c>
      <c r="AT520" t="s">
        <v>71</v>
      </c>
      <c r="AU520">
        <v>22.51</v>
      </c>
      <c r="AV520">
        <v>-42.93</v>
      </c>
      <c r="AW520" t="s">
        <v>72</v>
      </c>
      <c r="AX520">
        <v>702</v>
      </c>
      <c r="AY520" t="s">
        <v>71</v>
      </c>
      <c r="AZ520">
        <v>24.25</v>
      </c>
      <c r="BA520">
        <v>-52.74</v>
      </c>
      <c r="BB520" t="s">
        <v>73</v>
      </c>
    </row>
    <row r="521" spans="1:54" x14ac:dyDescent="0.4">
      <c r="A521">
        <v>1285964</v>
      </c>
      <c r="D521" t="s">
        <v>246</v>
      </c>
      <c r="E521" t="s">
        <v>55</v>
      </c>
      <c r="G521">
        <v>1</v>
      </c>
      <c r="H521" t="s">
        <v>56</v>
      </c>
      <c r="I521" t="s">
        <v>57</v>
      </c>
      <c r="K521" t="s">
        <v>856</v>
      </c>
      <c r="L521" t="s">
        <v>1074</v>
      </c>
      <c r="M521" t="s">
        <v>59</v>
      </c>
      <c r="P521" t="s">
        <v>259</v>
      </c>
      <c r="Q521" t="s">
        <v>502</v>
      </c>
      <c r="R521" t="s">
        <v>260</v>
      </c>
      <c r="S521" t="s">
        <v>98</v>
      </c>
      <c r="T521">
        <v>259.51</v>
      </c>
      <c r="U521">
        <v>251.90199999999999</v>
      </c>
      <c r="V521">
        <f>(T521+U521)/2</f>
        <v>255.70599999999999</v>
      </c>
      <c r="W521">
        <f>T521-U521</f>
        <v>7.6080000000000041</v>
      </c>
      <c r="X521">
        <v>44.416668000000001</v>
      </c>
      <c r="Y521">
        <v>-24</v>
      </c>
      <c r="Z521" t="s">
        <v>99</v>
      </c>
      <c r="AA521" t="s">
        <v>692</v>
      </c>
      <c r="AB521" t="s">
        <v>693</v>
      </c>
      <c r="AD521" t="s">
        <v>694</v>
      </c>
      <c r="AE521" t="s">
        <v>695</v>
      </c>
      <c r="AH521" t="s">
        <v>65</v>
      </c>
      <c r="AI521" t="s">
        <v>1063</v>
      </c>
      <c r="AJ521">
        <v>1926</v>
      </c>
      <c r="AK521" t="s">
        <v>697</v>
      </c>
      <c r="AM521" t="s">
        <v>698</v>
      </c>
      <c r="AN521" t="s">
        <v>121</v>
      </c>
      <c r="AO521" t="s">
        <v>330</v>
      </c>
      <c r="AP521" t="s">
        <v>182</v>
      </c>
      <c r="AQ521" t="s">
        <v>699</v>
      </c>
      <c r="AR521" t="s">
        <v>70</v>
      </c>
      <c r="AS521">
        <v>702</v>
      </c>
      <c r="AT521" t="s">
        <v>71</v>
      </c>
      <c r="AU521">
        <v>22.51</v>
      </c>
      <c r="AV521">
        <v>-42.93</v>
      </c>
      <c r="AW521" t="s">
        <v>72</v>
      </c>
      <c r="AX521">
        <v>702</v>
      </c>
      <c r="AY521" t="s">
        <v>71</v>
      </c>
      <c r="AZ521">
        <v>24.25</v>
      </c>
      <c r="BA521">
        <v>-52.74</v>
      </c>
      <c r="BB521" t="s">
        <v>73</v>
      </c>
    </row>
    <row r="522" spans="1:54" x14ac:dyDescent="0.4">
      <c r="A522">
        <v>1285964</v>
      </c>
      <c r="D522" t="s">
        <v>246</v>
      </c>
      <c r="E522" t="s">
        <v>55</v>
      </c>
      <c r="G522">
        <v>1</v>
      </c>
      <c r="H522" t="s">
        <v>56</v>
      </c>
      <c r="I522" t="s">
        <v>57</v>
      </c>
      <c r="K522" t="s">
        <v>856</v>
      </c>
      <c r="L522" t="s">
        <v>1074</v>
      </c>
      <c r="M522" t="s">
        <v>59</v>
      </c>
      <c r="P522" t="s">
        <v>259</v>
      </c>
      <c r="Q522" t="s">
        <v>502</v>
      </c>
      <c r="R522" t="s">
        <v>260</v>
      </c>
      <c r="S522" t="s">
        <v>98</v>
      </c>
      <c r="T522">
        <v>259.51</v>
      </c>
      <c r="U522">
        <v>251.90199999999999</v>
      </c>
      <c r="V522">
        <f>(T522+U522)/2</f>
        <v>255.70599999999999</v>
      </c>
      <c r="W522">
        <f>T522-U522</f>
        <v>7.6080000000000041</v>
      </c>
      <c r="X522">
        <v>44.416668000000001</v>
      </c>
      <c r="Y522">
        <v>-24</v>
      </c>
      <c r="Z522" t="s">
        <v>99</v>
      </c>
      <c r="AA522" t="s">
        <v>692</v>
      </c>
      <c r="AB522" t="s">
        <v>693</v>
      </c>
      <c r="AD522" t="s">
        <v>694</v>
      </c>
      <c r="AE522" t="s">
        <v>695</v>
      </c>
      <c r="AH522" t="s">
        <v>65</v>
      </c>
      <c r="AI522" t="s">
        <v>1063</v>
      </c>
      <c r="AJ522">
        <v>1926</v>
      </c>
      <c r="AK522" t="s">
        <v>697</v>
      </c>
      <c r="AM522" t="s">
        <v>698</v>
      </c>
      <c r="AN522" t="s">
        <v>121</v>
      </c>
      <c r="AO522" t="s">
        <v>330</v>
      </c>
      <c r="AP522" t="s">
        <v>182</v>
      </c>
      <c r="AQ522" t="s">
        <v>699</v>
      </c>
      <c r="AR522" t="s">
        <v>70</v>
      </c>
      <c r="AS522">
        <v>702</v>
      </c>
      <c r="AT522" t="s">
        <v>71</v>
      </c>
      <c r="AU522">
        <v>22.51</v>
      </c>
      <c r="AV522">
        <v>-42.93</v>
      </c>
      <c r="AW522" t="s">
        <v>72</v>
      </c>
      <c r="AX522">
        <v>702</v>
      </c>
      <c r="AY522" t="s">
        <v>71</v>
      </c>
      <c r="AZ522">
        <v>24.25</v>
      </c>
      <c r="BA522">
        <v>-52.74</v>
      </c>
      <c r="BB522" t="s">
        <v>73</v>
      </c>
    </row>
    <row r="523" spans="1:54" x14ac:dyDescent="0.4">
      <c r="A523">
        <v>1285964</v>
      </c>
      <c r="D523" t="s">
        <v>246</v>
      </c>
      <c r="E523" t="s">
        <v>55</v>
      </c>
      <c r="G523">
        <v>1</v>
      </c>
      <c r="H523" t="s">
        <v>56</v>
      </c>
      <c r="I523" t="s">
        <v>57</v>
      </c>
      <c r="K523" t="s">
        <v>856</v>
      </c>
      <c r="L523" t="s">
        <v>1074</v>
      </c>
      <c r="M523" t="s">
        <v>59</v>
      </c>
      <c r="P523" t="s">
        <v>259</v>
      </c>
      <c r="Q523" t="s">
        <v>502</v>
      </c>
      <c r="R523" t="s">
        <v>260</v>
      </c>
      <c r="S523" t="s">
        <v>98</v>
      </c>
      <c r="T523">
        <v>259.51</v>
      </c>
      <c r="U523">
        <v>251.90199999999999</v>
      </c>
      <c r="V523">
        <f>(T523+U523)/2</f>
        <v>255.70599999999999</v>
      </c>
      <c r="W523">
        <f>T523-U523</f>
        <v>7.6080000000000041</v>
      </c>
      <c r="X523">
        <v>44.416668000000001</v>
      </c>
      <c r="Y523">
        <v>-24</v>
      </c>
      <c r="Z523" t="s">
        <v>99</v>
      </c>
      <c r="AA523" t="s">
        <v>692</v>
      </c>
      <c r="AB523" t="s">
        <v>693</v>
      </c>
      <c r="AD523" t="s">
        <v>694</v>
      </c>
      <c r="AE523" t="s">
        <v>695</v>
      </c>
      <c r="AH523" t="s">
        <v>65</v>
      </c>
      <c r="AI523" t="s">
        <v>1063</v>
      </c>
      <c r="AJ523">
        <v>1926</v>
      </c>
      <c r="AK523" t="s">
        <v>697</v>
      </c>
      <c r="AM523" t="s">
        <v>698</v>
      </c>
      <c r="AN523" t="s">
        <v>121</v>
      </c>
      <c r="AO523" t="s">
        <v>330</v>
      </c>
      <c r="AP523" t="s">
        <v>182</v>
      </c>
      <c r="AQ523" t="s">
        <v>699</v>
      </c>
      <c r="AR523" t="s">
        <v>70</v>
      </c>
      <c r="AS523">
        <v>702</v>
      </c>
      <c r="AT523" t="s">
        <v>71</v>
      </c>
      <c r="AU523">
        <v>22.51</v>
      </c>
      <c r="AV523">
        <v>-42.93</v>
      </c>
      <c r="AW523" t="s">
        <v>72</v>
      </c>
      <c r="AX523">
        <v>702</v>
      </c>
      <c r="AY523" t="s">
        <v>71</v>
      </c>
      <c r="AZ523">
        <v>24.25</v>
      </c>
      <c r="BA523">
        <v>-52.74</v>
      </c>
      <c r="BB523" t="s">
        <v>73</v>
      </c>
    </row>
    <row r="524" spans="1:54" x14ac:dyDescent="0.4">
      <c r="A524">
        <v>1285964</v>
      </c>
      <c r="D524" t="s">
        <v>246</v>
      </c>
      <c r="E524" t="s">
        <v>55</v>
      </c>
      <c r="G524">
        <v>1</v>
      </c>
      <c r="H524" t="s">
        <v>56</v>
      </c>
      <c r="I524" t="s">
        <v>57</v>
      </c>
      <c r="K524" t="s">
        <v>856</v>
      </c>
      <c r="L524" t="s">
        <v>1074</v>
      </c>
      <c r="M524" t="s">
        <v>59</v>
      </c>
      <c r="P524" t="s">
        <v>259</v>
      </c>
      <c r="Q524" t="s">
        <v>502</v>
      </c>
      <c r="R524" t="s">
        <v>260</v>
      </c>
      <c r="S524" t="s">
        <v>98</v>
      </c>
      <c r="T524">
        <v>259.51</v>
      </c>
      <c r="U524">
        <v>251.90199999999999</v>
      </c>
      <c r="V524">
        <f>(T524+U524)/2</f>
        <v>255.70599999999999</v>
      </c>
      <c r="W524">
        <f>T524-U524</f>
        <v>7.6080000000000041</v>
      </c>
      <c r="X524">
        <v>44.416668000000001</v>
      </c>
      <c r="Y524">
        <v>-24</v>
      </c>
      <c r="Z524" t="s">
        <v>99</v>
      </c>
      <c r="AA524" t="s">
        <v>692</v>
      </c>
      <c r="AB524" t="s">
        <v>693</v>
      </c>
      <c r="AD524" t="s">
        <v>694</v>
      </c>
      <c r="AE524" t="s">
        <v>695</v>
      </c>
      <c r="AH524" t="s">
        <v>65</v>
      </c>
      <c r="AI524" t="s">
        <v>1063</v>
      </c>
      <c r="AJ524">
        <v>1926</v>
      </c>
      <c r="AK524" t="s">
        <v>697</v>
      </c>
      <c r="AM524" t="s">
        <v>698</v>
      </c>
      <c r="AN524" t="s">
        <v>121</v>
      </c>
      <c r="AO524" t="s">
        <v>330</v>
      </c>
      <c r="AP524" t="s">
        <v>182</v>
      </c>
      <c r="AQ524" t="s">
        <v>699</v>
      </c>
      <c r="AR524" t="s">
        <v>70</v>
      </c>
      <c r="AS524">
        <v>702</v>
      </c>
      <c r="AT524" t="s">
        <v>71</v>
      </c>
      <c r="AU524">
        <v>22.51</v>
      </c>
      <c r="AV524">
        <v>-42.93</v>
      </c>
      <c r="AW524" t="s">
        <v>72</v>
      </c>
      <c r="AX524">
        <v>702</v>
      </c>
      <c r="AY524" t="s">
        <v>71</v>
      </c>
      <c r="AZ524">
        <v>24.25</v>
      </c>
      <c r="BA524">
        <v>-52.74</v>
      </c>
      <c r="BB524" t="s">
        <v>73</v>
      </c>
    </row>
    <row r="525" spans="1:54" x14ac:dyDescent="0.4">
      <c r="A525">
        <v>1285964</v>
      </c>
      <c r="D525" t="s">
        <v>246</v>
      </c>
      <c r="E525" t="s">
        <v>55</v>
      </c>
      <c r="G525">
        <v>1</v>
      </c>
      <c r="H525" t="s">
        <v>56</v>
      </c>
      <c r="I525" t="s">
        <v>57</v>
      </c>
      <c r="K525" t="s">
        <v>856</v>
      </c>
      <c r="L525" t="s">
        <v>1074</v>
      </c>
      <c r="M525" t="s">
        <v>59</v>
      </c>
      <c r="P525" t="s">
        <v>259</v>
      </c>
      <c r="Q525" t="s">
        <v>502</v>
      </c>
      <c r="R525" t="s">
        <v>260</v>
      </c>
      <c r="S525" t="s">
        <v>98</v>
      </c>
      <c r="T525">
        <v>259.51</v>
      </c>
      <c r="U525">
        <v>251.90199999999999</v>
      </c>
      <c r="V525">
        <f>(T525+U525)/2</f>
        <v>255.70599999999999</v>
      </c>
      <c r="W525">
        <f>T525-U525</f>
        <v>7.6080000000000041</v>
      </c>
      <c r="X525">
        <v>44.416668000000001</v>
      </c>
      <c r="Y525">
        <v>-24</v>
      </c>
      <c r="Z525" t="s">
        <v>99</v>
      </c>
      <c r="AA525" t="s">
        <v>692</v>
      </c>
      <c r="AB525" t="s">
        <v>693</v>
      </c>
      <c r="AD525" t="s">
        <v>694</v>
      </c>
      <c r="AE525" t="s">
        <v>695</v>
      </c>
      <c r="AH525" t="s">
        <v>65</v>
      </c>
      <c r="AI525" t="s">
        <v>1063</v>
      </c>
      <c r="AJ525">
        <v>1926</v>
      </c>
      <c r="AK525" t="s">
        <v>697</v>
      </c>
      <c r="AM525" t="s">
        <v>698</v>
      </c>
      <c r="AN525" t="s">
        <v>121</v>
      </c>
      <c r="AO525" t="s">
        <v>330</v>
      </c>
      <c r="AP525" t="s">
        <v>182</v>
      </c>
      <c r="AQ525" t="s">
        <v>699</v>
      </c>
      <c r="AR525" t="s">
        <v>70</v>
      </c>
      <c r="AS525">
        <v>702</v>
      </c>
      <c r="AT525" t="s">
        <v>71</v>
      </c>
      <c r="AU525">
        <v>22.51</v>
      </c>
      <c r="AV525">
        <v>-42.93</v>
      </c>
      <c r="AW525" t="s">
        <v>72</v>
      </c>
      <c r="AX525">
        <v>702</v>
      </c>
      <c r="AY525" t="s">
        <v>71</v>
      </c>
      <c r="AZ525">
        <v>24.25</v>
      </c>
      <c r="BA525">
        <v>-52.74</v>
      </c>
      <c r="BB525" t="s">
        <v>73</v>
      </c>
    </row>
    <row r="526" spans="1:54" x14ac:dyDescent="0.4">
      <c r="A526">
        <v>1285964</v>
      </c>
      <c r="D526" t="s">
        <v>246</v>
      </c>
      <c r="E526" t="s">
        <v>55</v>
      </c>
      <c r="G526">
        <v>1</v>
      </c>
      <c r="H526" t="s">
        <v>56</v>
      </c>
      <c r="I526" t="s">
        <v>57</v>
      </c>
      <c r="K526" t="s">
        <v>856</v>
      </c>
      <c r="L526" t="s">
        <v>1074</v>
      </c>
      <c r="M526" t="s">
        <v>59</v>
      </c>
      <c r="P526" t="s">
        <v>259</v>
      </c>
      <c r="Q526" t="s">
        <v>502</v>
      </c>
      <c r="R526" t="s">
        <v>260</v>
      </c>
      <c r="S526" t="s">
        <v>98</v>
      </c>
      <c r="T526">
        <v>259.51</v>
      </c>
      <c r="U526">
        <v>251.90199999999999</v>
      </c>
      <c r="V526">
        <f>(T526+U526)/2</f>
        <v>255.70599999999999</v>
      </c>
      <c r="W526">
        <f>T526-U526</f>
        <v>7.6080000000000041</v>
      </c>
      <c r="X526">
        <v>44.416668000000001</v>
      </c>
      <c r="Y526">
        <v>-24</v>
      </c>
      <c r="Z526" t="s">
        <v>99</v>
      </c>
      <c r="AA526" t="s">
        <v>692</v>
      </c>
      <c r="AB526" t="s">
        <v>693</v>
      </c>
      <c r="AD526" t="s">
        <v>694</v>
      </c>
      <c r="AE526" t="s">
        <v>695</v>
      </c>
      <c r="AH526" t="s">
        <v>65</v>
      </c>
      <c r="AI526" t="s">
        <v>1063</v>
      </c>
      <c r="AJ526">
        <v>1926</v>
      </c>
      <c r="AK526" t="s">
        <v>697</v>
      </c>
      <c r="AM526" t="s">
        <v>698</v>
      </c>
      <c r="AN526" t="s">
        <v>121</v>
      </c>
      <c r="AO526" t="s">
        <v>330</v>
      </c>
      <c r="AP526" t="s">
        <v>182</v>
      </c>
      <c r="AQ526" t="s">
        <v>699</v>
      </c>
      <c r="AR526" t="s">
        <v>70</v>
      </c>
      <c r="AS526">
        <v>702</v>
      </c>
      <c r="AT526" t="s">
        <v>71</v>
      </c>
      <c r="AU526">
        <v>22.51</v>
      </c>
      <c r="AV526">
        <v>-42.93</v>
      </c>
      <c r="AW526" t="s">
        <v>72</v>
      </c>
      <c r="AX526">
        <v>702</v>
      </c>
      <c r="AY526" t="s">
        <v>71</v>
      </c>
      <c r="AZ526">
        <v>24.25</v>
      </c>
      <c r="BA526">
        <v>-52.74</v>
      </c>
      <c r="BB526" t="s">
        <v>73</v>
      </c>
    </row>
    <row r="527" spans="1:54" x14ac:dyDescent="0.4">
      <c r="A527">
        <v>1285964</v>
      </c>
      <c r="D527" t="s">
        <v>246</v>
      </c>
      <c r="E527" t="s">
        <v>55</v>
      </c>
      <c r="G527">
        <v>1</v>
      </c>
      <c r="H527" t="s">
        <v>56</v>
      </c>
      <c r="I527" t="s">
        <v>57</v>
      </c>
      <c r="K527" t="s">
        <v>856</v>
      </c>
      <c r="L527" t="s">
        <v>1074</v>
      </c>
      <c r="M527" t="s">
        <v>59</v>
      </c>
      <c r="P527" t="s">
        <v>259</v>
      </c>
      <c r="Q527" t="s">
        <v>502</v>
      </c>
      <c r="R527" t="s">
        <v>260</v>
      </c>
      <c r="S527" t="s">
        <v>98</v>
      </c>
      <c r="T527">
        <v>259.51</v>
      </c>
      <c r="U527">
        <v>251.90199999999999</v>
      </c>
      <c r="V527">
        <f>(T527+U527)/2</f>
        <v>255.70599999999999</v>
      </c>
      <c r="W527">
        <f>T527-U527</f>
        <v>7.6080000000000041</v>
      </c>
      <c r="X527">
        <v>44.416668000000001</v>
      </c>
      <c r="Y527">
        <v>-24</v>
      </c>
      <c r="Z527" t="s">
        <v>99</v>
      </c>
      <c r="AA527" t="s">
        <v>692</v>
      </c>
      <c r="AB527" t="s">
        <v>693</v>
      </c>
      <c r="AD527" t="s">
        <v>694</v>
      </c>
      <c r="AE527" t="s">
        <v>695</v>
      </c>
      <c r="AH527" t="s">
        <v>65</v>
      </c>
      <c r="AI527" t="s">
        <v>1063</v>
      </c>
      <c r="AJ527">
        <v>1926</v>
      </c>
      <c r="AK527" t="s">
        <v>697</v>
      </c>
      <c r="AM527" t="s">
        <v>698</v>
      </c>
      <c r="AN527" t="s">
        <v>121</v>
      </c>
      <c r="AO527" t="s">
        <v>330</v>
      </c>
      <c r="AP527" t="s">
        <v>182</v>
      </c>
      <c r="AQ527" t="s">
        <v>699</v>
      </c>
      <c r="AR527" t="s">
        <v>70</v>
      </c>
      <c r="AS527">
        <v>702</v>
      </c>
      <c r="AT527" t="s">
        <v>71</v>
      </c>
      <c r="AU527">
        <v>22.51</v>
      </c>
      <c r="AV527">
        <v>-42.93</v>
      </c>
      <c r="AW527" t="s">
        <v>72</v>
      </c>
      <c r="AX527">
        <v>702</v>
      </c>
      <c r="AY527" t="s">
        <v>71</v>
      </c>
      <c r="AZ527">
        <v>24.25</v>
      </c>
      <c r="BA527">
        <v>-52.74</v>
      </c>
      <c r="BB527" t="s">
        <v>73</v>
      </c>
    </row>
    <row r="528" spans="1:54" x14ac:dyDescent="0.4">
      <c r="A528">
        <v>1285964</v>
      </c>
      <c r="D528" t="s">
        <v>246</v>
      </c>
      <c r="E528" t="s">
        <v>55</v>
      </c>
      <c r="G528">
        <v>1</v>
      </c>
      <c r="H528" t="s">
        <v>56</v>
      </c>
      <c r="I528" t="s">
        <v>57</v>
      </c>
      <c r="K528" t="s">
        <v>856</v>
      </c>
      <c r="L528" t="s">
        <v>1074</v>
      </c>
      <c r="M528" t="s">
        <v>59</v>
      </c>
      <c r="P528" t="s">
        <v>259</v>
      </c>
      <c r="Q528" t="s">
        <v>502</v>
      </c>
      <c r="R528" t="s">
        <v>260</v>
      </c>
      <c r="S528" t="s">
        <v>98</v>
      </c>
      <c r="T528">
        <v>259.51</v>
      </c>
      <c r="U528">
        <v>251.90199999999999</v>
      </c>
      <c r="V528">
        <f>(T528+U528)/2</f>
        <v>255.70599999999999</v>
      </c>
      <c r="W528">
        <f>T528-U528</f>
        <v>7.6080000000000041</v>
      </c>
      <c r="X528">
        <v>44.416668000000001</v>
      </c>
      <c r="Y528">
        <v>-24</v>
      </c>
      <c r="Z528" t="s">
        <v>99</v>
      </c>
      <c r="AA528" t="s">
        <v>692</v>
      </c>
      <c r="AB528" t="s">
        <v>693</v>
      </c>
      <c r="AD528" t="s">
        <v>694</v>
      </c>
      <c r="AE528" t="s">
        <v>695</v>
      </c>
      <c r="AH528" t="s">
        <v>65</v>
      </c>
      <c r="AI528" t="s">
        <v>1063</v>
      </c>
      <c r="AJ528">
        <v>1926</v>
      </c>
      <c r="AK528" t="s">
        <v>697</v>
      </c>
      <c r="AM528" t="s">
        <v>698</v>
      </c>
      <c r="AN528" t="s">
        <v>121</v>
      </c>
      <c r="AO528" t="s">
        <v>330</v>
      </c>
      <c r="AP528" t="s">
        <v>182</v>
      </c>
      <c r="AQ528" t="s">
        <v>699</v>
      </c>
      <c r="AR528" t="s">
        <v>70</v>
      </c>
      <c r="AS528">
        <v>702</v>
      </c>
      <c r="AT528" t="s">
        <v>71</v>
      </c>
      <c r="AU528">
        <v>22.51</v>
      </c>
      <c r="AV528">
        <v>-42.93</v>
      </c>
      <c r="AW528" t="s">
        <v>72</v>
      </c>
      <c r="AX528">
        <v>702</v>
      </c>
      <c r="AY528" t="s">
        <v>71</v>
      </c>
      <c r="AZ528">
        <v>24.25</v>
      </c>
      <c r="BA528">
        <v>-52.74</v>
      </c>
      <c r="BB528" t="s">
        <v>73</v>
      </c>
    </row>
    <row r="529" spans="1:54" x14ac:dyDescent="0.4">
      <c r="A529">
        <v>1285964</v>
      </c>
      <c r="D529" t="s">
        <v>246</v>
      </c>
      <c r="E529" t="s">
        <v>55</v>
      </c>
      <c r="G529">
        <v>1</v>
      </c>
      <c r="H529" t="s">
        <v>56</v>
      </c>
      <c r="I529" t="s">
        <v>57</v>
      </c>
      <c r="K529" t="s">
        <v>856</v>
      </c>
      <c r="L529" t="s">
        <v>1074</v>
      </c>
      <c r="M529" t="s">
        <v>59</v>
      </c>
      <c r="P529" t="s">
        <v>259</v>
      </c>
      <c r="Q529" t="s">
        <v>502</v>
      </c>
      <c r="R529" t="s">
        <v>260</v>
      </c>
      <c r="S529" t="s">
        <v>98</v>
      </c>
      <c r="T529">
        <v>259.51</v>
      </c>
      <c r="U529">
        <v>251.90199999999999</v>
      </c>
      <c r="V529">
        <f>(T529+U529)/2</f>
        <v>255.70599999999999</v>
      </c>
      <c r="W529">
        <f>T529-U529</f>
        <v>7.6080000000000041</v>
      </c>
      <c r="X529">
        <v>44.416668000000001</v>
      </c>
      <c r="Y529">
        <v>-24</v>
      </c>
      <c r="Z529" t="s">
        <v>99</v>
      </c>
      <c r="AA529" t="s">
        <v>692</v>
      </c>
      <c r="AB529" t="s">
        <v>693</v>
      </c>
      <c r="AD529" t="s">
        <v>694</v>
      </c>
      <c r="AE529" t="s">
        <v>695</v>
      </c>
      <c r="AH529" t="s">
        <v>65</v>
      </c>
      <c r="AI529" t="s">
        <v>1063</v>
      </c>
      <c r="AJ529">
        <v>1926</v>
      </c>
      <c r="AK529" t="s">
        <v>697</v>
      </c>
      <c r="AM529" t="s">
        <v>698</v>
      </c>
      <c r="AN529" t="s">
        <v>121</v>
      </c>
      <c r="AO529" t="s">
        <v>330</v>
      </c>
      <c r="AP529" t="s">
        <v>182</v>
      </c>
      <c r="AQ529" t="s">
        <v>699</v>
      </c>
      <c r="AR529" t="s">
        <v>70</v>
      </c>
      <c r="AS529">
        <v>702</v>
      </c>
      <c r="AT529" t="s">
        <v>71</v>
      </c>
      <c r="AU529">
        <v>22.51</v>
      </c>
      <c r="AV529">
        <v>-42.93</v>
      </c>
      <c r="AW529" t="s">
        <v>72</v>
      </c>
      <c r="AX529">
        <v>702</v>
      </c>
      <c r="AY529" t="s">
        <v>71</v>
      </c>
      <c r="AZ529">
        <v>24.25</v>
      </c>
      <c r="BA529">
        <v>-52.74</v>
      </c>
      <c r="BB529" t="s">
        <v>73</v>
      </c>
    </row>
    <row r="530" spans="1:54" x14ac:dyDescent="0.4">
      <c r="A530">
        <v>1285964</v>
      </c>
      <c r="D530" t="s">
        <v>246</v>
      </c>
      <c r="E530" t="s">
        <v>55</v>
      </c>
      <c r="G530">
        <v>1</v>
      </c>
      <c r="H530" t="s">
        <v>56</v>
      </c>
      <c r="I530" t="s">
        <v>57</v>
      </c>
      <c r="K530" t="s">
        <v>856</v>
      </c>
      <c r="L530" t="s">
        <v>1074</v>
      </c>
      <c r="M530" t="s">
        <v>59</v>
      </c>
      <c r="P530" t="s">
        <v>259</v>
      </c>
      <c r="Q530" t="s">
        <v>502</v>
      </c>
      <c r="R530" t="s">
        <v>260</v>
      </c>
      <c r="S530" t="s">
        <v>98</v>
      </c>
      <c r="T530">
        <v>259.51</v>
      </c>
      <c r="U530">
        <v>251.90199999999999</v>
      </c>
      <c r="V530">
        <f>(T530+U530)/2</f>
        <v>255.70599999999999</v>
      </c>
      <c r="W530">
        <f>T530-U530</f>
        <v>7.6080000000000041</v>
      </c>
      <c r="X530">
        <v>44.416668000000001</v>
      </c>
      <c r="Y530">
        <v>-24</v>
      </c>
      <c r="Z530" t="s">
        <v>99</v>
      </c>
      <c r="AA530" t="s">
        <v>692</v>
      </c>
      <c r="AB530" t="s">
        <v>693</v>
      </c>
      <c r="AD530" t="s">
        <v>694</v>
      </c>
      <c r="AE530" t="s">
        <v>695</v>
      </c>
      <c r="AH530" t="s">
        <v>65</v>
      </c>
      <c r="AI530" t="s">
        <v>1063</v>
      </c>
      <c r="AJ530">
        <v>1926</v>
      </c>
      <c r="AK530" t="s">
        <v>697</v>
      </c>
      <c r="AM530" t="s">
        <v>698</v>
      </c>
      <c r="AN530" t="s">
        <v>121</v>
      </c>
      <c r="AO530" t="s">
        <v>330</v>
      </c>
      <c r="AP530" t="s">
        <v>182</v>
      </c>
      <c r="AQ530" t="s">
        <v>699</v>
      </c>
      <c r="AR530" t="s">
        <v>70</v>
      </c>
      <c r="AS530">
        <v>702</v>
      </c>
      <c r="AT530" t="s">
        <v>71</v>
      </c>
      <c r="AU530">
        <v>22.51</v>
      </c>
      <c r="AV530">
        <v>-42.93</v>
      </c>
      <c r="AW530" t="s">
        <v>72</v>
      </c>
      <c r="AX530">
        <v>702</v>
      </c>
      <c r="AY530" t="s">
        <v>71</v>
      </c>
      <c r="AZ530">
        <v>24.25</v>
      </c>
      <c r="BA530">
        <v>-52.74</v>
      </c>
      <c r="BB530" t="s">
        <v>73</v>
      </c>
    </row>
    <row r="531" spans="1:54" x14ac:dyDescent="0.4">
      <c r="A531">
        <v>1285964</v>
      </c>
      <c r="D531" t="s">
        <v>246</v>
      </c>
      <c r="E531" t="s">
        <v>55</v>
      </c>
      <c r="G531">
        <v>1</v>
      </c>
      <c r="H531" t="s">
        <v>56</v>
      </c>
      <c r="I531" t="s">
        <v>57</v>
      </c>
      <c r="K531" t="s">
        <v>856</v>
      </c>
      <c r="L531" t="s">
        <v>1074</v>
      </c>
      <c r="M531" t="s">
        <v>59</v>
      </c>
      <c r="P531" t="s">
        <v>259</v>
      </c>
      <c r="Q531" t="s">
        <v>502</v>
      </c>
      <c r="R531" t="s">
        <v>260</v>
      </c>
      <c r="S531" t="s">
        <v>98</v>
      </c>
      <c r="T531">
        <v>259.51</v>
      </c>
      <c r="U531">
        <v>251.90199999999999</v>
      </c>
      <c r="V531">
        <f>(T531+U531)/2</f>
        <v>255.70599999999999</v>
      </c>
      <c r="W531">
        <f>T531-U531</f>
        <v>7.6080000000000041</v>
      </c>
      <c r="X531">
        <v>44.416668000000001</v>
      </c>
      <c r="Y531">
        <v>-24</v>
      </c>
      <c r="Z531" t="s">
        <v>99</v>
      </c>
      <c r="AA531" t="s">
        <v>692</v>
      </c>
      <c r="AB531" t="s">
        <v>693</v>
      </c>
      <c r="AD531" t="s">
        <v>694</v>
      </c>
      <c r="AE531" t="s">
        <v>695</v>
      </c>
      <c r="AH531" t="s">
        <v>65</v>
      </c>
      <c r="AI531" t="s">
        <v>1063</v>
      </c>
      <c r="AJ531">
        <v>1926</v>
      </c>
      <c r="AK531" t="s">
        <v>697</v>
      </c>
      <c r="AM531" t="s">
        <v>698</v>
      </c>
      <c r="AN531" t="s">
        <v>121</v>
      </c>
      <c r="AO531" t="s">
        <v>330</v>
      </c>
      <c r="AP531" t="s">
        <v>182</v>
      </c>
      <c r="AQ531" t="s">
        <v>699</v>
      </c>
      <c r="AR531" t="s">
        <v>70</v>
      </c>
      <c r="AS531">
        <v>702</v>
      </c>
      <c r="AT531" t="s">
        <v>71</v>
      </c>
      <c r="AU531">
        <v>22.51</v>
      </c>
      <c r="AV531">
        <v>-42.93</v>
      </c>
      <c r="AW531" t="s">
        <v>72</v>
      </c>
      <c r="AX531">
        <v>702</v>
      </c>
      <c r="AY531" t="s">
        <v>71</v>
      </c>
      <c r="AZ531">
        <v>24.25</v>
      </c>
      <c r="BA531">
        <v>-52.74</v>
      </c>
      <c r="BB531" t="s">
        <v>73</v>
      </c>
    </row>
    <row r="532" spans="1:54" x14ac:dyDescent="0.4">
      <c r="A532">
        <v>1285964</v>
      </c>
      <c r="D532" t="s">
        <v>246</v>
      </c>
      <c r="E532" t="s">
        <v>55</v>
      </c>
      <c r="G532">
        <v>1</v>
      </c>
      <c r="H532" t="s">
        <v>56</v>
      </c>
      <c r="I532" t="s">
        <v>57</v>
      </c>
      <c r="K532" t="s">
        <v>856</v>
      </c>
      <c r="L532" t="s">
        <v>1074</v>
      </c>
      <c r="M532" t="s">
        <v>59</v>
      </c>
      <c r="P532" t="s">
        <v>259</v>
      </c>
      <c r="Q532" t="s">
        <v>502</v>
      </c>
      <c r="R532" t="s">
        <v>260</v>
      </c>
      <c r="S532" t="s">
        <v>98</v>
      </c>
      <c r="T532">
        <v>259.51</v>
      </c>
      <c r="U532">
        <v>251.90199999999999</v>
      </c>
      <c r="V532">
        <f>(T532+U532)/2</f>
        <v>255.70599999999999</v>
      </c>
      <c r="W532">
        <f>T532-U532</f>
        <v>7.6080000000000041</v>
      </c>
      <c r="X532">
        <v>44.416668000000001</v>
      </c>
      <c r="Y532">
        <v>-24</v>
      </c>
      <c r="Z532" t="s">
        <v>99</v>
      </c>
      <c r="AA532" t="s">
        <v>692</v>
      </c>
      <c r="AB532" t="s">
        <v>693</v>
      </c>
      <c r="AD532" t="s">
        <v>694</v>
      </c>
      <c r="AE532" t="s">
        <v>695</v>
      </c>
      <c r="AH532" t="s">
        <v>65</v>
      </c>
      <c r="AI532" t="s">
        <v>1063</v>
      </c>
      <c r="AJ532">
        <v>1926</v>
      </c>
      <c r="AK532" t="s">
        <v>697</v>
      </c>
      <c r="AM532" t="s">
        <v>698</v>
      </c>
      <c r="AN532" t="s">
        <v>121</v>
      </c>
      <c r="AO532" t="s">
        <v>330</v>
      </c>
      <c r="AP532" t="s">
        <v>182</v>
      </c>
      <c r="AQ532" t="s">
        <v>699</v>
      </c>
      <c r="AR532" t="s">
        <v>70</v>
      </c>
      <c r="AS532">
        <v>702</v>
      </c>
      <c r="AT532" t="s">
        <v>71</v>
      </c>
      <c r="AU532">
        <v>22.51</v>
      </c>
      <c r="AV532">
        <v>-42.93</v>
      </c>
      <c r="AW532" t="s">
        <v>72</v>
      </c>
      <c r="AX532">
        <v>702</v>
      </c>
      <c r="AY532" t="s">
        <v>71</v>
      </c>
      <c r="AZ532">
        <v>24.25</v>
      </c>
      <c r="BA532">
        <v>-52.74</v>
      </c>
      <c r="BB532" t="s">
        <v>73</v>
      </c>
    </row>
    <row r="533" spans="1:54" x14ac:dyDescent="0.4">
      <c r="A533">
        <v>1285964</v>
      </c>
      <c r="D533" t="s">
        <v>246</v>
      </c>
      <c r="E533" t="s">
        <v>55</v>
      </c>
      <c r="G533">
        <v>1</v>
      </c>
      <c r="H533" t="s">
        <v>56</v>
      </c>
      <c r="I533" t="s">
        <v>57</v>
      </c>
      <c r="K533" t="s">
        <v>856</v>
      </c>
      <c r="L533" t="s">
        <v>1074</v>
      </c>
      <c r="M533" t="s">
        <v>59</v>
      </c>
      <c r="P533" t="s">
        <v>259</v>
      </c>
      <c r="Q533" t="s">
        <v>502</v>
      </c>
      <c r="R533" t="s">
        <v>260</v>
      </c>
      <c r="S533" t="s">
        <v>98</v>
      </c>
      <c r="T533">
        <v>259.51</v>
      </c>
      <c r="U533">
        <v>251.90199999999999</v>
      </c>
      <c r="V533">
        <f>(T533+U533)/2</f>
        <v>255.70599999999999</v>
      </c>
      <c r="W533">
        <f>T533-U533</f>
        <v>7.6080000000000041</v>
      </c>
      <c r="X533">
        <v>44.416668000000001</v>
      </c>
      <c r="Y533">
        <v>-24</v>
      </c>
      <c r="Z533" t="s">
        <v>99</v>
      </c>
      <c r="AA533" t="s">
        <v>692</v>
      </c>
      <c r="AB533" t="s">
        <v>693</v>
      </c>
      <c r="AD533" t="s">
        <v>694</v>
      </c>
      <c r="AE533" t="s">
        <v>695</v>
      </c>
      <c r="AH533" t="s">
        <v>65</v>
      </c>
      <c r="AI533" t="s">
        <v>1063</v>
      </c>
      <c r="AJ533">
        <v>1926</v>
      </c>
      <c r="AK533" t="s">
        <v>697</v>
      </c>
      <c r="AM533" t="s">
        <v>698</v>
      </c>
      <c r="AN533" t="s">
        <v>121</v>
      </c>
      <c r="AO533" t="s">
        <v>330</v>
      </c>
      <c r="AP533" t="s">
        <v>182</v>
      </c>
      <c r="AQ533" t="s">
        <v>699</v>
      </c>
      <c r="AR533" t="s">
        <v>70</v>
      </c>
      <c r="AS533">
        <v>702</v>
      </c>
      <c r="AT533" t="s">
        <v>71</v>
      </c>
      <c r="AU533">
        <v>22.51</v>
      </c>
      <c r="AV533">
        <v>-42.93</v>
      </c>
      <c r="AW533" t="s">
        <v>72</v>
      </c>
      <c r="AX533">
        <v>702</v>
      </c>
      <c r="AY533" t="s">
        <v>71</v>
      </c>
      <c r="AZ533">
        <v>24.25</v>
      </c>
      <c r="BA533">
        <v>-52.74</v>
      </c>
      <c r="BB533" t="s">
        <v>73</v>
      </c>
    </row>
    <row r="534" spans="1:54" x14ac:dyDescent="0.4">
      <c r="A534">
        <v>1285964</v>
      </c>
      <c r="D534" t="s">
        <v>246</v>
      </c>
      <c r="E534" t="s">
        <v>55</v>
      </c>
      <c r="G534">
        <v>1</v>
      </c>
      <c r="H534" t="s">
        <v>56</v>
      </c>
      <c r="I534" t="s">
        <v>57</v>
      </c>
      <c r="K534" t="s">
        <v>856</v>
      </c>
      <c r="L534" t="s">
        <v>1074</v>
      </c>
      <c r="M534" t="s">
        <v>59</v>
      </c>
      <c r="P534" t="s">
        <v>259</v>
      </c>
      <c r="Q534" t="s">
        <v>502</v>
      </c>
      <c r="R534" t="s">
        <v>260</v>
      </c>
      <c r="S534" t="s">
        <v>98</v>
      </c>
      <c r="T534">
        <v>259.51</v>
      </c>
      <c r="U534">
        <v>251.90199999999999</v>
      </c>
      <c r="V534">
        <f>(T534+U534)/2</f>
        <v>255.70599999999999</v>
      </c>
      <c r="W534">
        <f>T534-U534</f>
        <v>7.6080000000000041</v>
      </c>
      <c r="X534">
        <v>44.416668000000001</v>
      </c>
      <c r="Y534">
        <v>-24</v>
      </c>
      <c r="Z534" t="s">
        <v>99</v>
      </c>
      <c r="AA534" t="s">
        <v>692</v>
      </c>
      <c r="AB534" t="s">
        <v>693</v>
      </c>
      <c r="AD534" t="s">
        <v>694</v>
      </c>
      <c r="AE534" t="s">
        <v>695</v>
      </c>
      <c r="AH534" t="s">
        <v>65</v>
      </c>
      <c r="AI534" t="s">
        <v>1063</v>
      </c>
      <c r="AJ534">
        <v>1926</v>
      </c>
      <c r="AK534" t="s">
        <v>697</v>
      </c>
      <c r="AM534" t="s">
        <v>698</v>
      </c>
      <c r="AN534" t="s">
        <v>121</v>
      </c>
      <c r="AO534" t="s">
        <v>330</v>
      </c>
      <c r="AP534" t="s">
        <v>182</v>
      </c>
      <c r="AQ534" t="s">
        <v>699</v>
      </c>
      <c r="AR534" t="s">
        <v>70</v>
      </c>
      <c r="AS534">
        <v>702</v>
      </c>
      <c r="AT534" t="s">
        <v>71</v>
      </c>
      <c r="AU534">
        <v>22.51</v>
      </c>
      <c r="AV534">
        <v>-42.93</v>
      </c>
      <c r="AW534" t="s">
        <v>72</v>
      </c>
      <c r="AX534">
        <v>702</v>
      </c>
      <c r="AY534" t="s">
        <v>71</v>
      </c>
      <c r="AZ534">
        <v>24.25</v>
      </c>
      <c r="BA534">
        <v>-52.74</v>
      </c>
      <c r="BB534" t="s">
        <v>73</v>
      </c>
    </row>
    <row r="535" spans="1:54" x14ac:dyDescent="0.4">
      <c r="A535">
        <v>1285964</v>
      </c>
      <c r="D535" t="s">
        <v>246</v>
      </c>
      <c r="E535" t="s">
        <v>55</v>
      </c>
      <c r="G535">
        <v>1</v>
      </c>
      <c r="H535" t="s">
        <v>56</v>
      </c>
      <c r="I535" t="s">
        <v>57</v>
      </c>
      <c r="K535" t="s">
        <v>856</v>
      </c>
      <c r="L535" t="s">
        <v>1074</v>
      </c>
      <c r="M535" t="s">
        <v>59</v>
      </c>
      <c r="P535" t="s">
        <v>259</v>
      </c>
      <c r="Q535" t="s">
        <v>502</v>
      </c>
      <c r="R535" t="s">
        <v>260</v>
      </c>
      <c r="S535" t="s">
        <v>98</v>
      </c>
      <c r="T535">
        <v>259.51</v>
      </c>
      <c r="U535">
        <v>251.90199999999999</v>
      </c>
      <c r="V535">
        <f>(T535+U535)/2</f>
        <v>255.70599999999999</v>
      </c>
      <c r="W535">
        <f>T535-U535</f>
        <v>7.6080000000000041</v>
      </c>
      <c r="X535">
        <v>44.416668000000001</v>
      </c>
      <c r="Y535">
        <v>-24</v>
      </c>
      <c r="Z535" t="s">
        <v>99</v>
      </c>
      <c r="AA535" t="s">
        <v>692</v>
      </c>
      <c r="AB535" t="s">
        <v>693</v>
      </c>
      <c r="AD535" t="s">
        <v>694</v>
      </c>
      <c r="AE535" t="s">
        <v>695</v>
      </c>
      <c r="AH535" t="s">
        <v>65</v>
      </c>
      <c r="AI535" t="s">
        <v>1063</v>
      </c>
      <c r="AJ535">
        <v>1926</v>
      </c>
      <c r="AK535" t="s">
        <v>697</v>
      </c>
      <c r="AM535" t="s">
        <v>698</v>
      </c>
      <c r="AN535" t="s">
        <v>121</v>
      </c>
      <c r="AO535" t="s">
        <v>330</v>
      </c>
      <c r="AP535" t="s">
        <v>182</v>
      </c>
      <c r="AQ535" t="s">
        <v>699</v>
      </c>
      <c r="AR535" t="s">
        <v>70</v>
      </c>
      <c r="AS535">
        <v>702</v>
      </c>
      <c r="AT535" t="s">
        <v>71</v>
      </c>
      <c r="AU535">
        <v>22.51</v>
      </c>
      <c r="AV535">
        <v>-42.93</v>
      </c>
      <c r="AW535" t="s">
        <v>72</v>
      </c>
      <c r="AX535">
        <v>702</v>
      </c>
      <c r="AY535" t="s">
        <v>71</v>
      </c>
      <c r="AZ535">
        <v>24.25</v>
      </c>
      <c r="BA535">
        <v>-52.74</v>
      </c>
      <c r="BB535" t="s">
        <v>73</v>
      </c>
    </row>
    <row r="536" spans="1:54" x14ac:dyDescent="0.4">
      <c r="A536">
        <v>1285964</v>
      </c>
      <c r="D536" t="s">
        <v>246</v>
      </c>
      <c r="E536" t="s">
        <v>55</v>
      </c>
      <c r="G536">
        <v>1</v>
      </c>
      <c r="H536" t="s">
        <v>56</v>
      </c>
      <c r="I536" t="s">
        <v>57</v>
      </c>
      <c r="K536" t="s">
        <v>856</v>
      </c>
      <c r="L536" t="s">
        <v>1074</v>
      </c>
      <c r="M536" t="s">
        <v>59</v>
      </c>
      <c r="P536" t="s">
        <v>259</v>
      </c>
      <c r="Q536" t="s">
        <v>502</v>
      </c>
      <c r="R536" t="s">
        <v>260</v>
      </c>
      <c r="S536" t="s">
        <v>98</v>
      </c>
      <c r="T536">
        <v>259.51</v>
      </c>
      <c r="U536">
        <v>251.90199999999999</v>
      </c>
      <c r="V536">
        <f>(T536+U536)/2</f>
        <v>255.70599999999999</v>
      </c>
      <c r="W536">
        <f>T536-U536</f>
        <v>7.6080000000000041</v>
      </c>
      <c r="X536">
        <v>44.416668000000001</v>
      </c>
      <c r="Y536">
        <v>-24</v>
      </c>
      <c r="Z536" t="s">
        <v>99</v>
      </c>
      <c r="AA536" t="s">
        <v>692</v>
      </c>
      <c r="AB536" t="s">
        <v>693</v>
      </c>
      <c r="AD536" t="s">
        <v>694</v>
      </c>
      <c r="AE536" t="s">
        <v>695</v>
      </c>
      <c r="AH536" t="s">
        <v>65</v>
      </c>
      <c r="AI536" t="s">
        <v>1063</v>
      </c>
      <c r="AJ536">
        <v>1926</v>
      </c>
      <c r="AK536" t="s">
        <v>697</v>
      </c>
      <c r="AM536" t="s">
        <v>698</v>
      </c>
      <c r="AN536" t="s">
        <v>121</v>
      </c>
      <c r="AO536" t="s">
        <v>330</v>
      </c>
      <c r="AP536" t="s">
        <v>182</v>
      </c>
      <c r="AQ536" t="s">
        <v>699</v>
      </c>
      <c r="AR536" t="s">
        <v>70</v>
      </c>
      <c r="AS536">
        <v>702</v>
      </c>
      <c r="AT536" t="s">
        <v>71</v>
      </c>
      <c r="AU536">
        <v>22.51</v>
      </c>
      <c r="AV536">
        <v>-42.93</v>
      </c>
      <c r="AW536" t="s">
        <v>72</v>
      </c>
      <c r="AX536">
        <v>702</v>
      </c>
      <c r="AY536" t="s">
        <v>71</v>
      </c>
      <c r="AZ536">
        <v>24.25</v>
      </c>
      <c r="BA536">
        <v>-52.74</v>
      </c>
      <c r="BB536" t="s">
        <v>73</v>
      </c>
    </row>
    <row r="537" spans="1:54" x14ac:dyDescent="0.4">
      <c r="A537">
        <v>1285964</v>
      </c>
      <c r="D537" t="s">
        <v>246</v>
      </c>
      <c r="E537" t="s">
        <v>55</v>
      </c>
      <c r="G537">
        <v>1</v>
      </c>
      <c r="H537" t="s">
        <v>56</v>
      </c>
      <c r="I537" t="s">
        <v>57</v>
      </c>
      <c r="K537" t="s">
        <v>856</v>
      </c>
      <c r="L537" t="s">
        <v>1074</v>
      </c>
      <c r="M537" t="s">
        <v>59</v>
      </c>
      <c r="P537" t="s">
        <v>259</v>
      </c>
      <c r="Q537" t="s">
        <v>502</v>
      </c>
      <c r="R537" t="s">
        <v>260</v>
      </c>
      <c r="S537" t="s">
        <v>98</v>
      </c>
      <c r="T537">
        <v>259.51</v>
      </c>
      <c r="U537">
        <v>251.90199999999999</v>
      </c>
      <c r="V537">
        <f>(T537+U537)/2</f>
        <v>255.70599999999999</v>
      </c>
      <c r="W537">
        <f>T537-U537</f>
        <v>7.6080000000000041</v>
      </c>
      <c r="X537">
        <v>44.416668000000001</v>
      </c>
      <c r="Y537">
        <v>-24</v>
      </c>
      <c r="Z537" t="s">
        <v>99</v>
      </c>
      <c r="AA537" t="s">
        <v>692</v>
      </c>
      <c r="AB537" t="s">
        <v>693</v>
      </c>
      <c r="AD537" t="s">
        <v>694</v>
      </c>
      <c r="AE537" t="s">
        <v>695</v>
      </c>
      <c r="AH537" t="s">
        <v>65</v>
      </c>
      <c r="AI537" t="s">
        <v>1063</v>
      </c>
      <c r="AJ537">
        <v>1926</v>
      </c>
      <c r="AK537" t="s">
        <v>697</v>
      </c>
      <c r="AM537" t="s">
        <v>698</v>
      </c>
      <c r="AN537" t="s">
        <v>121</v>
      </c>
      <c r="AO537" t="s">
        <v>330</v>
      </c>
      <c r="AP537" t="s">
        <v>182</v>
      </c>
      <c r="AQ537" t="s">
        <v>699</v>
      </c>
      <c r="AR537" t="s">
        <v>70</v>
      </c>
      <c r="AS537">
        <v>702</v>
      </c>
      <c r="AT537" t="s">
        <v>71</v>
      </c>
      <c r="AU537">
        <v>22.51</v>
      </c>
      <c r="AV537">
        <v>-42.93</v>
      </c>
      <c r="AW537" t="s">
        <v>72</v>
      </c>
      <c r="AX537">
        <v>702</v>
      </c>
      <c r="AY537" t="s">
        <v>71</v>
      </c>
      <c r="AZ537">
        <v>24.25</v>
      </c>
      <c r="BA537">
        <v>-52.74</v>
      </c>
      <c r="BB537" t="s">
        <v>73</v>
      </c>
    </row>
    <row r="538" spans="1:54" x14ac:dyDescent="0.4">
      <c r="A538">
        <v>1285964</v>
      </c>
      <c r="D538" t="s">
        <v>246</v>
      </c>
      <c r="E538" t="s">
        <v>55</v>
      </c>
      <c r="G538">
        <v>1</v>
      </c>
      <c r="H538" t="s">
        <v>56</v>
      </c>
      <c r="I538" t="s">
        <v>57</v>
      </c>
      <c r="K538" t="s">
        <v>856</v>
      </c>
      <c r="L538" t="s">
        <v>1074</v>
      </c>
      <c r="M538" t="s">
        <v>59</v>
      </c>
      <c r="P538" t="s">
        <v>259</v>
      </c>
      <c r="Q538" t="s">
        <v>502</v>
      </c>
      <c r="R538" t="s">
        <v>260</v>
      </c>
      <c r="S538" t="s">
        <v>98</v>
      </c>
      <c r="T538">
        <v>259.51</v>
      </c>
      <c r="U538">
        <v>251.90199999999999</v>
      </c>
      <c r="V538">
        <f>(T538+U538)/2</f>
        <v>255.70599999999999</v>
      </c>
      <c r="W538">
        <f>T538-U538</f>
        <v>7.6080000000000041</v>
      </c>
      <c r="X538">
        <v>44.416668000000001</v>
      </c>
      <c r="Y538">
        <v>-24</v>
      </c>
      <c r="Z538" t="s">
        <v>99</v>
      </c>
      <c r="AA538" t="s">
        <v>692</v>
      </c>
      <c r="AB538" t="s">
        <v>693</v>
      </c>
      <c r="AD538" t="s">
        <v>694</v>
      </c>
      <c r="AE538" t="s">
        <v>695</v>
      </c>
      <c r="AH538" t="s">
        <v>65</v>
      </c>
      <c r="AI538" t="s">
        <v>1063</v>
      </c>
      <c r="AJ538">
        <v>1926</v>
      </c>
      <c r="AK538" t="s">
        <v>697</v>
      </c>
      <c r="AM538" t="s">
        <v>698</v>
      </c>
      <c r="AN538" t="s">
        <v>121</v>
      </c>
      <c r="AO538" t="s">
        <v>330</v>
      </c>
      <c r="AP538" t="s">
        <v>182</v>
      </c>
      <c r="AQ538" t="s">
        <v>699</v>
      </c>
      <c r="AR538" t="s">
        <v>70</v>
      </c>
      <c r="AS538">
        <v>702</v>
      </c>
      <c r="AT538" t="s">
        <v>71</v>
      </c>
      <c r="AU538">
        <v>22.51</v>
      </c>
      <c r="AV538">
        <v>-42.93</v>
      </c>
      <c r="AW538" t="s">
        <v>72</v>
      </c>
      <c r="AX538">
        <v>702</v>
      </c>
      <c r="AY538" t="s">
        <v>71</v>
      </c>
      <c r="AZ538">
        <v>24.25</v>
      </c>
      <c r="BA538">
        <v>-52.74</v>
      </c>
      <c r="BB538" t="s">
        <v>73</v>
      </c>
    </row>
    <row r="539" spans="1:54" x14ac:dyDescent="0.4">
      <c r="A539">
        <v>1285964</v>
      </c>
      <c r="D539" t="s">
        <v>246</v>
      </c>
      <c r="E539" t="s">
        <v>55</v>
      </c>
      <c r="G539">
        <v>1</v>
      </c>
      <c r="H539" t="s">
        <v>56</v>
      </c>
      <c r="I539" t="s">
        <v>57</v>
      </c>
      <c r="K539" t="s">
        <v>856</v>
      </c>
      <c r="L539" t="s">
        <v>1074</v>
      </c>
      <c r="M539" t="s">
        <v>59</v>
      </c>
      <c r="P539" t="s">
        <v>259</v>
      </c>
      <c r="Q539" t="s">
        <v>502</v>
      </c>
      <c r="R539" t="s">
        <v>260</v>
      </c>
      <c r="S539" t="s">
        <v>98</v>
      </c>
      <c r="T539">
        <v>259.51</v>
      </c>
      <c r="U539">
        <v>251.90199999999999</v>
      </c>
      <c r="V539">
        <f>(T539+U539)/2</f>
        <v>255.70599999999999</v>
      </c>
      <c r="W539">
        <f>T539-U539</f>
        <v>7.6080000000000041</v>
      </c>
      <c r="X539">
        <v>44.416668000000001</v>
      </c>
      <c r="Y539">
        <v>-24</v>
      </c>
      <c r="Z539" t="s">
        <v>99</v>
      </c>
      <c r="AA539" t="s">
        <v>692</v>
      </c>
      <c r="AB539" t="s">
        <v>693</v>
      </c>
      <c r="AD539" t="s">
        <v>694</v>
      </c>
      <c r="AE539" t="s">
        <v>695</v>
      </c>
      <c r="AH539" t="s">
        <v>65</v>
      </c>
      <c r="AI539" t="s">
        <v>1063</v>
      </c>
      <c r="AJ539">
        <v>1926</v>
      </c>
      <c r="AK539" t="s">
        <v>697</v>
      </c>
      <c r="AM539" t="s">
        <v>698</v>
      </c>
      <c r="AN539" t="s">
        <v>121</v>
      </c>
      <c r="AO539" t="s">
        <v>330</v>
      </c>
      <c r="AP539" t="s">
        <v>182</v>
      </c>
      <c r="AQ539" t="s">
        <v>699</v>
      </c>
      <c r="AR539" t="s">
        <v>70</v>
      </c>
      <c r="AS539">
        <v>702</v>
      </c>
      <c r="AT539" t="s">
        <v>71</v>
      </c>
      <c r="AU539">
        <v>22.51</v>
      </c>
      <c r="AV539">
        <v>-42.93</v>
      </c>
      <c r="AW539" t="s">
        <v>72</v>
      </c>
      <c r="AX539">
        <v>702</v>
      </c>
      <c r="AY539" t="s">
        <v>71</v>
      </c>
      <c r="AZ539">
        <v>24.25</v>
      </c>
      <c r="BA539">
        <v>-52.74</v>
      </c>
      <c r="BB539" t="s">
        <v>73</v>
      </c>
    </row>
    <row r="540" spans="1:54" x14ac:dyDescent="0.4">
      <c r="A540">
        <v>1285964</v>
      </c>
      <c r="D540" t="s">
        <v>246</v>
      </c>
      <c r="E540" t="s">
        <v>55</v>
      </c>
      <c r="G540">
        <v>1</v>
      </c>
      <c r="H540" t="s">
        <v>56</v>
      </c>
      <c r="I540" t="s">
        <v>57</v>
      </c>
      <c r="K540" t="s">
        <v>856</v>
      </c>
      <c r="L540" t="s">
        <v>1074</v>
      </c>
      <c r="M540" t="s">
        <v>59</v>
      </c>
      <c r="P540" t="s">
        <v>259</v>
      </c>
      <c r="Q540" t="s">
        <v>502</v>
      </c>
      <c r="R540" t="s">
        <v>260</v>
      </c>
      <c r="S540" t="s">
        <v>98</v>
      </c>
      <c r="T540">
        <v>259.51</v>
      </c>
      <c r="U540">
        <v>251.90199999999999</v>
      </c>
      <c r="V540">
        <f>(T540+U540)/2</f>
        <v>255.70599999999999</v>
      </c>
      <c r="W540">
        <f>T540-U540</f>
        <v>7.6080000000000041</v>
      </c>
      <c r="X540">
        <v>44.416668000000001</v>
      </c>
      <c r="Y540">
        <v>-24</v>
      </c>
      <c r="Z540" t="s">
        <v>99</v>
      </c>
      <c r="AA540" t="s">
        <v>692</v>
      </c>
      <c r="AB540" t="s">
        <v>693</v>
      </c>
      <c r="AD540" t="s">
        <v>694</v>
      </c>
      <c r="AE540" t="s">
        <v>695</v>
      </c>
      <c r="AH540" t="s">
        <v>65</v>
      </c>
      <c r="AI540" t="s">
        <v>1063</v>
      </c>
      <c r="AJ540">
        <v>1926</v>
      </c>
      <c r="AK540" t="s">
        <v>697</v>
      </c>
      <c r="AM540" t="s">
        <v>698</v>
      </c>
      <c r="AN540" t="s">
        <v>121</v>
      </c>
      <c r="AO540" t="s">
        <v>330</v>
      </c>
      <c r="AP540" t="s">
        <v>182</v>
      </c>
      <c r="AQ540" t="s">
        <v>699</v>
      </c>
      <c r="AR540" t="s">
        <v>70</v>
      </c>
      <c r="AS540">
        <v>702</v>
      </c>
      <c r="AT540" t="s">
        <v>71</v>
      </c>
      <c r="AU540">
        <v>22.51</v>
      </c>
      <c r="AV540">
        <v>-42.93</v>
      </c>
      <c r="AW540" t="s">
        <v>72</v>
      </c>
      <c r="AX540">
        <v>702</v>
      </c>
      <c r="AY540" t="s">
        <v>71</v>
      </c>
      <c r="AZ540">
        <v>24.25</v>
      </c>
      <c r="BA540">
        <v>-52.74</v>
      </c>
      <c r="BB540" t="s">
        <v>73</v>
      </c>
    </row>
    <row r="541" spans="1:54" x14ac:dyDescent="0.4">
      <c r="A541">
        <v>1285964</v>
      </c>
      <c r="D541" t="s">
        <v>246</v>
      </c>
      <c r="E541" t="s">
        <v>55</v>
      </c>
      <c r="G541">
        <v>1</v>
      </c>
      <c r="H541" t="s">
        <v>56</v>
      </c>
      <c r="I541" t="s">
        <v>57</v>
      </c>
      <c r="K541" t="s">
        <v>856</v>
      </c>
      <c r="L541" t="s">
        <v>1074</v>
      </c>
      <c r="M541" t="s">
        <v>59</v>
      </c>
      <c r="P541" t="s">
        <v>259</v>
      </c>
      <c r="Q541" t="s">
        <v>502</v>
      </c>
      <c r="R541" t="s">
        <v>260</v>
      </c>
      <c r="S541" t="s">
        <v>98</v>
      </c>
      <c r="T541">
        <v>259.51</v>
      </c>
      <c r="U541">
        <v>251.90199999999999</v>
      </c>
      <c r="V541">
        <f>(T541+U541)/2</f>
        <v>255.70599999999999</v>
      </c>
      <c r="W541">
        <f>T541-U541</f>
        <v>7.6080000000000041</v>
      </c>
      <c r="X541">
        <v>44.416668000000001</v>
      </c>
      <c r="Y541">
        <v>-24</v>
      </c>
      <c r="Z541" t="s">
        <v>99</v>
      </c>
      <c r="AA541" t="s">
        <v>692</v>
      </c>
      <c r="AB541" t="s">
        <v>693</v>
      </c>
      <c r="AD541" t="s">
        <v>694</v>
      </c>
      <c r="AE541" t="s">
        <v>695</v>
      </c>
      <c r="AH541" t="s">
        <v>65</v>
      </c>
      <c r="AI541" t="s">
        <v>1063</v>
      </c>
      <c r="AJ541">
        <v>1926</v>
      </c>
      <c r="AK541" t="s">
        <v>697</v>
      </c>
      <c r="AM541" t="s">
        <v>698</v>
      </c>
      <c r="AN541" t="s">
        <v>121</v>
      </c>
      <c r="AO541" t="s">
        <v>330</v>
      </c>
      <c r="AP541" t="s">
        <v>182</v>
      </c>
      <c r="AQ541" t="s">
        <v>699</v>
      </c>
      <c r="AR541" t="s">
        <v>70</v>
      </c>
      <c r="AS541">
        <v>702</v>
      </c>
      <c r="AT541" t="s">
        <v>71</v>
      </c>
      <c r="AU541">
        <v>22.51</v>
      </c>
      <c r="AV541">
        <v>-42.93</v>
      </c>
      <c r="AW541" t="s">
        <v>72</v>
      </c>
      <c r="AX541">
        <v>702</v>
      </c>
      <c r="AY541" t="s">
        <v>71</v>
      </c>
      <c r="AZ541">
        <v>24.25</v>
      </c>
      <c r="BA541">
        <v>-52.74</v>
      </c>
      <c r="BB541" t="s">
        <v>73</v>
      </c>
    </row>
    <row r="542" spans="1:54" x14ac:dyDescent="0.4">
      <c r="A542">
        <v>1285964</v>
      </c>
      <c r="D542" t="s">
        <v>246</v>
      </c>
      <c r="E542" t="s">
        <v>55</v>
      </c>
      <c r="G542">
        <v>1</v>
      </c>
      <c r="H542" t="s">
        <v>56</v>
      </c>
      <c r="I542" t="s">
        <v>57</v>
      </c>
      <c r="K542" t="s">
        <v>856</v>
      </c>
      <c r="L542" t="s">
        <v>1074</v>
      </c>
      <c r="M542" t="s">
        <v>59</v>
      </c>
      <c r="P542" t="s">
        <v>259</v>
      </c>
      <c r="Q542" t="s">
        <v>502</v>
      </c>
      <c r="R542" t="s">
        <v>260</v>
      </c>
      <c r="S542" t="s">
        <v>98</v>
      </c>
      <c r="T542">
        <v>259.51</v>
      </c>
      <c r="U542">
        <v>251.90199999999999</v>
      </c>
      <c r="V542">
        <f>(T542+U542)/2</f>
        <v>255.70599999999999</v>
      </c>
      <c r="W542">
        <f>T542-U542</f>
        <v>7.6080000000000041</v>
      </c>
      <c r="X542">
        <v>44.416668000000001</v>
      </c>
      <c r="Y542">
        <v>-24</v>
      </c>
      <c r="Z542" t="s">
        <v>99</v>
      </c>
      <c r="AA542" t="s">
        <v>692</v>
      </c>
      <c r="AB542" t="s">
        <v>693</v>
      </c>
      <c r="AD542" t="s">
        <v>694</v>
      </c>
      <c r="AE542" t="s">
        <v>695</v>
      </c>
      <c r="AH542" t="s">
        <v>65</v>
      </c>
      <c r="AI542" t="s">
        <v>1063</v>
      </c>
      <c r="AJ542">
        <v>1926</v>
      </c>
      <c r="AK542" t="s">
        <v>697</v>
      </c>
      <c r="AM542" t="s">
        <v>698</v>
      </c>
      <c r="AN542" t="s">
        <v>121</v>
      </c>
      <c r="AO542" t="s">
        <v>330</v>
      </c>
      <c r="AP542" t="s">
        <v>182</v>
      </c>
      <c r="AQ542" t="s">
        <v>699</v>
      </c>
      <c r="AR542" t="s">
        <v>70</v>
      </c>
      <c r="AS542">
        <v>702</v>
      </c>
      <c r="AT542" t="s">
        <v>71</v>
      </c>
      <c r="AU542">
        <v>22.51</v>
      </c>
      <c r="AV542">
        <v>-42.93</v>
      </c>
      <c r="AW542" t="s">
        <v>72</v>
      </c>
      <c r="AX542">
        <v>702</v>
      </c>
      <c r="AY542" t="s">
        <v>71</v>
      </c>
      <c r="AZ542">
        <v>24.25</v>
      </c>
      <c r="BA542">
        <v>-52.74</v>
      </c>
      <c r="BB542" t="s">
        <v>73</v>
      </c>
    </row>
    <row r="543" spans="1:54" x14ac:dyDescent="0.4">
      <c r="A543">
        <v>1304576</v>
      </c>
      <c r="D543" t="s">
        <v>54</v>
      </c>
      <c r="G543">
        <v>1</v>
      </c>
      <c r="H543" t="s">
        <v>56</v>
      </c>
      <c r="I543" t="s">
        <v>57</v>
      </c>
      <c r="K543" t="s">
        <v>537</v>
      </c>
      <c r="L543" t="s">
        <v>1077</v>
      </c>
      <c r="M543" t="s">
        <v>59</v>
      </c>
      <c r="P543" t="s">
        <v>259</v>
      </c>
      <c r="Q543" t="s">
        <v>502</v>
      </c>
      <c r="R543" t="s">
        <v>260</v>
      </c>
      <c r="S543" t="s">
        <v>98</v>
      </c>
      <c r="T543">
        <v>259.51</v>
      </c>
      <c r="U543">
        <v>251.90199999999999</v>
      </c>
      <c r="V543">
        <f>(T543+U543)/2</f>
        <v>255.70599999999999</v>
      </c>
      <c r="W543">
        <f>T543-U543</f>
        <v>7.6080000000000041</v>
      </c>
      <c r="X543">
        <v>23.200001</v>
      </c>
      <c r="Y543">
        <v>-31.616667</v>
      </c>
      <c r="Z543" t="s">
        <v>99</v>
      </c>
      <c r="AA543" t="s">
        <v>86</v>
      </c>
      <c r="AB543" t="s">
        <v>170</v>
      </c>
      <c r="AC543" t="s">
        <v>1872</v>
      </c>
      <c r="AE543" t="s">
        <v>90</v>
      </c>
      <c r="AG543" t="s">
        <v>567</v>
      </c>
      <c r="AH543" t="s">
        <v>65</v>
      </c>
      <c r="AI543" t="s">
        <v>1514</v>
      </c>
      <c r="AJ543">
        <v>1977</v>
      </c>
      <c r="AK543" t="s">
        <v>1873</v>
      </c>
      <c r="AM543" t="s">
        <v>1874</v>
      </c>
      <c r="AN543" t="s">
        <v>94</v>
      </c>
      <c r="AO543" t="s">
        <v>106</v>
      </c>
      <c r="AP543" t="s">
        <v>182</v>
      </c>
      <c r="AR543" t="s">
        <v>70</v>
      </c>
      <c r="AS543">
        <v>701</v>
      </c>
      <c r="AT543" t="s">
        <v>71</v>
      </c>
      <c r="AU543">
        <v>-18.559999999999999</v>
      </c>
      <c r="AV543">
        <v>-50.64</v>
      </c>
      <c r="AW543" t="s">
        <v>72</v>
      </c>
      <c r="AX543">
        <v>701</v>
      </c>
      <c r="AY543" t="s">
        <v>71</v>
      </c>
      <c r="AZ543">
        <v>-28.69</v>
      </c>
      <c r="BA543">
        <v>-60.73</v>
      </c>
      <c r="BB543" t="s">
        <v>73</v>
      </c>
    </row>
    <row r="544" spans="1:54" x14ac:dyDescent="0.4">
      <c r="A544">
        <v>1304576</v>
      </c>
      <c r="D544" t="s">
        <v>54</v>
      </c>
      <c r="G544">
        <v>1</v>
      </c>
      <c r="H544" t="s">
        <v>56</v>
      </c>
      <c r="I544" t="s">
        <v>57</v>
      </c>
      <c r="K544" t="s">
        <v>537</v>
      </c>
      <c r="L544" t="s">
        <v>1077</v>
      </c>
      <c r="M544" t="s">
        <v>59</v>
      </c>
      <c r="P544" t="s">
        <v>259</v>
      </c>
      <c r="Q544" t="s">
        <v>502</v>
      </c>
      <c r="R544" t="s">
        <v>260</v>
      </c>
      <c r="S544" t="s">
        <v>98</v>
      </c>
      <c r="T544">
        <v>259.51</v>
      </c>
      <c r="U544">
        <v>251.90199999999999</v>
      </c>
      <c r="V544">
        <f>(T544+U544)/2</f>
        <v>255.70599999999999</v>
      </c>
      <c r="W544">
        <f>T544-U544</f>
        <v>7.6080000000000041</v>
      </c>
      <c r="X544">
        <v>23.200001</v>
      </c>
      <c r="Y544">
        <v>-31.616667</v>
      </c>
      <c r="Z544" t="s">
        <v>99</v>
      </c>
      <c r="AA544" t="s">
        <v>86</v>
      </c>
      <c r="AB544" t="s">
        <v>170</v>
      </c>
      <c r="AC544" t="s">
        <v>1872</v>
      </c>
      <c r="AE544" t="s">
        <v>90</v>
      </c>
      <c r="AG544" t="s">
        <v>567</v>
      </c>
      <c r="AH544" t="s">
        <v>65</v>
      </c>
      <c r="AI544" t="s">
        <v>1514</v>
      </c>
      <c r="AJ544">
        <v>1977</v>
      </c>
      <c r="AK544" t="s">
        <v>1873</v>
      </c>
      <c r="AM544" t="s">
        <v>1874</v>
      </c>
      <c r="AN544" t="s">
        <v>94</v>
      </c>
      <c r="AO544" t="s">
        <v>106</v>
      </c>
      <c r="AP544" t="s">
        <v>182</v>
      </c>
      <c r="AR544" t="s">
        <v>70</v>
      </c>
      <c r="AS544">
        <v>701</v>
      </c>
      <c r="AT544" t="s">
        <v>71</v>
      </c>
      <c r="AU544">
        <v>-18.559999999999999</v>
      </c>
      <c r="AV544">
        <v>-50.64</v>
      </c>
      <c r="AW544" t="s">
        <v>72</v>
      </c>
      <c r="AX544">
        <v>701</v>
      </c>
      <c r="AY544" t="s">
        <v>71</v>
      </c>
      <c r="AZ544">
        <v>-28.69</v>
      </c>
      <c r="BA544">
        <v>-60.73</v>
      </c>
      <c r="BB544" t="s">
        <v>73</v>
      </c>
    </row>
    <row r="545" spans="1:54" x14ac:dyDescent="0.4">
      <c r="A545">
        <v>1304767</v>
      </c>
      <c r="D545" t="s">
        <v>54</v>
      </c>
      <c r="I545" t="s">
        <v>57</v>
      </c>
      <c r="K545" t="s">
        <v>537</v>
      </c>
      <c r="L545" t="s">
        <v>1077</v>
      </c>
      <c r="M545" t="s">
        <v>59</v>
      </c>
      <c r="P545" t="s">
        <v>259</v>
      </c>
      <c r="Q545" t="s">
        <v>502</v>
      </c>
      <c r="R545" t="s">
        <v>260</v>
      </c>
      <c r="S545" t="s">
        <v>98</v>
      </c>
      <c r="T545">
        <v>259.51</v>
      </c>
      <c r="U545">
        <v>251.90199999999999</v>
      </c>
      <c r="V545">
        <f>(T545+U545)/2</f>
        <v>255.70599999999999</v>
      </c>
      <c r="W545">
        <f>T545-U545</f>
        <v>7.6080000000000041</v>
      </c>
      <c r="X545">
        <v>24.424999</v>
      </c>
      <c r="Y545">
        <v>-32.101391</v>
      </c>
      <c r="Z545" t="s">
        <v>99</v>
      </c>
      <c r="AA545" t="s">
        <v>86</v>
      </c>
      <c r="AB545" t="s">
        <v>87</v>
      </c>
      <c r="AC545" t="s">
        <v>1841</v>
      </c>
      <c r="AE545" t="s">
        <v>90</v>
      </c>
      <c r="AG545" t="s">
        <v>567</v>
      </c>
      <c r="AH545" t="s">
        <v>65</v>
      </c>
      <c r="AI545" t="s">
        <v>1514</v>
      </c>
      <c r="AJ545">
        <v>1977</v>
      </c>
      <c r="AK545" t="s">
        <v>1875</v>
      </c>
      <c r="AM545" t="s">
        <v>1851</v>
      </c>
      <c r="AN545" t="s">
        <v>94</v>
      </c>
      <c r="AO545" t="s">
        <v>68</v>
      </c>
      <c r="AP545" t="s">
        <v>69</v>
      </c>
      <c r="AR545" t="s">
        <v>70</v>
      </c>
      <c r="AS545">
        <v>701</v>
      </c>
      <c r="AT545" t="s">
        <v>71</v>
      </c>
      <c r="AU545">
        <v>-18.399999999999999</v>
      </c>
      <c r="AV545">
        <v>-51.78</v>
      </c>
      <c r="AW545" t="s">
        <v>72</v>
      </c>
      <c r="AX545">
        <v>701</v>
      </c>
      <c r="AY545" t="s">
        <v>71</v>
      </c>
      <c r="AZ545">
        <v>-28.76</v>
      </c>
      <c r="BA545">
        <v>-61.87</v>
      </c>
      <c r="BB545" t="s">
        <v>73</v>
      </c>
    </row>
    <row r="546" spans="1:54" x14ac:dyDescent="0.4">
      <c r="A546">
        <v>1310102</v>
      </c>
      <c r="D546" t="s">
        <v>566</v>
      </c>
      <c r="G546">
        <v>1</v>
      </c>
      <c r="H546" t="s">
        <v>56</v>
      </c>
      <c r="I546" t="s">
        <v>57</v>
      </c>
      <c r="K546" t="s">
        <v>537</v>
      </c>
      <c r="L546" t="s">
        <v>1077</v>
      </c>
      <c r="M546" t="s">
        <v>59</v>
      </c>
      <c r="P546" t="s">
        <v>259</v>
      </c>
      <c r="Q546" t="s">
        <v>502</v>
      </c>
      <c r="R546" t="s">
        <v>260</v>
      </c>
      <c r="S546" t="s">
        <v>98</v>
      </c>
      <c r="T546">
        <v>259.51</v>
      </c>
      <c r="U546">
        <v>251.90199999999999</v>
      </c>
      <c r="V546">
        <f>(T546+U546)/2</f>
        <v>255.70599999999999</v>
      </c>
      <c r="W546">
        <f>T546-U546</f>
        <v>7.6080000000000041</v>
      </c>
      <c r="X546">
        <v>24.549999</v>
      </c>
      <c r="Y546">
        <v>-31.866667</v>
      </c>
      <c r="Z546" t="s">
        <v>99</v>
      </c>
      <c r="AA546" t="s">
        <v>86</v>
      </c>
      <c r="AB546" t="s">
        <v>87</v>
      </c>
      <c r="AC546" t="s">
        <v>562</v>
      </c>
      <c r="AD546" t="s">
        <v>540</v>
      </c>
      <c r="AE546" t="s">
        <v>90</v>
      </c>
      <c r="AG546" t="s">
        <v>567</v>
      </c>
      <c r="AH546" t="s">
        <v>65</v>
      </c>
      <c r="AI546" t="s">
        <v>548</v>
      </c>
      <c r="AJ546">
        <v>2002</v>
      </c>
      <c r="AK546" t="s">
        <v>568</v>
      </c>
      <c r="AM546" t="s">
        <v>569</v>
      </c>
      <c r="AN546" t="s">
        <v>94</v>
      </c>
      <c r="AO546" t="s">
        <v>106</v>
      </c>
      <c r="AP546" t="s">
        <v>182</v>
      </c>
      <c r="AQ546" t="s">
        <v>570</v>
      </c>
      <c r="AR546" t="s">
        <v>70</v>
      </c>
      <c r="AS546">
        <v>701</v>
      </c>
      <c r="AT546" t="s">
        <v>71</v>
      </c>
      <c r="AU546">
        <v>-17.98</v>
      </c>
      <c r="AV546">
        <v>-51.75</v>
      </c>
      <c r="AW546" t="s">
        <v>72</v>
      </c>
      <c r="AX546">
        <v>701</v>
      </c>
      <c r="AY546" t="s">
        <v>71</v>
      </c>
      <c r="AZ546">
        <v>-28.21</v>
      </c>
      <c r="BA546">
        <v>-61.88</v>
      </c>
      <c r="BB546" t="s">
        <v>73</v>
      </c>
    </row>
    <row r="547" spans="1:54" x14ac:dyDescent="0.4">
      <c r="A547">
        <v>1314179</v>
      </c>
      <c r="D547" t="s">
        <v>54</v>
      </c>
      <c r="I547" t="s">
        <v>57</v>
      </c>
      <c r="K547" t="s">
        <v>102</v>
      </c>
      <c r="L547" t="s">
        <v>1824</v>
      </c>
      <c r="M547" t="s">
        <v>59</v>
      </c>
      <c r="O547" t="s">
        <v>107</v>
      </c>
      <c r="P547" t="s">
        <v>259</v>
      </c>
      <c r="Q547" t="s">
        <v>502</v>
      </c>
      <c r="R547" t="s">
        <v>260</v>
      </c>
      <c r="S547" t="s">
        <v>98</v>
      </c>
      <c r="T547">
        <v>259.51</v>
      </c>
      <c r="U547">
        <v>251.90199999999999</v>
      </c>
      <c r="V547">
        <f>(T547+U547)/2</f>
        <v>255.70599999999999</v>
      </c>
      <c r="W547">
        <f>T547-U547</f>
        <v>7.6080000000000041</v>
      </c>
      <c r="X547">
        <v>24.598057000000001</v>
      </c>
      <c r="Y547">
        <v>-31.912779</v>
      </c>
      <c r="Z547" t="s">
        <v>99</v>
      </c>
      <c r="AA547" t="s">
        <v>86</v>
      </c>
      <c r="AB547" t="s">
        <v>87</v>
      </c>
      <c r="AC547" t="s">
        <v>1841</v>
      </c>
      <c r="AE547" t="s">
        <v>90</v>
      </c>
      <c r="AG547" t="s">
        <v>567</v>
      </c>
      <c r="AH547" t="s">
        <v>65</v>
      </c>
      <c r="AI547" t="s">
        <v>1514</v>
      </c>
      <c r="AJ547">
        <v>1977</v>
      </c>
      <c r="AK547" t="s">
        <v>1884</v>
      </c>
      <c r="AM547" t="s">
        <v>1885</v>
      </c>
      <c r="AN547" t="s">
        <v>94</v>
      </c>
      <c r="AO547" t="s">
        <v>68</v>
      </c>
      <c r="AQ547" t="s">
        <v>1886</v>
      </c>
      <c r="AR547" t="s">
        <v>70</v>
      </c>
      <c r="AS547">
        <v>701</v>
      </c>
      <c r="AT547" t="s">
        <v>71</v>
      </c>
      <c r="AU547">
        <v>-18.010000000000002</v>
      </c>
      <c r="AV547">
        <v>-51.81</v>
      </c>
      <c r="AW547" t="s">
        <v>72</v>
      </c>
      <c r="AX547">
        <v>701</v>
      </c>
      <c r="AY547" t="s">
        <v>71</v>
      </c>
      <c r="AZ547">
        <v>-28.27</v>
      </c>
      <c r="BA547">
        <v>-61.94</v>
      </c>
      <c r="BB547" t="s">
        <v>73</v>
      </c>
    </row>
    <row r="548" spans="1:54" x14ac:dyDescent="0.4">
      <c r="A548">
        <v>1314180</v>
      </c>
      <c r="D548" t="s">
        <v>54</v>
      </c>
      <c r="I548" t="s">
        <v>57</v>
      </c>
      <c r="K548" t="s">
        <v>80</v>
      </c>
      <c r="L548" t="s">
        <v>1818</v>
      </c>
      <c r="M548" t="s">
        <v>59</v>
      </c>
      <c r="P548" t="s">
        <v>259</v>
      </c>
      <c r="Q548" t="s">
        <v>502</v>
      </c>
      <c r="R548" t="s">
        <v>260</v>
      </c>
      <c r="S548" t="s">
        <v>98</v>
      </c>
      <c r="T548">
        <v>259.51</v>
      </c>
      <c r="U548">
        <v>251.90199999999999</v>
      </c>
      <c r="V548">
        <f>(T548+U548)/2</f>
        <v>255.70599999999999</v>
      </c>
      <c r="W548">
        <f>T548-U548</f>
        <v>7.6080000000000041</v>
      </c>
      <c r="X548">
        <v>24.598057000000001</v>
      </c>
      <c r="Y548">
        <v>-31.912779</v>
      </c>
      <c r="Z548" t="s">
        <v>99</v>
      </c>
      <c r="AA548" t="s">
        <v>86</v>
      </c>
      <c r="AB548" t="s">
        <v>87</v>
      </c>
      <c r="AC548" t="s">
        <v>1841</v>
      </c>
      <c r="AE548" t="s">
        <v>90</v>
      </c>
      <c r="AG548" t="s">
        <v>567</v>
      </c>
      <c r="AH548" t="s">
        <v>65</v>
      </c>
      <c r="AI548" t="s">
        <v>1514</v>
      </c>
      <c r="AJ548">
        <v>1977</v>
      </c>
      <c r="AK548" t="s">
        <v>1884</v>
      </c>
      <c r="AM548" t="s">
        <v>1885</v>
      </c>
      <c r="AN548" t="s">
        <v>94</v>
      </c>
      <c r="AO548" t="s">
        <v>68</v>
      </c>
      <c r="AQ548" t="s">
        <v>1886</v>
      </c>
      <c r="AR548" t="s">
        <v>70</v>
      </c>
      <c r="AS548">
        <v>701</v>
      </c>
      <c r="AT548" t="s">
        <v>71</v>
      </c>
      <c r="AU548">
        <v>-18.010000000000002</v>
      </c>
      <c r="AV548">
        <v>-51.81</v>
      </c>
      <c r="AW548" t="s">
        <v>72</v>
      </c>
      <c r="AX548">
        <v>701</v>
      </c>
      <c r="AY548" t="s">
        <v>71</v>
      </c>
      <c r="AZ548">
        <v>-28.27</v>
      </c>
      <c r="BA548">
        <v>-61.94</v>
      </c>
      <c r="BB548" t="s">
        <v>73</v>
      </c>
    </row>
    <row r="549" spans="1:54" x14ac:dyDescent="0.4">
      <c r="A549">
        <v>1314298</v>
      </c>
      <c r="D549" t="s">
        <v>54</v>
      </c>
      <c r="E549" t="s">
        <v>150</v>
      </c>
      <c r="I549" t="s">
        <v>57</v>
      </c>
      <c r="K549" t="s">
        <v>102</v>
      </c>
      <c r="L549" t="s">
        <v>1824</v>
      </c>
      <c r="M549" t="s">
        <v>59</v>
      </c>
      <c r="O549" t="s">
        <v>107</v>
      </c>
      <c r="P549" t="s">
        <v>259</v>
      </c>
      <c r="Q549" t="s">
        <v>502</v>
      </c>
      <c r="R549" t="s">
        <v>260</v>
      </c>
      <c r="S549" t="s">
        <v>98</v>
      </c>
      <c r="T549">
        <v>259.51</v>
      </c>
      <c r="U549">
        <v>251.90199999999999</v>
      </c>
      <c r="V549">
        <f>(T549+U549)/2</f>
        <v>255.70599999999999</v>
      </c>
      <c r="W549">
        <f>T549-U549</f>
        <v>7.6080000000000041</v>
      </c>
      <c r="X549">
        <v>24.215554999999998</v>
      </c>
      <c r="Y549">
        <v>-32.043331000000002</v>
      </c>
      <c r="Z549" t="s">
        <v>99</v>
      </c>
      <c r="AA549" t="s">
        <v>86</v>
      </c>
      <c r="AB549" t="s">
        <v>87</v>
      </c>
      <c r="AC549" t="s">
        <v>562</v>
      </c>
      <c r="AD549" t="s">
        <v>540</v>
      </c>
      <c r="AE549" t="s">
        <v>90</v>
      </c>
      <c r="AG549" t="s">
        <v>567</v>
      </c>
      <c r="AH549" t="s">
        <v>65</v>
      </c>
      <c r="AI549" t="s">
        <v>1514</v>
      </c>
      <c r="AJ549">
        <v>1977</v>
      </c>
      <c r="AK549" t="s">
        <v>1887</v>
      </c>
      <c r="AM549" t="s">
        <v>1888</v>
      </c>
      <c r="AN549" t="s">
        <v>94</v>
      </c>
      <c r="AO549" t="s">
        <v>68</v>
      </c>
      <c r="AP549" t="s">
        <v>95</v>
      </c>
      <c r="AQ549" t="s">
        <v>1889</v>
      </c>
      <c r="AR549" t="s">
        <v>70</v>
      </c>
      <c r="AS549">
        <v>701</v>
      </c>
      <c r="AT549" t="s">
        <v>71</v>
      </c>
      <c r="AU549">
        <v>-18.46</v>
      </c>
      <c r="AV549">
        <v>-51.6</v>
      </c>
      <c r="AW549" t="s">
        <v>72</v>
      </c>
      <c r="AX549">
        <v>701</v>
      </c>
      <c r="AY549" t="s">
        <v>71</v>
      </c>
      <c r="AZ549">
        <v>-28.79</v>
      </c>
      <c r="BA549">
        <v>-61.69</v>
      </c>
      <c r="BB549" t="s">
        <v>73</v>
      </c>
    </row>
    <row r="550" spans="1:54" x14ac:dyDescent="0.4">
      <c r="A550">
        <v>1316956</v>
      </c>
      <c r="D550" t="s">
        <v>54</v>
      </c>
      <c r="E550" t="s">
        <v>55</v>
      </c>
      <c r="I550" t="s">
        <v>57</v>
      </c>
      <c r="K550" t="s">
        <v>537</v>
      </c>
      <c r="L550" t="s">
        <v>1077</v>
      </c>
      <c r="M550" t="s">
        <v>59</v>
      </c>
      <c r="P550" t="s">
        <v>259</v>
      </c>
      <c r="Q550" t="s">
        <v>502</v>
      </c>
      <c r="R550" t="s">
        <v>260</v>
      </c>
      <c r="S550" t="s">
        <v>98</v>
      </c>
      <c r="T550">
        <v>259.51</v>
      </c>
      <c r="U550">
        <v>251.90199999999999</v>
      </c>
      <c r="V550">
        <f>(T550+U550)/2</f>
        <v>255.70599999999999</v>
      </c>
      <c r="W550">
        <f>T550-U550</f>
        <v>7.6080000000000041</v>
      </c>
      <c r="X550">
        <v>24.288889000000001</v>
      </c>
      <c r="Y550">
        <v>-32.053333000000002</v>
      </c>
      <c r="Z550" t="s">
        <v>99</v>
      </c>
      <c r="AA550" t="s">
        <v>86</v>
      </c>
      <c r="AB550" t="s">
        <v>87</v>
      </c>
      <c r="AC550" t="s">
        <v>562</v>
      </c>
      <c r="AD550" t="s">
        <v>540</v>
      </c>
      <c r="AE550" t="s">
        <v>90</v>
      </c>
      <c r="AG550" t="s">
        <v>553</v>
      </c>
      <c r="AH550" t="s">
        <v>65</v>
      </c>
      <c r="AI550" t="s">
        <v>1514</v>
      </c>
      <c r="AJ550">
        <v>1977</v>
      </c>
      <c r="AK550" t="s">
        <v>563</v>
      </c>
      <c r="AM550" t="s">
        <v>564</v>
      </c>
      <c r="AN550" t="s">
        <v>94</v>
      </c>
      <c r="AO550" t="s">
        <v>68</v>
      </c>
      <c r="AP550" t="s">
        <v>69</v>
      </c>
      <c r="AQ550" t="s">
        <v>565</v>
      </c>
      <c r="AR550" t="s">
        <v>70</v>
      </c>
      <c r="AS550">
        <v>701</v>
      </c>
      <c r="AT550" t="s">
        <v>71</v>
      </c>
      <c r="AU550">
        <v>-18.420000000000002</v>
      </c>
      <c r="AV550">
        <v>-51.66</v>
      </c>
      <c r="AW550" t="s">
        <v>72</v>
      </c>
      <c r="AX550">
        <v>701</v>
      </c>
      <c r="AY550" t="s">
        <v>71</v>
      </c>
      <c r="AZ550">
        <v>-28.76</v>
      </c>
      <c r="BA550">
        <v>-61.75</v>
      </c>
      <c r="BB550" t="s">
        <v>73</v>
      </c>
    </row>
    <row r="551" spans="1:54" x14ac:dyDescent="0.4">
      <c r="A551">
        <v>1320596</v>
      </c>
      <c r="D551" t="s">
        <v>54</v>
      </c>
      <c r="G551">
        <v>1</v>
      </c>
      <c r="H551" t="s">
        <v>56</v>
      </c>
      <c r="I551" t="s">
        <v>57</v>
      </c>
      <c r="K551" t="s">
        <v>102</v>
      </c>
      <c r="L551" t="s">
        <v>1824</v>
      </c>
      <c r="M551" t="s">
        <v>59</v>
      </c>
      <c r="O551" t="s">
        <v>107</v>
      </c>
      <c r="P551" t="s">
        <v>259</v>
      </c>
      <c r="Q551" t="s">
        <v>502</v>
      </c>
      <c r="R551" t="s">
        <v>260</v>
      </c>
      <c r="S551" t="s">
        <v>98</v>
      </c>
      <c r="T551">
        <v>259.51</v>
      </c>
      <c r="U551">
        <v>251.90199999999999</v>
      </c>
      <c r="V551">
        <f>(T551+U551)/2</f>
        <v>255.70599999999999</v>
      </c>
      <c r="W551">
        <f>T551-U551</f>
        <v>7.6080000000000041</v>
      </c>
      <c r="X551">
        <v>25.416668000000001</v>
      </c>
      <c r="Y551">
        <v>-32.5</v>
      </c>
      <c r="Z551" t="s">
        <v>99</v>
      </c>
      <c r="AA551" t="s">
        <v>86</v>
      </c>
      <c r="AB551" t="s">
        <v>87</v>
      </c>
      <c r="AC551" t="s">
        <v>1841</v>
      </c>
      <c r="AE551" t="s">
        <v>90</v>
      </c>
      <c r="AG551" t="s">
        <v>567</v>
      </c>
      <c r="AH551" t="s">
        <v>65</v>
      </c>
      <c r="AI551" t="s">
        <v>91</v>
      </c>
      <c r="AJ551">
        <v>1940</v>
      </c>
      <c r="AK551" t="s">
        <v>1900</v>
      </c>
      <c r="AM551" t="s">
        <v>1901</v>
      </c>
      <c r="AN551" t="s">
        <v>94</v>
      </c>
      <c r="AO551" t="s">
        <v>106</v>
      </c>
      <c r="AP551" t="s">
        <v>69</v>
      </c>
      <c r="AQ551" t="s">
        <v>1902</v>
      </c>
      <c r="AR551" t="s">
        <v>70</v>
      </c>
      <c r="AS551">
        <v>701</v>
      </c>
      <c r="AT551" t="s">
        <v>71</v>
      </c>
      <c r="AU551">
        <v>-18.28</v>
      </c>
      <c r="AV551">
        <v>-52.71</v>
      </c>
      <c r="AW551" t="s">
        <v>72</v>
      </c>
      <c r="AX551">
        <v>701</v>
      </c>
      <c r="AY551" t="s">
        <v>71</v>
      </c>
      <c r="AZ551">
        <v>-28.85</v>
      </c>
      <c r="BA551">
        <v>-62.8</v>
      </c>
      <c r="BB551" t="s">
        <v>73</v>
      </c>
    </row>
    <row r="552" spans="1:54" x14ac:dyDescent="0.4">
      <c r="A552">
        <v>1338339</v>
      </c>
      <c r="D552" t="s">
        <v>108</v>
      </c>
      <c r="I552" t="s">
        <v>57</v>
      </c>
      <c r="K552" t="s">
        <v>102</v>
      </c>
      <c r="L552" t="s">
        <v>1824</v>
      </c>
      <c r="M552" t="s">
        <v>59</v>
      </c>
      <c r="O552" t="s">
        <v>107</v>
      </c>
      <c r="P552" t="s">
        <v>259</v>
      </c>
      <c r="Q552" t="s">
        <v>502</v>
      </c>
      <c r="R552" t="s">
        <v>260</v>
      </c>
      <c r="S552" t="s">
        <v>98</v>
      </c>
      <c r="T552">
        <v>259.51</v>
      </c>
      <c r="U552">
        <v>251.90199999999999</v>
      </c>
      <c r="V552">
        <f>(T552+U552)/2</f>
        <v>255.70599999999999</v>
      </c>
      <c r="W552">
        <f>T552-U552</f>
        <v>7.6080000000000041</v>
      </c>
      <c r="X552">
        <v>23.766666000000001</v>
      </c>
      <c r="Y552">
        <v>-31.950001</v>
      </c>
      <c r="Z552" t="s">
        <v>99</v>
      </c>
      <c r="AA552" t="s">
        <v>86</v>
      </c>
      <c r="AB552" t="s">
        <v>170</v>
      </c>
      <c r="AD552" t="s">
        <v>540</v>
      </c>
      <c r="AE552" t="s">
        <v>90</v>
      </c>
      <c r="AG552" t="s">
        <v>553</v>
      </c>
      <c r="AH552" t="s">
        <v>65</v>
      </c>
      <c r="AI552" t="s">
        <v>1514</v>
      </c>
      <c r="AJ552">
        <v>1977</v>
      </c>
      <c r="AK552" t="s">
        <v>555</v>
      </c>
      <c r="AM552" t="s">
        <v>556</v>
      </c>
      <c r="AN552" t="s">
        <v>94</v>
      </c>
      <c r="AO552" t="s">
        <v>106</v>
      </c>
      <c r="AP552" t="s">
        <v>69</v>
      </c>
      <c r="AQ552" t="s">
        <v>557</v>
      </c>
      <c r="AR552" t="s">
        <v>70</v>
      </c>
      <c r="AS552">
        <v>701</v>
      </c>
      <c r="AT552" t="s">
        <v>71</v>
      </c>
      <c r="AU552">
        <v>-18.63</v>
      </c>
      <c r="AV552">
        <v>-51.22</v>
      </c>
      <c r="AW552" t="s">
        <v>72</v>
      </c>
      <c r="AX552">
        <v>701</v>
      </c>
      <c r="AY552" t="s">
        <v>71</v>
      </c>
      <c r="AZ552">
        <v>-28.93</v>
      </c>
      <c r="BA552">
        <v>-61.3</v>
      </c>
      <c r="BB552" t="s">
        <v>73</v>
      </c>
    </row>
    <row r="553" spans="1:54" x14ac:dyDescent="0.4">
      <c r="A553">
        <v>1338350</v>
      </c>
      <c r="D553" t="s">
        <v>54</v>
      </c>
      <c r="I553" t="s">
        <v>57</v>
      </c>
      <c r="K553" t="s">
        <v>102</v>
      </c>
      <c r="L553" t="s">
        <v>1824</v>
      </c>
      <c r="M553" t="s">
        <v>59</v>
      </c>
      <c r="O553" t="s">
        <v>107</v>
      </c>
      <c r="P553" t="s">
        <v>259</v>
      </c>
      <c r="Q553" t="s">
        <v>502</v>
      </c>
      <c r="R553" t="s">
        <v>260</v>
      </c>
      <c r="S553" t="s">
        <v>98</v>
      </c>
      <c r="T553">
        <v>259.51</v>
      </c>
      <c r="U553">
        <v>251.90199999999999</v>
      </c>
      <c r="V553">
        <f>(T553+U553)/2</f>
        <v>255.70599999999999</v>
      </c>
      <c r="W553">
        <f>T553-U553</f>
        <v>7.6080000000000041</v>
      </c>
      <c r="X553">
        <v>24.166668000000001</v>
      </c>
      <c r="Y553">
        <v>-32.049720999999998</v>
      </c>
      <c r="Z553" t="s">
        <v>99</v>
      </c>
      <c r="AA553" t="s">
        <v>86</v>
      </c>
      <c r="AB553" t="s">
        <v>87</v>
      </c>
      <c r="AC553" t="s">
        <v>1841</v>
      </c>
      <c r="AE553" t="s">
        <v>90</v>
      </c>
      <c r="AG553" t="s">
        <v>567</v>
      </c>
      <c r="AH553" t="s">
        <v>65</v>
      </c>
      <c r="AI553" t="s">
        <v>1514</v>
      </c>
      <c r="AJ553">
        <v>1977</v>
      </c>
      <c r="AK553" t="s">
        <v>1915</v>
      </c>
      <c r="AM553" t="s">
        <v>1916</v>
      </c>
      <c r="AN553" t="s">
        <v>94</v>
      </c>
      <c r="AO553" t="s">
        <v>68</v>
      </c>
      <c r="AQ553" t="s">
        <v>1917</v>
      </c>
      <c r="AR553" t="s">
        <v>70</v>
      </c>
      <c r="AS553">
        <v>701</v>
      </c>
      <c r="AT553" t="s">
        <v>71</v>
      </c>
      <c r="AU553">
        <v>-18.5</v>
      </c>
      <c r="AV553">
        <v>-51.56</v>
      </c>
      <c r="AW553" t="s">
        <v>72</v>
      </c>
      <c r="AX553">
        <v>701</v>
      </c>
      <c r="AY553" t="s">
        <v>71</v>
      </c>
      <c r="AZ553">
        <v>-28.84</v>
      </c>
      <c r="BA553">
        <v>-61.65</v>
      </c>
      <c r="BB553" t="s">
        <v>73</v>
      </c>
    </row>
    <row r="554" spans="1:54" x14ac:dyDescent="0.4">
      <c r="A554">
        <v>1338406</v>
      </c>
      <c r="D554" t="s">
        <v>54</v>
      </c>
      <c r="E554" t="s">
        <v>55</v>
      </c>
      <c r="F554" t="s">
        <v>352</v>
      </c>
      <c r="I554" t="s">
        <v>57</v>
      </c>
      <c r="K554" t="s">
        <v>102</v>
      </c>
      <c r="L554" t="s">
        <v>1824</v>
      </c>
      <c r="M554" t="s">
        <v>59</v>
      </c>
      <c r="O554" t="s">
        <v>107</v>
      </c>
      <c r="P554" t="s">
        <v>259</v>
      </c>
      <c r="Q554" t="s">
        <v>502</v>
      </c>
      <c r="R554" t="s">
        <v>260</v>
      </c>
      <c r="S554" t="s">
        <v>98</v>
      </c>
      <c r="T554">
        <v>259.51</v>
      </c>
      <c r="U554">
        <v>251.90199999999999</v>
      </c>
      <c r="V554">
        <f>(T554+U554)/2</f>
        <v>255.70599999999999</v>
      </c>
      <c r="W554">
        <f>T554-U554</f>
        <v>7.6080000000000041</v>
      </c>
      <c r="X554">
        <v>24.533611000000001</v>
      </c>
      <c r="Y554">
        <v>-31.856112</v>
      </c>
      <c r="Z554" t="s">
        <v>99</v>
      </c>
      <c r="AA554" t="s">
        <v>86</v>
      </c>
      <c r="AB554" t="s">
        <v>87</v>
      </c>
      <c r="AC554" t="s">
        <v>1841</v>
      </c>
      <c r="AE554" t="s">
        <v>90</v>
      </c>
      <c r="AG554" t="s">
        <v>567</v>
      </c>
      <c r="AH554" t="s">
        <v>65</v>
      </c>
      <c r="AI554" t="s">
        <v>1514</v>
      </c>
      <c r="AJ554">
        <v>1977</v>
      </c>
      <c r="AK554" t="s">
        <v>1918</v>
      </c>
      <c r="AM554" t="s">
        <v>1919</v>
      </c>
      <c r="AN554" t="s">
        <v>94</v>
      </c>
      <c r="AO554" t="s">
        <v>68</v>
      </c>
      <c r="AQ554" t="s">
        <v>1920</v>
      </c>
      <c r="AR554" t="s">
        <v>70</v>
      </c>
      <c r="AS554">
        <v>701</v>
      </c>
      <c r="AT554" t="s">
        <v>71</v>
      </c>
      <c r="AU554">
        <v>-17.98</v>
      </c>
      <c r="AV554">
        <v>-51.74</v>
      </c>
      <c r="AW554" t="s">
        <v>72</v>
      </c>
      <c r="AX554">
        <v>701</v>
      </c>
      <c r="AY554" t="s">
        <v>71</v>
      </c>
      <c r="AZ554">
        <v>-28.2</v>
      </c>
      <c r="BA554">
        <v>-61.86</v>
      </c>
      <c r="BB554" t="s">
        <v>73</v>
      </c>
    </row>
    <row r="555" spans="1:54" x14ac:dyDescent="0.4">
      <c r="A555">
        <v>1338904</v>
      </c>
      <c r="D555" t="s">
        <v>54</v>
      </c>
      <c r="E555" t="s">
        <v>104</v>
      </c>
      <c r="I555" t="s">
        <v>57</v>
      </c>
      <c r="K555" t="s">
        <v>690</v>
      </c>
      <c r="L555" t="s">
        <v>895</v>
      </c>
      <c r="M555" t="s">
        <v>59</v>
      </c>
      <c r="P555" t="s">
        <v>259</v>
      </c>
      <c r="Q555" t="s">
        <v>502</v>
      </c>
      <c r="R555" t="s">
        <v>260</v>
      </c>
      <c r="S555" t="s">
        <v>98</v>
      </c>
      <c r="T555">
        <v>259.51</v>
      </c>
      <c r="U555">
        <v>251.90199999999999</v>
      </c>
      <c r="V555">
        <f>(T555+U555)/2</f>
        <v>255.70599999999999</v>
      </c>
      <c r="W555">
        <f>T555-U555</f>
        <v>7.6080000000000041</v>
      </c>
      <c r="X555">
        <v>24.549999</v>
      </c>
      <c r="Y555">
        <v>-31.866667</v>
      </c>
      <c r="Z555" t="s">
        <v>99</v>
      </c>
      <c r="AA555" t="s">
        <v>86</v>
      </c>
      <c r="AB555" t="s">
        <v>87</v>
      </c>
      <c r="AC555" t="s">
        <v>562</v>
      </c>
      <c r="AD555" t="s">
        <v>540</v>
      </c>
      <c r="AE555" t="s">
        <v>90</v>
      </c>
      <c r="AG555" t="s">
        <v>579</v>
      </c>
      <c r="AH555" t="s">
        <v>65</v>
      </c>
      <c r="AI555" t="s">
        <v>1514</v>
      </c>
      <c r="AJ555">
        <v>1977</v>
      </c>
      <c r="AK555" t="s">
        <v>580</v>
      </c>
      <c r="AM555" t="s">
        <v>581</v>
      </c>
      <c r="AN555" t="s">
        <v>94</v>
      </c>
      <c r="AO555" t="s">
        <v>106</v>
      </c>
      <c r="AP555" t="s">
        <v>69</v>
      </c>
      <c r="AQ555" t="s">
        <v>582</v>
      </c>
      <c r="AR555" t="s">
        <v>70</v>
      </c>
      <c r="AS555">
        <v>701</v>
      </c>
      <c r="AT555" t="s">
        <v>71</v>
      </c>
      <c r="AU555">
        <v>-17.98</v>
      </c>
      <c r="AV555">
        <v>-51.75</v>
      </c>
      <c r="AW555" t="s">
        <v>72</v>
      </c>
      <c r="AX555">
        <v>701</v>
      </c>
      <c r="AY555" t="s">
        <v>71</v>
      </c>
      <c r="AZ555">
        <v>-28.21</v>
      </c>
      <c r="BA555">
        <v>-61.88</v>
      </c>
      <c r="BB555" t="s">
        <v>73</v>
      </c>
    </row>
    <row r="556" spans="1:54" x14ac:dyDescent="0.4">
      <c r="A556">
        <v>1406770</v>
      </c>
      <c r="D556" t="s">
        <v>54</v>
      </c>
      <c r="G556">
        <v>1</v>
      </c>
      <c r="H556" t="s">
        <v>56</v>
      </c>
      <c r="I556" t="s">
        <v>57</v>
      </c>
      <c r="K556" t="s">
        <v>814</v>
      </c>
      <c r="L556" t="s">
        <v>1036</v>
      </c>
      <c r="M556" t="s">
        <v>59</v>
      </c>
      <c r="O556" t="s">
        <v>107</v>
      </c>
      <c r="P556" t="s">
        <v>259</v>
      </c>
      <c r="Q556" t="s">
        <v>502</v>
      </c>
      <c r="R556" t="s">
        <v>260</v>
      </c>
      <c r="S556" t="s">
        <v>98</v>
      </c>
      <c r="T556">
        <v>259.51</v>
      </c>
      <c r="U556">
        <v>251.90199999999999</v>
      </c>
      <c r="V556">
        <f>(T556+U556)/2</f>
        <v>255.70599999999999</v>
      </c>
      <c r="W556">
        <f>T556-U556</f>
        <v>7.6080000000000041</v>
      </c>
      <c r="X556">
        <v>110.42028000000001</v>
      </c>
      <c r="Y556">
        <v>40.660831000000002</v>
      </c>
      <c r="Z556" t="s">
        <v>99</v>
      </c>
      <c r="AA556" t="s">
        <v>186</v>
      </c>
      <c r="AB556" t="s">
        <v>187</v>
      </c>
      <c r="AD556" t="s">
        <v>1682</v>
      </c>
      <c r="AF556" t="s">
        <v>1390</v>
      </c>
      <c r="AH556" t="s">
        <v>65</v>
      </c>
      <c r="AI556" t="s">
        <v>2044</v>
      </c>
      <c r="AJ556">
        <v>2018</v>
      </c>
      <c r="AK556" t="s">
        <v>2045</v>
      </c>
      <c r="AN556" t="s">
        <v>121</v>
      </c>
      <c r="AO556" t="s">
        <v>68</v>
      </c>
      <c r="AP556" t="s">
        <v>95</v>
      </c>
      <c r="AQ556" t="s">
        <v>2046</v>
      </c>
      <c r="AR556" t="s">
        <v>70</v>
      </c>
      <c r="AS556">
        <v>604</v>
      </c>
      <c r="AT556" t="s">
        <v>71</v>
      </c>
      <c r="AU556">
        <v>114.68</v>
      </c>
      <c r="AV556">
        <v>13.88</v>
      </c>
      <c r="AW556" t="s">
        <v>72</v>
      </c>
      <c r="AX556">
        <v>604</v>
      </c>
      <c r="AY556" t="s">
        <v>71</v>
      </c>
      <c r="AZ556">
        <v>92.25</v>
      </c>
      <c r="BA556">
        <v>32.75</v>
      </c>
      <c r="BB556" t="s">
        <v>73</v>
      </c>
    </row>
    <row r="557" spans="1:54" x14ac:dyDescent="0.4">
      <c r="A557">
        <v>1418846</v>
      </c>
      <c r="D557" t="s">
        <v>54</v>
      </c>
      <c r="I557" t="s">
        <v>57</v>
      </c>
      <c r="K557" t="s">
        <v>102</v>
      </c>
      <c r="L557" t="s">
        <v>1849</v>
      </c>
      <c r="M557" t="s">
        <v>59</v>
      </c>
      <c r="O557" t="s">
        <v>107</v>
      </c>
      <c r="P557" t="s">
        <v>259</v>
      </c>
      <c r="Q557" t="s">
        <v>502</v>
      </c>
      <c r="R557" t="s">
        <v>260</v>
      </c>
      <c r="S557" t="s">
        <v>98</v>
      </c>
      <c r="T557">
        <v>259.51</v>
      </c>
      <c r="U557">
        <v>251.90199999999999</v>
      </c>
      <c r="V557">
        <f>(T557+U557)/2</f>
        <v>255.70599999999999</v>
      </c>
      <c r="W557">
        <f>T557-U557</f>
        <v>7.6080000000000041</v>
      </c>
      <c r="X557">
        <v>23.946667000000001</v>
      </c>
      <c r="Y557">
        <v>-31.413333999999999</v>
      </c>
      <c r="Z557" t="s">
        <v>99</v>
      </c>
      <c r="AA557" t="s">
        <v>86</v>
      </c>
      <c r="AB557" t="s">
        <v>274</v>
      </c>
      <c r="AE557" t="s">
        <v>90</v>
      </c>
      <c r="AG557" t="s">
        <v>2153</v>
      </c>
      <c r="AH557" t="s">
        <v>65</v>
      </c>
      <c r="AI557" t="s">
        <v>1552</v>
      </c>
      <c r="AJ557">
        <v>1955</v>
      </c>
      <c r="AK557" t="s">
        <v>2154</v>
      </c>
      <c r="AN557" t="s">
        <v>94</v>
      </c>
      <c r="AO557" t="s">
        <v>68</v>
      </c>
      <c r="AP557" t="s">
        <v>69</v>
      </c>
      <c r="AQ557" t="s">
        <v>2155</v>
      </c>
      <c r="AR557" t="s">
        <v>70</v>
      </c>
      <c r="AS557">
        <v>701</v>
      </c>
      <c r="AT557" t="s">
        <v>71</v>
      </c>
      <c r="AU557">
        <v>-17.77</v>
      </c>
      <c r="AV557">
        <v>-51.08</v>
      </c>
      <c r="AW557" t="s">
        <v>72</v>
      </c>
      <c r="AX557">
        <v>701</v>
      </c>
      <c r="AY557" t="s">
        <v>71</v>
      </c>
      <c r="AZ557">
        <v>-27.78</v>
      </c>
      <c r="BA557">
        <v>-61.23</v>
      </c>
      <c r="BB557" t="s">
        <v>73</v>
      </c>
    </row>
    <row r="558" spans="1:54" x14ac:dyDescent="0.4">
      <c r="A558">
        <v>1605042</v>
      </c>
      <c r="D558" t="s">
        <v>54</v>
      </c>
      <c r="E558" t="s">
        <v>55</v>
      </c>
      <c r="F558" t="s">
        <v>2239</v>
      </c>
      <c r="I558" t="s">
        <v>57</v>
      </c>
      <c r="K558" t="s">
        <v>148</v>
      </c>
      <c r="L558" t="s">
        <v>595</v>
      </c>
      <c r="M558" t="s">
        <v>59</v>
      </c>
      <c r="N558" t="s">
        <v>97</v>
      </c>
      <c r="O558" t="s">
        <v>101</v>
      </c>
      <c r="P558" t="s">
        <v>259</v>
      </c>
      <c r="Q558" t="s">
        <v>502</v>
      </c>
      <c r="R558" t="s">
        <v>260</v>
      </c>
      <c r="S558" t="s">
        <v>98</v>
      </c>
      <c r="T558">
        <v>259.51</v>
      </c>
      <c r="U558">
        <v>251.90199999999999</v>
      </c>
      <c r="V558">
        <f>(T558+U558)/2</f>
        <v>255.70599999999999</v>
      </c>
      <c r="W558">
        <f>T558-U558</f>
        <v>7.6080000000000041</v>
      </c>
      <c r="X558">
        <v>7.664167</v>
      </c>
      <c r="Y558">
        <v>18.34111</v>
      </c>
      <c r="Z558" t="s">
        <v>99</v>
      </c>
      <c r="AA558" t="s">
        <v>596</v>
      </c>
      <c r="AB558" t="s">
        <v>597</v>
      </c>
      <c r="AD558" t="s">
        <v>599</v>
      </c>
      <c r="AE558" t="s">
        <v>600</v>
      </c>
      <c r="AH558" t="s">
        <v>65</v>
      </c>
      <c r="AI558" t="s">
        <v>615</v>
      </c>
      <c r="AJ558">
        <v>2022</v>
      </c>
      <c r="AK558" t="s">
        <v>2240</v>
      </c>
      <c r="AN558" t="s">
        <v>67</v>
      </c>
      <c r="AO558" t="s">
        <v>68</v>
      </c>
      <c r="AR558" t="s">
        <v>70</v>
      </c>
      <c r="AS558">
        <v>714</v>
      </c>
      <c r="AT558" t="s">
        <v>71</v>
      </c>
      <c r="AU558">
        <v>6.57</v>
      </c>
      <c r="AV558">
        <v>-21.5</v>
      </c>
      <c r="AW558" t="s">
        <v>72</v>
      </c>
      <c r="AX558">
        <v>714</v>
      </c>
      <c r="AY558" t="s">
        <v>71</v>
      </c>
      <c r="AZ558">
        <v>7.44</v>
      </c>
      <c r="BA558">
        <v>-19.48</v>
      </c>
      <c r="BB558" t="s">
        <v>73</v>
      </c>
    </row>
    <row r="559" spans="1:54" x14ac:dyDescent="0.4">
      <c r="A559" s="1" t="s">
        <v>2572</v>
      </c>
      <c r="B559" s="1"/>
      <c r="C559" s="1"/>
      <c r="D559" s="1" t="s">
        <v>54</v>
      </c>
      <c r="E559" s="1"/>
      <c r="F559" s="1" t="s">
        <v>2487</v>
      </c>
      <c r="G559" s="1">
        <v>1</v>
      </c>
      <c r="H559" s="1" t="s">
        <v>2281</v>
      </c>
      <c r="I559" s="2" t="s">
        <v>57</v>
      </c>
      <c r="J559" s="2" t="s">
        <v>2573</v>
      </c>
      <c r="K559" s="2" t="s">
        <v>247</v>
      </c>
      <c r="L559" s="3" t="s">
        <v>1824</v>
      </c>
      <c r="M559" s="2" t="s">
        <v>59</v>
      </c>
      <c r="N559" s="3"/>
      <c r="O559" s="3"/>
      <c r="P559" s="2" t="s">
        <v>259</v>
      </c>
      <c r="Q559" s="2"/>
      <c r="R559" s="2" t="s">
        <v>260</v>
      </c>
      <c r="S559" s="2" t="s">
        <v>98</v>
      </c>
      <c r="T559">
        <v>259.51</v>
      </c>
      <c r="U559">
        <v>254.14</v>
      </c>
      <c r="V559">
        <f>(T559+U559)/2</f>
        <v>256.82499999999999</v>
      </c>
      <c r="W559">
        <f>T559-U559</f>
        <v>5.3700000000000045</v>
      </c>
      <c r="X559" s="4">
        <v>24.215554999999998</v>
      </c>
      <c r="Y559" s="4">
        <v>-32.043331000000002</v>
      </c>
      <c r="Z559" s="2"/>
      <c r="AA559" s="2" t="s">
        <v>86</v>
      </c>
      <c r="AB559" s="2" t="s">
        <v>2293</v>
      </c>
      <c r="AC559" s="2" t="s">
        <v>2283</v>
      </c>
      <c r="AD559" s="2" t="s">
        <v>2283</v>
      </c>
      <c r="AE559" s="2" t="s">
        <v>2283</v>
      </c>
      <c r="AF559" s="2" t="s">
        <v>90</v>
      </c>
      <c r="AG559" s="2" t="s">
        <v>2574</v>
      </c>
      <c r="AH559" s="2"/>
      <c r="AI559" s="2" t="s">
        <v>2283</v>
      </c>
      <c r="AJ559" s="2" t="s">
        <v>2283</v>
      </c>
      <c r="AK559" s="2" t="s">
        <v>2286</v>
      </c>
      <c r="AL559" s="5" t="s">
        <v>2575</v>
      </c>
      <c r="AM559" s="2"/>
      <c r="AN559" s="2"/>
      <c r="AO559" s="2"/>
      <c r="AP559" s="2"/>
      <c r="AQ559" s="2"/>
      <c r="AR559" s="2"/>
      <c r="AS559" s="2"/>
      <c r="AT559" s="2"/>
      <c r="AU559" s="2"/>
      <c r="AV559" s="2"/>
      <c r="AW559" s="2"/>
      <c r="AX559" s="2"/>
      <c r="AY559" s="2"/>
      <c r="AZ559" s="2"/>
      <c r="BA559" s="2"/>
      <c r="BB559" s="2"/>
    </row>
    <row r="560" spans="1:54" x14ac:dyDescent="0.4">
      <c r="A560" s="1" t="s">
        <v>2576</v>
      </c>
      <c r="B560" s="1"/>
      <c r="C560" s="1"/>
      <c r="D560" s="1" t="s">
        <v>54</v>
      </c>
      <c r="E560" s="1"/>
      <c r="F560" s="1" t="s">
        <v>2577</v>
      </c>
      <c r="G560" s="1">
        <v>1</v>
      </c>
      <c r="H560" s="1" t="s">
        <v>2281</v>
      </c>
      <c r="I560" s="2" t="s">
        <v>57</v>
      </c>
      <c r="J560" s="2" t="s">
        <v>2573</v>
      </c>
      <c r="K560" s="2" t="s">
        <v>247</v>
      </c>
      <c r="L560" s="3" t="s">
        <v>273</v>
      </c>
      <c r="M560" s="2" t="s">
        <v>59</v>
      </c>
      <c r="N560" s="3"/>
      <c r="O560" s="3"/>
      <c r="P560" s="2" t="s">
        <v>259</v>
      </c>
      <c r="Q560" s="2"/>
      <c r="R560" s="2" t="s">
        <v>260</v>
      </c>
      <c r="S560" s="2" t="s">
        <v>98</v>
      </c>
      <c r="T560">
        <v>259.51</v>
      </c>
      <c r="U560">
        <v>254.14</v>
      </c>
      <c r="V560">
        <f>(T560+U560)/2</f>
        <v>256.82499999999999</v>
      </c>
      <c r="W560">
        <f>T560-U560</f>
        <v>5.3700000000000045</v>
      </c>
      <c r="X560" s="4">
        <v>22.416666670000001</v>
      </c>
      <c r="Y560" s="4">
        <v>-31.95</v>
      </c>
      <c r="Z560" s="2"/>
      <c r="AA560" s="2" t="s">
        <v>86</v>
      </c>
      <c r="AB560" s="2" t="s">
        <v>2304</v>
      </c>
      <c r="AC560" s="2" t="s">
        <v>2283</v>
      </c>
      <c r="AD560" s="2" t="s">
        <v>2283</v>
      </c>
      <c r="AE560" s="2" t="s">
        <v>2283</v>
      </c>
      <c r="AF560" s="2" t="s">
        <v>90</v>
      </c>
      <c r="AG560" s="2" t="s">
        <v>2578</v>
      </c>
      <c r="AH560" s="2"/>
      <c r="AI560" s="2" t="s">
        <v>2283</v>
      </c>
      <c r="AJ560" s="2" t="s">
        <v>2283</v>
      </c>
      <c r="AK560" s="2" t="s">
        <v>2286</v>
      </c>
      <c r="AL560" s="5" t="s">
        <v>2579</v>
      </c>
      <c r="AM560" s="2"/>
      <c r="AN560" s="2"/>
      <c r="AO560" s="2"/>
      <c r="AP560" s="2"/>
      <c r="AQ560" s="2"/>
      <c r="AR560" s="2"/>
      <c r="AS560" s="2"/>
      <c r="AT560" s="2"/>
      <c r="AU560" s="2"/>
      <c r="AV560" s="2"/>
      <c r="AW560" s="2"/>
      <c r="AX560" s="2"/>
      <c r="AY560" s="2"/>
      <c r="AZ560" s="2"/>
      <c r="BA560" s="2"/>
      <c r="BB560" s="2"/>
    </row>
    <row r="561" spans="1:54" x14ac:dyDescent="0.4">
      <c r="A561" s="1" t="s">
        <v>2580</v>
      </c>
      <c r="B561" s="1"/>
      <c r="C561" s="1"/>
      <c r="D561" s="1" t="s">
        <v>54</v>
      </c>
      <c r="E561" s="1"/>
      <c r="F561" s="21" t="s">
        <v>2581</v>
      </c>
      <c r="G561" s="1">
        <v>1</v>
      </c>
      <c r="H561" s="1" t="s">
        <v>2281</v>
      </c>
      <c r="I561" s="2" t="s">
        <v>57</v>
      </c>
      <c r="J561" s="2" t="s">
        <v>2402</v>
      </c>
      <c r="K561" s="2" t="s">
        <v>148</v>
      </c>
      <c r="L561" s="3" t="s">
        <v>2582</v>
      </c>
      <c r="M561" s="2" t="s">
        <v>59</v>
      </c>
      <c r="N561" s="3"/>
      <c r="O561" s="3"/>
      <c r="P561" s="2" t="s">
        <v>259</v>
      </c>
      <c r="Q561" s="2"/>
      <c r="R561" s="2" t="s">
        <v>260</v>
      </c>
      <c r="S561" s="2" t="s">
        <v>98</v>
      </c>
      <c r="T561">
        <v>259.51</v>
      </c>
      <c r="U561">
        <v>254.14</v>
      </c>
      <c r="V561">
        <f>(T561+U561)/2</f>
        <v>256.82499999999999</v>
      </c>
      <c r="W561">
        <f>T561-U561</f>
        <v>5.3700000000000045</v>
      </c>
      <c r="X561" s="4" t="s">
        <v>2583</v>
      </c>
      <c r="Y561" s="4" t="s">
        <v>2584</v>
      </c>
      <c r="Z561" s="4"/>
      <c r="AA561" s="2" t="s">
        <v>417</v>
      </c>
      <c r="AB561" s="2" t="s">
        <v>418</v>
      </c>
      <c r="AC561" s="2" t="s">
        <v>2585</v>
      </c>
      <c r="AD561" s="2" t="s">
        <v>2586</v>
      </c>
      <c r="AE561" s="2" t="s">
        <v>2283</v>
      </c>
      <c r="AF561" s="2" t="s">
        <v>2283</v>
      </c>
      <c r="AG561" s="2" t="s">
        <v>1847</v>
      </c>
      <c r="AH561" s="2"/>
      <c r="AI561" s="2" t="s">
        <v>2587</v>
      </c>
      <c r="AJ561" s="2">
        <v>2024</v>
      </c>
      <c r="AK561" s="4" t="s">
        <v>2588</v>
      </c>
      <c r="AL561" s="8" t="s">
        <v>2589</v>
      </c>
      <c r="AM561" s="2"/>
      <c r="AN561" s="2"/>
      <c r="AO561" s="2"/>
      <c r="AP561" s="2"/>
      <c r="AQ561" s="2"/>
      <c r="AR561" s="2"/>
      <c r="AS561" s="2"/>
      <c r="AT561" s="2"/>
      <c r="AU561" s="2"/>
      <c r="AV561" s="2"/>
      <c r="AW561" s="2"/>
      <c r="AX561" s="2"/>
      <c r="AY561" s="2"/>
      <c r="AZ561" s="2"/>
      <c r="BA561" s="2"/>
      <c r="BB561" s="2"/>
    </row>
    <row r="562" spans="1:54" x14ac:dyDescent="0.4">
      <c r="A562">
        <v>368043</v>
      </c>
      <c r="D562" t="s">
        <v>54</v>
      </c>
      <c r="E562" t="s">
        <v>55</v>
      </c>
      <c r="G562">
        <v>1</v>
      </c>
      <c r="H562" t="s">
        <v>74</v>
      </c>
      <c r="I562" t="s">
        <v>57</v>
      </c>
      <c r="K562" t="s">
        <v>102</v>
      </c>
      <c r="L562" t="s">
        <v>273</v>
      </c>
      <c r="M562" t="s">
        <v>59</v>
      </c>
      <c r="O562" t="s">
        <v>107</v>
      </c>
      <c r="P562" t="s">
        <v>259</v>
      </c>
      <c r="R562" t="s">
        <v>260</v>
      </c>
      <c r="S562" t="s">
        <v>98</v>
      </c>
      <c r="T562">
        <v>259.51</v>
      </c>
      <c r="U562">
        <v>254.14</v>
      </c>
      <c r="V562">
        <f>(T562+U562)/2</f>
        <v>256.82499999999999</v>
      </c>
      <c r="W562">
        <f>T562-U562</f>
        <v>5.3700000000000045</v>
      </c>
      <c r="X562">
        <v>22.366667</v>
      </c>
      <c r="Y562">
        <v>-31.466667000000001</v>
      </c>
      <c r="Z562" t="s">
        <v>99</v>
      </c>
      <c r="AA562" t="s">
        <v>86</v>
      </c>
      <c r="AB562" t="s">
        <v>274</v>
      </c>
      <c r="AH562" t="s">
        <v>65</v>
      </c>
      <c r="AI562" t="s">
        <v>91</v>
      </c>
      <c r="AJ562">
        <v>1935</v>
      </c>
      <c r="AK562" t="s">
        <v>275</v>
      </c>
      <c r="AM562" t="s">
        <v>276</v>
      </c>
      <c r="AN562" t="s">
        <v>94</v>
      </c>
      <c r="AO562" t="s">
        <v>106</v>
      </c>
      <c r="AP562" t="s">
        <v>69</v>
      </c>
      <c r="AQ562" t="s">
        <v>277</v>
      </c>
      <c r="AR562" t="s">
        <v>70</v>
      </c>
      <c r="AS562">
        <v>701</v>
      </c>
      <c r="AT562" t="s">
        <v>71</v>
      </c>
      <c r="AU562">
        <v>-18.93</v>
      </c>
      <c r="AV562">
        <v>-49.95</v>
      </c>
      <c r="AW562" t="s">
        <v>72</v>
      </c>
      <c r="AX562">
        <v>701</v>
      </c>
      <c r="AY562" t="s">
        <v>71</v>
      </c>
      <c r="AZ562">
        <v>-28.99</v>
      </c>
      <c r="BA562">
        <v>-60.02</v>
      </c>
      <c r="BB562" t="s">
        <v>73</v>
      </c>
    </row>
    <row r="563" spans="1:54" x14ac:dyDescent="0.4">
      <c r="A563">
        <v>719380</v>
      </c>
      <c r="D563" t="s">
        <v>376</v>
      </c>
      <c r="G563">
        <v>1</v>
      </c>
      <c r="H563" t="s">
        <v>56</v>
      </c>
      <c r="I563" t="s">
        <v>57</v>
      </c>
      <c r="K563" t="s">
        <v>475</v>
      </c>
      <c r="L563" t="s">
        <v>476</v>
      </c>
      <c r="M563" t="s">
        <v>59</v>
      </c>
      <c r="N563" t="s">
        <v>60</v>
      </c>
      <c r="P563" t="s">
        <v>259</v>
      </c>
      <c r="R563" t="s">
        <v>260</v>
      </c>
      <c r="S563" t="s">
        <v>98</v>
      </c>
      <c r="T563">
        <v>259.51</v>
      </c>
      <c r="U563">
        <v>254.14</v>
      </c>
      <c r="V563">
        <f>(T563+U563)/2</f>
        <v>256.82499999999999</v>
      </c>
      <c r="W563">
        <f>T563-U563</f>
        <v>5.3700000000000045</v>
      </c>
      <c r="X563">
        <v>-1.45</v>
      </c>
      <c r="Y563">
        <v>54.816665999999998</v>
      </c>
      <c r="Z563" t="s">
        <v>428</v>
      </c>
      <c r="AA563" t="s">
        <v>78</v>
      </c>
      <c r="AB563" t="s">
        <v>79</v>
      </c>
      <c r="AC563" t="s">
        <v>477</v>
      </c>
      <c r="AD563" t="s">
        <v>478</v>
      </c>
      <c r="AE563" t="s">
        <v>479</v>
      </c>
      <c r="AH563" t="s">
        <v>65</v>
      </c>
      <c r="AI563" t="s">
        <v>349</v>
      </c>
      <c r="AJ563">
        <v>1982</v>
      </c>
      <c r="AK563" t="s">
        <v>480</v>
      </c>
      <c r="AM563" t="s">
        <v>481</v>
      </c>
      <c r="AN563" t="s">
        <v>94</v>
      </c>
      <c r="AO563" t="s">
        <v>106</v>
      </c>
      <c r="AP563" t="s">
        <v>95</v>
      </c>
      <c r="AQ563" t="s">
        <v>482</v>
      </c>
      <c r="AR563" t="s">
        <v>70</v>
      </c>
      <c r="AS563">
        <v>315</v>
      </c>
      <c r="AT563" t="s">
        <v>71</v>
      </c>
      <c r="AU563">
        <v>21.08</v>
      </c>
      <c r="AV563">
        <v>27.2</v>
      </c>
      <c r="AW563" t="s">
        <v>72</v>
      </c>
      <c r="AX563">
        <v>315</v>
      </c>
      <c r="AY563" t="s">
        <v>71</v>
      </c>
      <c r="AZ563">
        <v>15.09</v>
      </c>
      <c r="BA563">
        <v>17.690000000000001</v>
      </c>
      <c r="BB563" t="s">
        <v>73</v>
      </c>
    </row>
    <row r="564" spans="1:54" x14ac:dyDescent="0.4">
      <c r="A564">
        <v>740289</v>
      </c>
      <c r="D564" t="s">
        <v>54</v>
      </c>
      <c r="E564" t="s">
        <v>104</v>
      </c>
      <c r="G564">
        <v>1</v>
      </c>
      <c r="H564" t="s">
        <v>56</v>
      </c>
      <c r="I564" t="s">
        <v>57</v>
      </c>
      <c r="K564" t="s">
        <v>148</v>
      </c>
      <c r="L564" t="s">
        <v>510</v>
      </c>
      <c r="M564" t="s">
        <v>59</v>
      </c>
      <c r="N564" t="s">
        <v>97</v>
      </c>
      <c r="O564" t="s">
        <v>101</v>
      </c>
      <c r="P564" t="s">
        <v>259</v>
      </c>
      <c r="R564" t="s">
        <v>260</v>
      </c>
      <c r="S564" t="s">
        <v>98</v>
      </c>
      <c r="T564">
        <v>259.51</v>
      </c>
      <c r="U564">
        <v>254.14</v>
      </c>
      <c r="V564">
        <f>(T564+U564)/2</f>
        <v>256.82499999999999</v>
      </c>
      <c r="W564">
        <f>T564-U564</f>
        <v>5.3700000000000045</v>
      </c>
      <c r="X564">
        <v>-9.079167</v>
      </c>
      <c r="Y564">
        <v>30.836390000000002</v>
      </c>
      <c r="Z564" t="s">
        <v>99</v>
      </c>
      <c r="AA564" t="s">
        <v>432</v>
      </c>
      <c r="AB564" t="s">
        <v>511</v>
      </c>
      <c r="AD564" t="s">
        <v>512</v>
      </c>
      <c r="AF564" t="s">
        <v>513</v>
      </c>
      <c r="AH564" t="s">
        <v>65</v>
      </c>
      <c r="AI564" t="s">
        <v>433</v>
      </c>
      <c r="AJ564">
        <v>1976</v>
      </c>
      <c r="AK564" t="s">
        <v>514</v>
      </c>
      <c r="AM564" t="s">
        <v>515</v>
      </c>
      <c r="AN564" t="s">
        <v>94</v>
      </c>
      <c r="AO564" t="s">
        <v>68</v>
      </c>
      <c r="AP564" t="s">
        <v>95</v>
      </c>
      <c r="AQ564" t="s">
        <v>516</v>
      </c>
      <c r="AR564" t="s">
        <v>70</v>
      </c>
      <c r="AS564">
        <v>707</v>
      </c>
      <c r="AT564" t="s">
        <v>71</v>
      </c>
      <c r="AU564">
        <v>6.05</v>
      </c>
      <c r="AV564">
        <v>13.34</v>
      </c>
      <c r="AW564" t="s">
        <v>72</v>
      </c>
      <c r="AX564">
        <v>707</v>
      </c>
      <c r="AY564" t="s">
        <v>71</v>
      </c>
      <c r="AZ564">
        <v>1.45</v>
      </c>
      <c r="BA564">
        <v>3.17</v>
      </c>
      <c r="BB564" t="s">
        <v>73</v>
      </c>
    </row>
    <row r="565" spans="1:54" x14ac:dyDescent="0.4">
      <c r="A565">
        <v>785834</v>
      </c>
      <c r="D565" t="s">
        <v>566</v>
      </c>
      <c r="G565">
        <v>1</v>
      </c>
      <c r="H565" t="s">
        <v>56</v>
      </c>
      <c r="I565" t="s">
        <v>57</v>
      </c>
      <c r="K565" t="s">
        <v>148</v>
      </c>
      <c r="L565" t="s">
        <v>588</v>
      </c>
      <c r="M565" t="s">
        <v>59</v>
      </c>
      <c r="N565" t="s">
        <v>97</v>
      </c>
      <c r="O565" t="s">
        <v>101</v>
      </c>
      <c r="P565" t="s">
        <v>259</v>
      </c>
      <c r="R565" t="s">
        <v>260</v>
      </c>
      <c r="S565" t="s">
        <v>98</v>
      </c>
      <c r="T565">
        <v>259.51</v>
      </c>
      <c r="U565">
        <v>254.14</v>
      </c>
      <c r="V565">
        <f>(T565+U565)/2</f>
        <v>256.82499999999999</v>
      </c>
      <c r="W565">
        <f>T565-U565</f>
        <v>5.3700000000000045</v>
      </c>
      <c r="X565">
        <v>22.4</v>
      </c>
      <c r="Y565">
        <v>-31.924999</v>
      </c>
      <c r="Z565" t="s">
        <v>372</v>
      </c>
      <c r="AA565" t="s">
        <v>86</v>
      </c>
      <c r="AB565" t="s">
        <v>170</v>
      </c>
      <c r="AC565" t="s">
        <v>171</v>
      </c>
      <c r="AD565" t="s">
        <v>575</v>
      </c>
      <c r="AE565" t="s">
        <v>90</v>
      </c>
      <c r="AF565" t="s">
        <v>589</v>
      </c>
      <c r="AG565" t="s">
        <v>590</v>
      </c>
      <c r="AH565" t="s">
        <v>65</v>
      </c>
      <c r="AI565" t="s">
        <v>591</v>
      </c>
      <c r="AJ565">
        <v>2001</v>
      </c>
      <c r="AK565" t="s">
        <v>592</v>
      </c>
      <c r="AM565" t="s">
        <v>593</v>
      </c>
      <c r="AN565" t="s">
        <v>177</v>
      </c>
      <c r="AO565" t="s">
        <v>68</v>
      </c>
      <c r="AP565" t="s">
        <v>95</v>
      </c>
      <c r="AQ565" t="s">
        <v>594</v>
      </c>
      <c r="AR565" t="s">
        <v>70</v>
      </c>
      <c r="AS565">
        <v>701</v>
      </c>
      <c r="AT565" t="s">
        <v>71</v>
      </c>
      <c r="AU565">
        <v>-20.47</v>
      </c>
      <c r="AV565">
        <v>-50.54</v>
      </c>
      <c r="AW565" t="s">
        <v>72</v>
      </c>
      <c r="AX565">
        <v>701</v>
      </c>
      <c r="AY565" t="s">
        <v>71</v>
      </c>
      <c r="AZ565">
        <v>-30.33</v>
      </c>
      <c r="BA565">
        <v>-60.09</v>
      </c>
      <c r="BB565" t="s">
        <v>73</v>
      </c>
    </row>
    <row r="566" spans="1:54" x14ac:dyDescent="0.4">
      <c r="A566">
        <v>786382</v>
      </c>
      <c r="D566" t="s">
        <v>566</v>
      </c>
      <c r="E566" t="s">
        <v>105</v>
      </c>
      <c r="I566" t="s">
        <v>57</v>
      </c>
      <c r="K566" t="s">
        <v>102</v>
      </c>
      <c r="L566" t="s">
        <v>605</v>
      </c>
      <c r="M566" t="s">
        <v>59</v>
      </c>
      <c r="P566" t="s">
        <v>259</v>
      </c>
      <c r="R566" t="s">
        <v>260</v>
      </c>
      <c r="S566" t="s">
        <v>98</v>
      </c>
      <c r="T566">
        <v>259.51</v>
      </c>
      <c r="U566">
        <v>254.14</v>
      </c>
      <c r="V566">
        <f>(T566+U566)/2</f>
        <v>256.82499999999999</v>
      </c>
      <c r="W566">
        <f>T566-U566</f>
        <v>5.3700000000000045</v>
      </c>
      <c r="X566">
        <v>8.8802780000000006</v>
      </c>
      <c r="Y566">
        <v>51.261944</v>
      </c>
      <c r="Z566" t="s">
        <v>77</v>
      </c>
      <c r="AA566" t="s">
        <v>128</v>
      </c>
      <c r="AB566" t="s">
        <v>606</v>
      </c>
      <c r="AC566" t="s">
        <v>607</v>
      </c>
      <c r="AD566" t="s">
        <v>608</v>
      </c>
      <c r="AE566" t="s">
        <v>479</v>
      </c>
      <c r="AH566" t="s">
        <v>11</v>
      </c>
      <c r="AI566" t="s">
        <v>609</v>
      </c>
      <c r="AJ566">
        <v>1996</v>
      </c>
      <c r="AK566" t="s">
        <v>610</v>
      </c>
      <c r="AM566" t="s">
        <v>611</v>
      </c>
      <c r="AN566" t="s">
        <v>67</v>
      </c>
      <c r="AO566" t="s">
        <v>68</v>
      </c>
      <c r="AP566" t="s">
        <v>69</v>
      </c>
      <c r="AQ566" t="s">
        <v>612</v>
      </c>
      <c r="AR566" t="s">
        <v>70</v>
      </c>
      <c r="AS566">
        <v>315</v>
      </c>
      <c r="AT566" t="s">
        <v>71</v>
      </c>
      <c r="AU566">
        <v>28.46</v>
      </c>
      <c r="AV566">
        <v>24.55</v>
      </c>
      <c r="AW566" t="s">
        <v>72</v>
      </c>
      <c r="AX566">
        <v>315</v>
      </c>
      <c r="AY566" t="s">
        <v>71</v>
      </c>
      <c r="AZ566">
        <v>22.22</v>
      </c>
      <c r="BA566">
        <v>15.59</v>
      </c>
      <c r="BB566" t="s">
        <v>73</v>
      </c>
    </row>
    <row r="567" spans="1:54" x14ac:dyDescent="0.4">
      <c r="A567">
        <v>786383</v>
      </c>
      <c r="D567" t="s">
        <v>566</v>
      </c>
      <c r="E567" t="s">
        <v>105</v>
      </c>
      <c r="G567">
        <v>1</v>
      </c>
      <c r="H567" t="s">
        <v>56</v>
      </c>
      <c r="I567" t="s">
        <v>57</v>
      </c>
      <c r="K567" t="s">
        <v>102</v>
      </c>
      <c r="L567" t="s">
        <v>613</v>
      </c>
      <c r="M567" t="s">
        <v>59</v>
      </c>
      <c r="O567" t="s">
        <v>107</v>
      </c>
      <c r="P567" t="s">
        <v>259</v>
      </c>
      <c r="R567" t="s">
        <v>260</v>
      </c>
      <c r="S567" t="s">
        <v>98</v>
      </c>
      <c r="T567">
        <v>259.51</v>
      </c>
      <c r="U567">
        <v>254.14</v>
      </c>
      <c r="V567">
        <f>(T567+U567)/2</f>
        <v>256.82499999999999</v>
      </c>
      <c r="W567">
        <f>T567-U567</f>
        <v>5.3700000000000045</v>
      </c>
      <c r="X567">
        <v>8.8802780000000006</v>
      </c>
      <c r="Y567">
        <v>51.261944</v>
      </c>
      <c r="Z567" t="s">
        <v>77</v>
      </c>
      <c r="AA567" t="s">
        <v>128</v>
      </c>
      <c r="AB567" t="s">
        <v>606</v>
      </c>
      <c r="AC567" t="s">
        <v>607</v>
      </c>
      <c r="AD567" t="s">
        <v>608</v>
      </c>
      <c r="AE567" t="s">
        <v>479</v>
      </c>
      <c r="AH567" t="s">
        <v>65</v>
      </c>
      <c r="AI567" t="s">
        <v>609</v>
      </c>
      <c r="AJ567">
        <v>1996</v>
      </c>
      <c r="AK567" t="s">
        <v>610</v>
      </c>
      <c r="AM567" t="s">
        <v>611</v>
      </c>
      <c r="AN567" t="s">
        <v>67</v>
      </c>
      <c r="AO567" t="s">
        <v>68</v>
      </c>
      <c r="AP567" t="s">
        <v>69</v>
      </c>
      <c r="AQ567" t="s">
        <v>612</v>
      </c>
      <c r="AR567" t="s">
        <v>70</v>
      </c>
      <c r="AS567">
        <v>315</v>
      </c>
      <c r="AT567" t="s">
        <v>71</v>
      </c>
      <c r="AU567">
        <v>28.46</v>
      </c>
      <c r="AV567">
        <v>24.55</v>
      </c>
      <c r="AW567" t="s">
        <v>72</v>
      </c>
      <c r="AX567">
        <v>315</v>
      </c>
      <c r="AY567" t="s">
        <v>71</v>
      </c>
      <c r="AZ567">
        <v>22.22</v>
      </c>
      <c r="BA567">
        <v>15.59</v>
      </c>
      <c r="BB567" t="s">
        <v>73</v>
      </c>
    </row>
    <row r="568" spans="1:54" x14ac:dyDescent="0.4">
      <c r="A568">
        <v>786831</v>
      </c>
      <c r="D568" t="s">
        <v>618</v>
      </c>
      <c r="G568">
        <v>1</v>
      </c>
      <c r="H568" t="s">
        <v>56</v>
      </c>
      <c r="I568" t="s">
        <v>57</v>
      </c>
      <c r="K568" t="s">
        <v>148</v>
      </c>
      <c r="L568" t="s">
        <v>149</v>
      </c>
      <c r="M568" t="s">
        <v>59</v>
      </c>
      <c r="N568" t="s">
        <v>97</v>
      </c>
      <c r="O568" t="s">
        <v>101</v>
      </c>
      <c r="P568" t="s">
        <v>259</v>
      </c>
      <c r="R568" t="s">
        <v>260</v>
      </c>
      <c r="S568" t="s">
        <v>98</v>
      </c>
      <c r="T568">
        <v>259.51</v>
      </c>
      <c r="U568">
        <v>254.14</v>
      </c>
      <c r="V568">
        <f>(T568+U568)/2</f>
        <v>256.82499999999999</v>
      </c>
      <c r="W568">
        <f>T568-U568</f>
        <v>5.3700000000000045</v>
      </c>
      <c r="X568">
        <v>33.166668000000001</v>
      </c>
      <c r="Y568">
        <v>-10.833333</v>
      </c>
      <c r="Z568" t="s">
        <v>99</v>
      </c>
      <c r="AA568" t="s">
        <v>619</v>
      </c>
      <c r="AB568" t="s">
        <v>620</v>
      </c>
      <c r="AC568" t="s">
        <v>621</v>
      </c>
      <c r="AD568" t="s">
        <v>622</v>
      </c>
      <c r="AE568" t="s">
        <v>90</v>
      </c>
      <c r="AG568" t="s">
        <v>623</v>
      </c>
      <c r="AH568" t="s">
        <v>11</v>
      </c>
      <c r="AI568" t="s">
        <v>554</v>
      </c>
      <c r="AJ568">
        <v>2000</v>
      </c>
      <c r="AK568" t="s">
        <v>624</v>
      </c>
      <c r="AN568" t="s">
        <v>121</v>
      </c>
      <c r="AO568" t="s">
        <v>106</v>
      </c>
      <c r="AP568" t="s">
        <v>314</v>
      </c>
      <c r="AQ568" t="s">
        <v>625</v>
      </c>
      <c r="AR568" t="s">
        <v>70</v>
      </c>
      <c r="AS568">
        <v>701</v>
      </c>
      <c r="AT568" t="s">
        <v>71</v>
      </c>
      <c r="AU568">
        <v>13.31</v>
      </c>
      <c r="AV568">
        <v>-44.62</v>
      </c>
      <c r="AW568" t="s">
        <v>72</v>
      </c>
      <c r="AX568">
        <v>701</v>
      </c>
      <c r="AY568" t="s">
        <v>71</v>
      </c>
      <c r="AZ568">
        <v>12.37</v>
      </c>
      <c r="BA568">
        <v>-54.45</v>
      </c>
      <c r="BB568" t="s">
        <v>73</v>
      </c>
    </row>
    <row r="569" spans="1:54" x14ac:dyDescent="0.4">
      <c r="A569">
        <v>790004</v>
      </c>
      <c r="D569" t="s">
        <v>54</v>
      </c>
      <c r="G569">
        <v>1</v>
      </c>
      <c r="H569" t="s">
        <v>56</v>
      </c>
      <c r="I569" t="s">
        <v>57</v>
      </c>
      <c r="K569" t="s">
        <v>475</v>
      </c>
      <c r="L569" t="s">
        <v>476</v>
      </c>
      <c r="M569" t="s">
        <v>59</v>
      </c>
      <c r="N569" t="s">
        <v>60</v>
      </c>
      <c r="P569" t="s">
        <v>259</v>
      </c>
      <c r="R569" t="s">
        <v>260</v>
      </c>
      <c r="S569" t="s">
        <v>98</v>
      </c>
      <c r="T569">
        <v>259.51</v>
      </c>
      <c r="U569">
        <v>254.14</v>
      </c>
      <c r="V569">
        <f>(T569+U569)/2</f>
        <v>256.82499999999999</v>
      </c>
      <c r="W569">
        <f>T569-U569</f>
        <v>5.3700000000000045</v>
      </c>
      <c r="X569">
        <v>11.516667</v>
      </c>
      <c r="Y569">
        <v>51.516666000000001</v>
      </c>
      <c r="Z569" t="s">
        <v>669</v>
      </c>
      <c r="AA569" t="s">
        <v>128</v>
      </c>
      <c r="AB569" t="s">
        <v>670</v>
      </c>
      <c r="AC569" t="s">
        <v>671</v>
      </c>
      <c r="AD569" t="s">
        <v>608</v>
      </c>
      <c r="AE569" t="s">
        <v>479</v>
      </c>
      <c r="AF569" t="s">
        <v>672</v>
      </c>
      <c r="AH569" t="s">
        <v>65</v>
      </c>
      <c r="AI569" t="s">
        <v>673</v>
      </c>
      <c r="AJ569">
        <v>1987</v>
      </c>
      <c r="AK569" t="s">
        <v>674</v>
      </c>
      <c r="AM569" t="s">
        <v>675</v>
      </c>
      <c r="AN569" t="s">
        <v>94</v>
      </c>
      <c r="AO569" t="s">
        <v>106</v>
      </c>
      <c r="AP569" t="s">
        <v>182</v>
      </c>
      <c r="AQ569" t="s">
        <v>676</v>
      </c>
      <c r="AR569" t="s">
        <v>70</v>
      </c>
      <c r="AS569">
        <v>315</v>
      </c>
      <c r="AT569" t="s">
        <v>71</v>
      </c>
      <c r="AU569">
        <v>30.18</v>
      </c>
      <c r="AV569">
        <v>25.11</v>
      </c>
      <c r="AW569" t="s">
        <v>72</v>
      </c>
      <c r="AX569">
        <v>315</v>
      </c>
      <c r="AY569" t="s">
        <v>71</v>
      </c>
      <c r="AZ569">
        <v>23.79</v>
      </c>
      <c r="BA569">
        <v>16.3</v>
      </c>
      <c r="BB569" t="s">
        <v>73</v>
      </c>
    </row>
    <row r="570" spans="1:54" x14ac:dyDescent="0.4">
      <c r="A570">
        <v>790009</v>
      </c>
      <c r="D570" t="s">
        <v>54</v>
      </c>
      <c r="G570">
        <v>1</v>
      </c>
      <c r="H570" t="s">
        <v>56</v>
      </c>
      <c r="I570" t="s">
        <v>57</v>
      </c>
      <c r="K570" t="s">
        <v>475</v>
      </c>
      <c r="L570" t="s">
        <v>476</v>
      </c>
      <c r="M570" t="s">
        <v>59</v>
      </c>
      <c r="N570" t="s">
        <v>60</v>
      </c>
      <c r="P570" t="s">
        <v>259</v>
      </c>
      <c r="R570" t="s">
        <v>260</v>
      </c>
      <c r="S570" t="s">
        <v>98</v>
      </c>
      <c r="T570">
        <v>259.51</v>
      </c>
      <c r="U570">
        <v>254.14</v>
      </c>
      <c r="V570">
        <f>(T570+U570)/2</f>
        <v>256.82499999999999</v>
      </c>
      <c r="W570">
        <f>T570-U570</f>
        <v>5.3700000000000045</v>
      </c>
      <c r="X570">
        <v>9.9430560000000003</v>
      </c>
      <c r="Y570">
        <v>50.992778999999999</v>
      </c>
      <c r="Z570" t="s">
        <v>669</v>
      </c>
      <c r="AA570" t="s">
        <v>128</v>
      </c>
      <c r="AB570" t="s">
        <v>606</v>
      </c>
      <c r="AC570" t="s">
        <v>677</v>
      </c>
      <c r="AD570" t="s">
        <v>608</v>
      </c>
      <c r="AE570" t="s">
        <v>479</v>
      </c>
      <c r="AF570" t="s">
        <v>672</v>
      </c>
      <c r="AH570" t="s">
        <v>65</v>
      </c>
      <c r="AI570" t="s">
        <v>678</v>
      </c>
      <c r="AJ570">
        <v>1976</v>
      </c>
      <c r="AK570" t="s">
        <v>679</v>
      </c>
      <c r="AM570" t="s">
        <v>680</v>
      </c>
      <c r="AN570" t="s">
        <v>94</v>
      </c>
      <c r="AO570" t="s">
        <v>68</v>
      </c>
      <c r="AP570" t="s">
        <v>314</v>
      </c>
      <c r="AQ570" t="s">
        <v>681</v>
      </c>
      <c r="AR570" t="s">
        <v>70</v>
      </c>
      <c r="AS570">
        <v>315</v>
      </c>
      <c r="AT570" t="s">
        <v>71</v>
      </c>
      <c r="AU570">
        <v>29.33</v>
      </c>
      <c r="AV570">
        <v>25.08</v>
      </c>
      <c r="AW570" t="s">
        <v>72</v>
      </c>
      <c r="AX570">
        <v>315</v>
      </c>
      <c r="AY570" t="s">
        <v>71</v>
      </c>
      <c r="AZ570">
        <v>22.84</v>
      </c>
      <c r="BA570">
        <v>15.66</v>
      </c>
      <c r="BB570" t="s">
        <v>73</v>
      </c>
    </row>
    <row r="571" spans="1:54" x14ac:dyDescent="0.4">
      <c r="A571">
        <v>790010</v>
      </c>
      <c r="D571" t="s">
        <v>54</v>
      </c>
      <c r="G571">
        <v>1</v>
      </c>
      <c r="H571" t="s">
        <v>56</v>
      </c>
      <c r="I571" t="s">
        <v>57</v>
      </c>
      <c r="K571" t="s">
        <v>475</v>
      </c>
      <c r="L571" t="s">
        <v>476</v>
      </c>
      <c r="M571" t="s">
        <v>59</v>
      </c>
      <c r="N571" t="s">
        <v>60</v>
      </c>
      <c r="P571" t="s">
        <v>259</v>
      </c>
      <c r="R571" t="s">
        <v>260</v>
      </c>
      <c r="S571" t="s">
        <v>98</v>
      </c>
      <c r="T571">
        <v>259.51</v>
      </c>
      <c r="U571">
        <v>254.14</v>
      </c>
      <c r="V571">
        <f>(T571+U571)/2</f>
        <v>256.82499999999999</v>
      </c>
      <c r="W571">
        <f>T571-U571</f>
        <v>5.3700000000000045</v>
      </c>
      <c r="X571">
        <v>9.9533330000000007</v>
      </c>
      <c r="Y571">
        <v>50.996665999999998</v>
      </c>
      <c r="Z571" t="s">
        <v>669</v>
      </c>
      <c r="AA571" t="s">
        <v>128</v>
      </c>
      <c r="AB571" t="s">
        <v>606</v>
      </c>
      <c r="AC571" t="s">
        <v>677</v>
      </c>
      <c r="AD571" t="s">
        <v>608</v>
      </c>
      <c r="AE571" t="s">
        <v>479</v>
      </c>
      <c r="AF571" t="s">
        <v>672</v>
      </c>
      <c r="AH571" t="s">
        <v>65</v>
      </c>
      <c r="AI571" t="s">
        <v>678</v>
      </c>
      <c r="AJ571">
        <v>1976</v>
      </c>
      <c r="AK571" t="s">
        <v>682</v>
      </c>
      <c r="AM571" t="s">
        <v>683</v>
      </c>
      <c r="AN571" t="s">
        <v>121</v>
      </c>
      <c r="AO571" t="s">
        <v>68</v>
      </c>
      <c r="AP571" t="s">
        <v>314</v>
      </c>
      <c r="AQ571" t="s">
        <v>684</v>
      </c>
      <c r="AR571" t="s">
        <v>70</v>
      </c>
      <c r="AS571">
        <v>315</v>
      </c>
      <c r="AT571" t="s">
        <v>71</v>
      </c>
      <c r="AU571">
        <v>29.34</v>
      </c>
      <c r="AV571">
        <v>25.09</v>
      </c>
      <c r="AW571" t="s">
        <v>72</v>
      </c>
      <c r="AX571">
        <v>315</v>
      </c>
      <c r="AY571" t="s">
        <v>71</v>
      </c>
      <c r="AZ571">
        <v>22.84</v>
      </c>
      <c r="BA571">
        <v>15.67</v>
      </c>
      <c r="BB571" t="s">
        <v>73</v>
      </c>
    </row>
    <row r="572" spans="1:54" x14ac:dyDescent="0.4">
      <c r="A572">
        <v>790011</v>
      </c>
      <c r="D572" t="s">
        <v>54</v>
      </c>
      <c r="G572">
        <v>1</v>
      </c>
      <c r="H572" t="s">
        <v>56</v>
      </c>
      <c r="I572" t="s">
        <v>57</v>
      </c>
      <c r="K572" t="s">
        <v>475</v>
      </c>
      <c r="L572" t="s">
        <v>476</v>
      </c>
      <c r="M572" t="s">
        <v>59</v>
      </c>
      <c r="N572" t="s">
        <v>60</v>
      </c>
      <c r="P572" t="s">
        <v>259</v>
      </c>
      <c r="R572" t="s">
        <v>260</v>
      </c>
      <c r="S572" t="s">
        <v>98</v>
      </c>
      <c r="T572">
        <v>259.51</v>
      </c>
      <c r="U572">
        <v>254.14</v>
      </c>
      <c r="V572">
        <f>(T572+U572)/2</f>
        <v>256.82499999999999</v>
      </c>
      <c r="W572">
        <f>T572-U572</f>
        <v>5.3700000000000045</v>
      </c>
      <c r="X572">
        <v>10.665278000000001</v>
      </c>
      <c r="Y572">
        <v>51.585278000000002</v>
      </c>
      <c r="Z572" t="s">
        <v>669</v>
      </c>
      <c r="AA572" t="s">
        <v>128</v>
      </c>
      <c r="AB572" t="s">
        <v>397</v>
      </c>
      <c r="AC572" t="s">
        <v>685</v>
      </c>
      <c r="AD572" t="s">
        <v>608</v>
      </c>
      <c r="AE572" t="s">
        <v>479</v>
      </c>
      <c r="AF572" t="s">
        <v>672</v>
      </c>
      <c r="AH572" t="s">
        <v>65</v>
      </c>
      <c r="AI572" t="s">
        <v>686</v>
      </c>
      <c r="AJ572">
        <v>1997</v>
      </c>
      <c r="AK572" t="s">
        <v>687</v>
      </c>
      <c r="AM572" t="s">
        <v>688</v>
      </c>
      <c r="AN572" t="s">
        <v>94</v>
      </c>
      <c r="AO572" t="s">
        <v>68</v>
      </c>
      <c r="AP572" t="s">
        <v>95</v>
      </c>
      <c r="AQ572" t="s">
        <v>689</v>
      </c>
      <c r="AR572" t="s">
        <v>70</v>
      </c>
      <c r="AS572">
        <v>315</v>
      </c>
      <c r="AT572" t="s">
        <v>71</v>
      </c>
      <c r="AU572">
        <v>29.69</v>
      </c>
      <c r="AV572">
        <v>25.75</v>
      </c>
      <c r="AW572" t="s">
        <v>72</v>
      </c>
      <c r="AX572">
        <v>315</v>
      </c>
      <c r="AY572" t="s">
        <v>71</v>
      </c>
      <c r="AZ572">
        <v>23.11</v>
      </c>
      <c r="BA572">
        <v>16.36</v>
      </c>
      <c r="BB572" t="s">
        <v>73</v>
      </c>
    </row>
    <row r="573" spans="1:54" x14ac:dyDescent="0.4">
      <c r="A573">
        <v>790284</v>
      </c>
      <c r="D573" t="s">
        <v>54</v>
      </c>
      <c r="G573">
        <v>1</v>
      </c>
      <c r="H573" t="s">
        <v>56</v>
      </c>
      <c r="I573" t="s">
        <v>57</v>
      </c>
      <c r="K573" t="s">
        <v>102</v>
      </c>
      <c r="L573" t="s">
        <v>605</v>
      </c>
      <c r="M573" t="s">
        <v>59</v>
      </c>
      <c r="P573" t="s">
        <v>259</v>
      </c>
      <c r="R573" t="s">
        <v>260</v>
      </c>
      <c r="S573" t="s">
        <v>98</v>
      </c>
      <c r="T573">
        <v>259.51</v>
      </c>
      <c r="U573">
        <v>254.14</v>
      </c>
      <c r="V573">
        <f>(T573+U573)/2</f>
        <v>256.82499999999999</v>
      </c>
      <c r="W573">
        <f>T573-U573</f>
        <v>5.3700000000000045</v>
      </c>
      <c r="X573">
        <v>11.516667</v>
      </c>
      <c r="Y573">
        <v>51.516666000000001</v>
      </c>
      <c r="Z573" t="s">
        <v>669</v>
      </c>
      <c r="AA573" t="s">
        <v>128</v>
      </c>
      <c r="AB573" t="s">
        <v>670</v>
      </c>
      <c r="AC573" t="s">
        <v>671</v>
      </c>
      <c r="AD573" t="s">
        <v>608</v>
      </c>
      <c r="AE573" t="s">
        <v>479</v>
      </c>
      <c r="AF573" t="s">
        <v>672</v>
      </c>
      <c r="AH573" t="s">
        <v>65</v>
      </c>
      <c r="AI573" t="s">
        <v>720</v>
      </c>
      <c r="AJ573">
        <v>1930</v>
      </c>
      <c r="AK573" t="s">
        <v>674</v>
      </c>
      <c r="AM573" t="s">
        <v>675</v>
      </c>
      <c r="AN573" t="s">
        <v>94</v>
      </c>
      <c r="AO573" t="s">
        <v>106</v>
      </c>
      <c r="AP573" t="s">
        <v>182</v>
      </c>
      <c r="AQ573" t="s">
        <v>676</v>
      </c>
      <c r="AR573" t="s">
        <v>70</v>
      </c>
      <c r="AS573">
        <v>315</v>
      </c>
      <c r="AT573" t="s">
        <v>71</v>
      </c>
      <c r="AU573">
        <v>30.18</v>
      </c>
      <c r="AV573">
        <v>25.11</v>
      </c>
      <c r="AW573" t="s">
        <v>72</v>
      </c>
      <c r="AX573">
        <v>315</v>
      </c>
      <c r="AY573" t="s">
        <v>71</v>
      </c>
      <c r="AZ573">
        <v>23.79</v>
      </c>
      <c r="BA573">
        <v>16.3</v>
      </c>
      <c r="BB573" t="s">
        <v>73</v>
      </c>
    </row>
    <row r="574" spans="1:54" x14ac:dyDescent="0.4">
      <c r="A574">
        <v>790284</v>
      </c>
      <c r="D574" t="s">
        <v>54</v>
      </c>
      <c r="G574">
        <v>1</v>
      </c>
      <c r="H574" t="s">
        <v>56</v>
      </c>
      <c r="I574" t="s">
        <v>57</v>
      </c>
      <c r="K574" t="s">
        <v>102</v>
      </c>
      <c r="L574" t="s">
        <v>605</v>
      </c>
      <c r="M574" t="s">
        <v>59</v>
      </c>
      <c r="P574" t="s">
        <v>259</v>
      </c>
      <c r="R574" t="s">
        <v>260</v>
      </c>
      <c r="S574" t="s">
        <v>98</v>
      </c>
      <c r="T574">
        <v>259.51</v>
      </c>
      <c r="U574">
        <v>254.14</v>
      </c>
      <c r="V574">
        <f>(T574+U574)/2</f>
        <v>256.82499999999999</v>
      </c>
      <c r="W574">
        <f>T574-U574</f>
        <v>5.3700000000000045</v>
      </c>
      <c r="X574">
        <v>11.516667</v>
      </c>
      <c r="Y574">
        <v>51.516666000000001</v>
      </c>
      <c r="Z574" t="s">
        <v>669</v>
      </c>
      <c r="AA574" t="s">
        <v>128</v>
      </c>
      <c r="AB574" t="s">
        <v>670</v>
      </c>
      <c r="AC574" t="s">
        <v>671</v>
      </c>
      <c r="AD574" t="s">
        <v>608</v>
      </c>
      <c r="AE574" t="s">
        <v>479</v>
      </c>
      <c r="AF574" t="s">
        <v>672</v>
      </c>
      <c r="AH574" t="s">
        <v>65</v>
      </c>
      <c r="AI574" t="s">
        <v>720</v>
      </c>
      <c r="AJ574">
        <v>1930</v>
      </c>
      <c r="AK574" t="s">
        <v>674</v>
      </c>
      <c r="AM574" t="s">
        <v>675</v>
      </c>
      <c r="AN574" t="s">
        <v>94</v>
      </c>
      <c r="AO574" t="s">
        <v>106</v>
      </c>
      <c r="AP574" t="s">
        <v>182</v>
      </c>
      <c r="AQ574" t="s">
        <v>676</v>
      </c>
      <c r="AR574" t="s">
        <v>70</v>
      </c>
      <c r="AS574">
        <v>315</v>
      </c>
      <c r="AT574" t="s">
        <v>71</v>
      </c>
      <c r="AU574">
        <v>30.18</v>
      </c>
      <c r="AV574">
        <v>25.11</v>
      </c>
      <c r="AW574" t="s">
        <v>72</v>
      </c>
      <c r="AX574">
        <v>315</v>
      </c>
      <c r="AY574" t="s">
        <v>71</v>
      </c>
      <c r="AZ574">
        <v>23.79</v>
      </c>
      <c r="BA574">
        <v>16.3</v>
      </c>
      <c r="BB574" t="s">
        <v>73</v>
      </c>
    </row>
    <row r="575" spans="1:54" x14ac:dyDescent="0.4">
      <c r="A575">
        <v>790285</v>
      </c>
      <c r="D575" t="s">
        <v>54</v>
      </c>
      <c r="G575">
        <v>1</v>
      </c>
      <c r="H575" t="s">
        <v>56</v>
      </c>
      <c r="I575" t="s">
        <v>57</v>
      </c>
      <c r="K575" t="s">
        <v>475</v>
      </c>
      <c r="L575" t="s">
        <v>476</v>
      </c>
      <c r="M575" t="s">
        <v>59</v>
      </c>
      <c r="N575" t="s">
        <v>60</v>
      </c>
      <c r="P575" t="s">
        <v>259</v>
      </c>
      <c r="R575" t="s">
        <v>260</v>
      </c>
      <c r="S575" t="s">
        <v>98</v>
      </c>
      <c r="T575">
        <v>259.51</v>
      </c>
      <c r="U575">
        <v>254.14</v>
      </c>
      <c r="V575">
        <f>(T575+U575)/2</f>
        <v>256.82499999999999</v>
      </c>
      <c r="W575">
        <f>T575-U575</f>
        <v>5.3700000000000045</v>
      </c>
      <c r="X575">
        <v>11.516667</v>
      </c>
      <c r="Y575">
        <v>51.516666000000001</v>
      </c>
      <c r="Z575" t="s">
        <v>669</v>
      </c>
      <c r="AA575" t="s">
        <v>128</v>
      </c>
      <c r="AB575" t="s">
        <v>670</v>
      </c>
      <c r="AC575" t="s">
        <v>671</v>
      </c>
      <c r="AD575" t="s">
        <v>608</v>
      </c>
      <c r="AE575" t="s">
        <v>479</v>
      </c>
      <c r="AF575" t="s">
        <v>672</v>
      </c>
      <c r="AH575" t="s">
        <v>65</v>
      </c>
      <c r="AI575" t="s">
        <v>720</v>
      </c>
      <c r="AJ575">
        <v>1930</v>
      </c>
      <c r="AK575" t="s">
        <v>674</v>
      </c>
      <c r="AM575" t="s">
        <v>675</v>
      </c>
      <c r="AN575" t="s">
        <v>94</v>
      </c>
      <c r="AO575" t="s">
        <v>106</v>
      </c>
      <c r="AP575" t="s">
        <v>182</v>
      </c>
      <c r="AQ575" t="s">
        <v>676</v>
      </c>
      <c r="AR575" t="s">
        <v>70</v>
      </c>
      <c r="AS575">
        <v>315</v>
      </c>
      <c r="AT575" t="s">
        <v>71</v>
      </c>
      <c r="AU575">
        <v>30.18</v>
      </c>
      <c r="AV575">
        <v>25.11</v>
      </c>
      <c r="AW575" t="s">
        <v>72</v>
      </c>
      <c r="AX575">
        <v>315</v>
      </c>
      <c r="AY575" t="s">
        <v>71</v>
      </c>
      <c r="AZ575">
        <v>23.79</v>
      </c>
      <c r="BA575">
        <v>16.3</v>
      </c>
      <c r="BB575" t="s">
        <v>73</v>
      </c>
    </row>
    <row r="576" spans="1:54" x14ac:dyDescent="0.4">
      <c r="A576">
        <v>790390</v>
      </c>
      <c r="D576" t="s">
        <v>54</v>
      </c>
      <c r="G576">
        <v>1</v>
      </c>
      <c r="H576" t="s">
        <v>56</v>
      </c>
      <c r="I576" t="s">
        <v>57</v>
      </c>
      <c r="K576" t="s">
        <v>475</v>
      </c>
      <c r="L576" t="s">
        <v>476</v>
      </c>
      <c r="M576" t="s">
        <v>59</v>
      </c>
      <c r="N576" t="s">
        <v>60</v>
      </c>
      <c r="P576" t="s">
        <v>259</v>
      </c>
      <c r="R576" t="s">
        <v>260</v>
      </c>
      <c r="S576" t="s">
        <v>98</v>
      </c>
      <c r="T576">
        <v>259.51</v>
      </c>
      <c r="U576">
        <v>254.14</v>
      </c>
      <c r="V576">
        <f>(T576+U576)/2</f>
        <v>256.82499999999999</v>
      </c>
      <c r="W576">
        <f>T576-U576</f>
        <v>5.3700000000000045</v>
      </c>
      <c r="X576">
        <v>9.9158329999999992</v>
      </c>
      <c r="Y576">
        <v>51.0075</v>
      </c>
      <c r="Z576" t="s">
        <v>669</v>
      </c>
      <c r="AA576" t="s">
        <v>128</v>
      </c>
      <c r="AB576" t="s">
        <v>606</v>
      </c>
      <c r="AC576" t="s">
        <v>677</v>
      </c>
      <c r="AD576" t="s">
        <v>608</v>
      </c>
      <c r="AE576" t="s">
        <v>479</v>
      </c>
      <c r="AF576" t="s">
        <v>672</v>
      </c>
      <c r="AH576" t="s">
        <v>65</v>
      </c>
      <c r="AI576" t="s">
        <v>678</v>
      </c>
      <c r="AJ576">
        <v>1986</v>
      </c>
      <c r="AK576" t="s">
        <v>721</v>
      </c>
      <c r="AM576" t="s">
        <v>722</v>
      </c>
      <c r="AN576" t="s">
        <v>121</v>
      </c>
      <c r="AO576" t="s">
        <v>68</v>
      </c>
      <c r="AP576" t="s">
        <v>314</v>
      </c>
      <c r="AQ576" t="s">
        <v>723</v>
      </c>
      <c r="AR576" t="s">
        <v>70</v>
      </c>
      <c r="AS576">
        <v>315</v>
      </c>
      <c r="AT576" t="s">
        <v>71</v>
      </c>
      <c r="AU576">
        <v>29.31</v>
      </c>
      <c r="AV576">
        <v>25.09</v>
      </c>
      <c r="AW576" t="s">
        <v>72</v>
      </c>
      <c r="AX576">
        <v>315</v>
      </c>
      <c r="AY576" t="s">
        <v>71</v>
      </c>
      <c r="AZ576">
        <v>22.82</v>
      </c>
      <c r="BA576">
        <v>15.67</v>
      </c>
      <c r="BB576" t="s">
        <v>73</v>
      </c>
    </row>
    <row r="577" spans="1:54" x14ac:dyDescent="0.4">
      <c r="A577">
        <v>790406</v>
      </c>
      <c r="D577" t="s">
        <v>54</v>
      </c>
      <c r="G577">
        <v>1</v>
      </c>
      <c r="H577" t="s">
        <v>56</v>
      </c>
      <c r="I577" t="s">
        <v>57</v>
      </c>
      <c r="K577" t="s">
        <v>102</v>
      </c>
      <c r="L577" t="s">
        <v>613</v>
      </c>
      <c r="M577" t="s">
        <v>59</v>
      </c>
      <c r="O577" t="s">
        <v>107</v>
      </c>
      <c r="P577" t="s">
        <v>259</v>
      </c>
      <c r="R577" t="s">
        <v>260</v>
      </c>
      <c r="S577" t="s">
        <v>98</v>
      </c>
      <c r="T577">
        <v>259.51</v>
      </c>
      <c r="U577">
        <v>254.14</v>
      </c>
      <c r="V577">
        <f>(T577+U577)/2</f>
        <v>256.82499999999999</v>
      </c>
      <c r="W577">
        <f>T577-U577</f>
        <v>5.3700000000000045</v>
      </c>
      <c r="X577">
        <v>10.616667</v>
      </c>
      <c r="Y577">
        <v>51.583331999999999</v>
      </c>
      <c r="Z577" t="s">
        <v>669</v>
      </c>
      <c r="AA577" t="s">
        <v>128</v>
      </c>
      <c r="AB577" t="s">
        <v>735</v>
      </c>
      <c r="AC577" t="s">
        <v>736</v>
      </c>
      <c r="AD577" t="s">
        <v>608</v>
      </c>
      <c r="AE577" t="s">
        <v>479</v>
      </c>
      <c r="AF577" t="s">
        <v>672</v>
      </c>
      <c r="AH577" t="s">
        <v>65</v>
      </c>
      <c r="AI577" t="s">
        <v>737</v>
      </c>
      <c r="AJ577">
        <v>2008</v>
      </c>
      <c r="AK577" t="s">
        <v>738</v>
      </c>
      <c r="AM577" t="s">
        <v>688</v>
      </c>
      <c r="AN577" t="s">
        <v>94</v>
      </c>
      <c r="AO577" t="s">
        <v>106</v>
      </c>
      <c r="AQ577" t="s">
        <v>739</v>
      </c>
      <c r="AR577" t="s">
        <v>70</v>
      </c>
      <c r="AS577">
        <v>315</v>
      </c>
      <c r="AT577" t="s">
        <v>71</v>
      </c>
      <c r="AU577">
        <v>29.66</v>
      </c>
      <c r="AV577">
        <v>25.74</v>
      </c>
      <c r="AW577" t="s">
        <v>72</v>
      </c>
      <c r="AX577">
        <v>315</v>
      </c>
      <c r="AY577" t="s">
        <v>71</v>
      </c>
      <c r="AZ577">
        <v>23.08</v>
      </c>
      <c r="BA577">
        <v>16.350000000000001</v>
      </c>
      <c r="BB577" t="s">
        <v>73</v>
      </c>
    </row>
    <row r="578" spans="1:54" x14ac:dyDescent="0.4">
      <c r="A578">
        <v>790462</v>
      </c>
      <c r="D578" t="s">
        <v>54</v>
      </c>
      <c r="G578">
        <v>1</v>
      </c>
      <c r="H578" t="s">
        <v>56</v>
      </c>
      <c r="I578" t="s">
        <v>57</v>
      </c>
      <c r="K578" t="s">
        <v>102</v>
      </c>
      <c r="L578" t="s">
        <v>613</v>
      </c>
      <c r="M578" t="s">
        <v>59</v>
      </c>
      <c r="O578" t="s">
        <v>107</v>
      </c>
      <c r="P578" t="s">
        <v>259</v>
      </c>
      <c r="R578" t="s">
        <v>260</v>
      </c>
      <c r="S578" t="s">
        <v>98</v>
      </c>
      <c r="T578">
        <v>259.51</v>
      </c>
      <c r="U578">
        <v>254.14</v>
      </c>
      <c r="V578">
        <f>(T578+U578)/2</f>
        <v>256.82499999999999</v>
      </c>
      <c r="W578">
        <f>T578-U578</f>
        <v>5.3700000000000045</v>
      </c>
      <c r="X578">
        <v>10.916667</v>
      </c>
      <c r="Y578">
        <v>50.683334000000002</v>
      </c>
      <c r="Z578" t="s">
        <v>669</v>
      </c>
      <c r="AA578" t="s">
        <v>128</v>
      </c>
      <c r="AB578" t="s">
        <v>397</v>
      </c>
      <c r="AC578" t="s">
        <v>740</v>
      </c>
      <c r="AD578" t="s">
        <v>608</v>
      </c>
      <c r="AE578" t="s">
        <v>479</v>
      </c>
      <c r="AF578" t="s">
        <v>672</v>
      </c>
      <c r="AH578" t="s">
        <v>65</v>
      </c>
      <c r="AI578" t="s">
        <v>737</v>
      </c>
      <c r="AJ578">
        <v>2008</v>
      </c>
      <c r="AK578" t="s">
        <v>741</v>
      </c>
      <c r="AM578" t="s">
        <v>742</v>
      </c>
      <c r="AN578" t="s">
        <v>94</v>
      </c>
      <c r="AO578" t="s">
        <v>106</v>
      </c>
      <c r="AP578" t="s">
        <v>95</v>
      </c>
      <c r="AQ578" t="s">
        <v>743</v>
      </c>
      <c r="AR578" t="s">
        <v>70</v>
      </c>
      <c r="AS578">
        <v>305</v>
      </c>
      <c r="AT578" t="s">
        <v>71</v>
      </c>
      <c r="AU578">
        <v>30.06</v>
      </c>
      <c r="AV578">
        <v>24.9</v>
      </c>
      <c r="AW578" t="s">
        <v>72</v>
      </c>
      <c r="AX578">
        <v>305</v>
      </c>
      <c r="AY578" t="s">
        <v>71</v>
      </c>
      <c r="AZ578">
        <v>23.54</v>
      </c>
      <c r="BA578">
        <v>15.55</v>
      </c>
      <c r="BB578" t="s">
        <v>73</v>
      </c>
    </row>
    <row r="579" spans="1:54" x14ac:dyDescent="0.4">
      <c r="A579">
        <v>790463</v>
      </c>
      <c r="D579" t="s">
        <v>54</v>
      </c>
      <c r="G579">
        <v>1</v>
      </c>
      <c r="H579" t="s">
        <v>56</v>
      </c>
      <c r="I579" t="s">
        <v>57</v>
      </c>
      <c r="K579" t="s">
        <v>102</v>
      </c>
      <c r="L579" t="s">
        <v>613</v>
      </c>
      <c r="M579" t="s">
        <v>59</v>
      </c>
      <c r="O579" t="s">
        <v>107</v>
      </c>
      <c r="P579" t="s">
        <v>259</v>
      </c>
      <c r="R579" t="s">
        <v>260</v>
      </c>
      <c r="S579" t="s">
        <v>98</v>
      </c>
      <c r="T579">
        <v>259.51</v>
      </c>
      <c r="U579">
        <v>254.14</v>
      </c>
      <c r="V579">
        <f>(T579+U579)/2</f>
        <v>256.82499999999999</v>
      </c>
      <c r="W579">
        <f>T579-U579</f>
        <v>5.3700000000000045</v>
      </c>
      <c r="X579">
        <v>10.865</v>
      </c>
      <c r="Y579">
        <v>51.541668000000001</v>
      </c>
      <c r="Z579" t="s">
        <v>669</v>
      </c>
      <c r="AA579" t="s">
        <v>128</v>
      </c>
      <c r="AB579" t="s">
        <v>397</v>
      </c>
      <c r="AC579" t="s">
        <v>685</v>
      </c>
      <c r="AD579" t="s">
        <v>608</v>
      </c>
      <c r="AE579" t="s">
        <v>479</v>
      </c>
      <c r="AF579" t="s">
        <v>672</v>
      </c>
      <c r="AH579" t="s">
        <v>65</v>
      </c>
      <c r="AI579" t="s">
        <v>737</v>
      </c>
      <c r="AJ579">
        <v>2008</v>
      </c>
      <c r="AK579" t="s">
        <v>744</v>
      </c>
      <c r="AM579" t="s">
        <v>688</v>
      </c>
      <c r="AN579" t="s">
        <v>94</v>
      </c>
      <c r="AO579" t="s">
        <v>68</v>
      </c>
      <c r="AP579" t="s">
        <v>95</v>
      </c>
      <c r="AQ579" t="s">
        <v>745</v>
      </c>
      <c r="AR579" t="s">
        <v>70</v>
      </c>
      <c r="AS579">
        <v>315</v>
      </c>
      <c r="AT579" t="s">
        <v>71</v>
      </c>
      <c r="AU579">
        <v>29.84</v>
      </c>
      <c r="AV579">
        <v>25.73</v>
      </c>
      <c r="AW579" t="s">
        <v>72</v>
      </c>
      <c r="AX579">
        <v>315</v>
      </c>
      <c r="AY579" t="s">
        <v>71</v>
      </c>
      <c r="AZ579">
        <v>23.25</v>
      </c>
      <c r="BA579">
        <v>16.36</v>
      </c>
      <c r="BB579" t="s">
        <v>73</v>
      </c>
    </row>
    <row r="580" spans="1:54" x14ac:dyDescent="0.4">
      <c r="A580">
        <v>790511</v>
      </c>
      <c r="D580" t="s">
        <v>54</v>
      </c>
      <c r="G580">
        <v>1</v>
      </c>
      <c r="H580" t="s">
        <v>56</v>
      </c>
      <c r="I580" t="s">
        <v>57</v>
      </c>
      <c r="K580" t="s">
        <v>102</v>
      </c>
      <c r="L580" t="s">
        <v>273</v>
      </c>
      <c r="M580" t="s">
        <v>59</v>
      </c>
      <c r="O580" t="s">
        <v>107</v>
      </c>
      <c r="P580" t="s">
        <v>259</v>
      </c>
      <c r="R580" t="s">
        <v>260</v>
      </c>
      <c r="S580" t="s">
        <v>98</v>
      </c>
      <c r="T580">
        <v>259.51</v>
      </c>
      <c r="U580">
        <v>254.14</v>
      </c>
      <c r="V580">
        <f>(T580+U580)/2</f>
        <v>256.82499999999999</v>
      </c>
      <c r="W580">
        <f>T580-U580</f>
        <v>5.3700000000000045</v>
      </c>
      <c r="X580">
        <v>24.533332999999999</v>
      </c>
      <c r="Y580">
        <v>-32.25</v>
      </c>
      <c r="Z580" t="s">
        <v>99</v>
      </c>
      <c r="AA580" t="s">
        <v>86</v>
      </c>
      <c r="AB580" t="s">
        <v>87</v>
      </c>
      <c r="AD580" t="s">
        <v>746</v>
      </c>
      <c r="AE580" t="s">
        <v>90</v>
      </c>
      <c r="AG580" t="s">
        <v>623</v>
      </c>
      <c r="AH580" t="s">
        <v>65</v>
      </c>
      <c r="AI580" t="s">
        <v>747</v>
      </c>
      <c r="AJ580">
        <v>1997</v>
      </c>
      <c r="AK580" t="s">
        <v>748</v>
      </c>
      <c r="AN580" t="s">
        <v>94</v>
      </c>
      <c r="AO580" t="s">
        <v>106</v>
      </c>
      <c r="AP580" t="s">
        <v>134</v>
      </c>
      <c r="AQ580" t="s">
        <v>749</v>
      </c>
      <c r="AR580" t="s">
        <v>70</v>
      </c>
      <c r="AS580">
        <v>701</v>
      </c>
      <c r="AT580" t="s">
        <v>71</v>
      </c>
      <c r="AU580">
        <v>-19.52</v>
      </c>
      <c r="AV580">
        <v>-52.28</v>
      </c>
      <c r="AW580" t="s">
        <v>72</v>
      </c>
      <c r="AX580">
        <v>701</v>
      </c>
      <c r="AY580" t="s">
        <v>71</v>
      </c>
      <c r="AZ580">
        <v>-29.54</v>
      </c>
      <c r="BA580">
        <v>-61.89</v>
      </c>
      <c r="BB580" t="s">
        <v>73</v>
      </c>
    </row>
    <row r="581" spans="1:54" x14ac:dyDescent="0.4">
      <c r="A581">
        <v>790511</v>
      </c>
      <c r="D581" t="s">
        <v>54</v>
      </c>
      <c r="G581">
        <v>1</v>
      </c>
      <c r="H581" t="s">
        <v>56</v>
      </c>
      <c r="I581" t="s">
        <v>57</v>
      </c>
      <c r="K581" t="s">
        <v>102</v>
      </c>
      <c r="L581" t="s">
        <v>273</v>
      </c>
      <c r="M581" t="s">
        <v>59</v>
      </c>
      <c r="O581" t="s">
        <v>107</v>
      </c>
      <c r="P581" t="s">
        <v>259</v>
      </c>
      <c r="R581" t="s">
        <v>260</v>
      </c>
      <c r="S581" t="s">
        <v>98</v>
      </c>
      <c r="T581">
        <v>259.51</v>
      </c>
      <c r="U581">
        <v>254.14</v>
      </c>
      <c r="V581">
        <f>(T581+U581)/2</f>
        <v>256.82499999999999</v>
      </c>
      <c r="W581">
        <f>T581-U581</f>
        <v>5.3700000000000045</v>
      </c>
      <c r="X581">
        <v>24.533332999999999</v>
      </c>
      <c r="Y581">
        <v>-32.25</v>
      </c>
      <c r="Z581" t="s">
        <v>99</v>
      </c>
      <c r="AA581" t="s">
        <v>86</v>
      </c>
      <c r="AB581" t="s">
        <v>87</v>
      </c>
      <c r="AD581" t="s">
        <v>746</v>
      </c>
      <c r="AE581" t="s">
        <v>90</v>
      </c>
      <c r="AG581" t="s">
        <v>623</v>
      </c>
      <c r="AH581" t="s">
        <v>65</v>
      </c>
      <c r="AI581" t="s">
        <v>747</v>
      </c>
      <c r="AJ581">
        <v>1997</v>
      </c>
      <c r="AK581" t="s">
        <v>748</v>
      </c>
      <c r="AN581" t="s">
        <v>94</v>
      </c>
      <c r="AO581" t="s">
        <v>106</v>
      </c>
      <c r="AP581" t="s">
        <v>134</v>
      </c>
      <c r="AQ581" t="s">
        <v>749</v>
      </c>
      <c r="AR581" t="s">
        <v>70</v>
      </c>
      <c r="AS581">
        <v>701</v>
      </c>
      <c r="AT581" t="s">
        <v>71</v>
      </c>
      <c r="AU581">
        <v>-19.52</v>
      </c>
      <c r="AV581">
        <v>-52.28</v>
      </c>
      <c r="AW581" t="s">
        <v>72</v>
      </c>
      <c r="AX581">
        <v>701</v>
      </c>
      <c r="AY581" t="s">
        <v>71</v>
      </c>
      <c r="AZ581">
        <v>-29.54</v>
      </c>
      <c r="BA581">
        <v>-61.89</v>
      </c>
      <c r="BB581" t="s">
        <v>73</v>
      </c>
    </row>
    <row r="582" spans="1:54" x14ac:dyDescent="0.4">
      <c r="A582">
        <v>790511</v>
      </c>
      <c r="D582" t="s">
        <v>54</v>
      </c>
      <c r="G582">
        <v>1</v>
      </c>
      <c r="H582" t="s">
        <v>56</v>
      </c>
      <c r="I582" t="s">
        <v>57</v>
      </c>
      <c r="K582" t="s">
        <v>102</v>
      </c>
      <c r="L582" t="s">
        <v>273</v>
      </c>
      <c r="M582" t="s">
        <v>59</v>
      </c>
      <c r="O582" t="s">
        <v>107</v>
      </c>
      <c r="P582" t="s">
        <v>259</v>
      </c>
      <c r="R582" t="s">
        <v>260</v>
      </c>
      <c r="S582" t="s">
        <v>98</v>
      </c>
      <c r="T582">
        <v>259.51</v>
      </c>
      <c r="U582">
        <v>254.14</v>
      </c>
      <c r="V582">
        <f>(T582+U582)/2</f>
        <v>256.82499999999999</v>
      </c>
      <c r="W582">
        <f>T582-U582</f>
        <v>5.3700000000000045</v>
      </c>
      <c r="X582">
        <v>24.533332999999999</v>
      </c>
      <c r="Y582">
        <v>-32.25</v>
      </c>
      <c r="Z582" t="s">
        <v>99</v>
      </c>
      <c r="AA582" t="s">
        <v>86</v>
      </c>
      <c r="AB582" t="s">
        <v>87</v>
      </c>
      <c r="AD582" t="s">
        <v>746</v>
      </c>
      <c r="AE582" t="s">
        <v>90</v>
      </c>
      <c r="AG582" t="s">
        <v>623</v>
      </c>
      <c r="AH582" t="s">
        <v>65</v>
      </c>
      <c r="AI582" t="s">
        <v>747</v>
      </c>
      <c r="AJ582">
        <v>1997</v>
      </c>
      <c r="AK582" t="s">
        <v>748</v>
      </c>
      <c r="AN582" t="s">
        <v>94</v>
      </c>
      <c r="AO582" t="s">
        <v>106</v>
      </c>
      <c r="AP582" t="s">
        <v>134</v>
      </c>
      <c r="AQ582" t="s">
        <v>749</v>
      </c>
      <c r="AR582" t="s">
        <v>70</v>
      </c>
      <c r="AS582">
        <v>701</v>
      </c>
      <c r="AT582" t="s">
        <v>71</v>
      </c>
      <c r="AU582">
        <v>-19.52</v>
      </c>
      <c r="AV582">
        <v>-52.28</v>
      </c>
      <c r="AW582" t="s">
        <v>72</v>
      </c>
      <c r="AX582">
        <v>701</v>
      </c>
      <c r="AY582" t="s">
        <v>71</v>
      </c>
      <c r="AZ582">
        <v>-29.54</v>
      </c>
      <c r="BA582">
        <v>-61.89</v>
      </c>
      <c r="BB582" t="s">
        <v>73</v>
      </c>
    </row>
    <row r="583" spans="1:54" x14ac:dyDescent="0.4">
      <c r="A583">
        <v>790511</v>
      </c>
      <c r="D583" t="s">
        <v>54</v>
      </c>
      <c r="G583">
        <v>1</v>
      </c>
      <c r="H583" t="s">
        <v>56</v>
      </c>
      <c r="I583" t="s">
        <v>57</v>
      </c>
      <c r="K583" t="s">
        <v>102</v>
      </c>
      <c r="L583" t="s">
        <v>273</v>
      </c>
      <c r="M583" t="s">
        <v>59</v>
      </c>
      <c r="O583" t="s">
        <v>107</v>
      </c>
      <c r="P583" t="s">
        <v>259</v>
      </c>
      <c r="R583" t="s">
        <v>260</v>
      </c>
      <c r="S583" t="s">
        <v>98</v>
      </c>
      <c r="T583">
        <v>259.51</v>
      </c>
      <c r="U583">
        <v>254.14</v>
      </c>
      <c r="V583">
        <f>(T583+U583)/2</f>
        <v>256.82499999999999</v>
      </c>
      <c r="W583">
        <f>T583-U583</f>
        <v>5.3700000000000045</v>
      </c>
      <c r="X583">
        <v>24.533332999999999</v>
      </c>
      <c r="Y583">
        <v>-32.25</v>
      </c>
      <c r="Z583" t="s">
        <v>99</v>
      </c>
      <c r="AA583" t="s">
        <v>86</v>
      </c>
      <c r="AB583" t="s">
        <v>87</v>
      </c>
      <c r="AD583" t="s">
        <v>746</v>
      </c>
      <c r="AE583" t="s">
        <v>90</v>
      </c>
      <c r="AG583" t="s">
        <v>623</v>
      </c>
      <c r="AH583" t="s">
        <v>65</v>
      </c>
      <c r="AI583" t="s">
        <v>747</v>
      </c>
      <c r="AJ583">
        <v>1997</v>
      </c>
      <c r="AK583" t="s">
        <v>748</v>
      </c>
      <c r="AN583" t="s">
        <v>94</v>
      </c>
      <c r="AO583" t="s">
        <v>106</v>
      </c>
      <c r="AP583" t="s">
        <v>134</v>
      </c>
      <c r="AQ583" t="s">
        <v>749</v>
      </c>
      <c r="AR583" t="s">
        <v>70</v>
      </c>
      <c r="AS583">
        <v>701</v>
      </c>
      <c r="AT583" t="s">
        <v>71</v>
      </c>
      <c r="AU583">
        <v>-19.52</v>
      </c>
      <c r="AV583">
        <v>-52.28</v>
      </c>
      <c r="AW583" t="s">
        <v>72</v>
      </c>
      <c r="AX583">
        <v>701</v>
      </c>
      <c r="AY583" t="s">
        <v>71</v>
      </c>
      <c r="AZ583">
        <v>-29.54</v>
      </c>
      <c r="BA583">
        <v>-61.89</v>
      </c>
      <c r="BB583" t="s">
        <v>73</v>
      </c>
    </row>
    <row r="584" spans="1:54" x14ac:dyDescent="0.4">
      <c r="A584">
        <v>790511</v>
      </c>
      <c r="D584" t="s">
        <v>54</v>
      </c>
      <c r="G584">
        <v>1</v>
      </c>
      <c r="H584" t="s">
        <v>56</v>
      </c>
      <c r="I584" t="s">
        <v>57</v>
      </c>
      <c r="K584" t="s">
        <v>102</v>
      </c>
      <c r="L584" t="s">
        <v>273</v>
      </c>
      <c r="M584" t="s">
        <v>59</v>
      </c>
      <c r="O584" t="s">
        <v>107</v>
      </c>
      <c r="P584" t="s">
        <v>259</v>
      </c>
      <c r="R584" t="s">
        <v>260</v>
      </c>
      <c r="S584" t="s">
        <v>98</v>
      </c>
      <c r="T584">
        <v>259.51</v>
      </c>
      <c r="U584">
        <v>254.14</v>
      </c>
      <c r="V584">
        <f>(T584+U584)/2</f>
        <v>256.82499999999999</v>
      </c>
      <c r="W584">
        <f>T584-U584</f>
        <v>5.3700000000000045</v>
      </c>
      <c r="X584">
        <v>24.533332999999999</v>
      </c>
      <c r="Y584">
        <v>-32.25</v>
      </c>
      <c r="Z584" t="s">
        <v>99</v>
      </c>
      <c r="AA584" t="s">
        <v>86</v>
      </c>
      <c r="AB584" t="s">
        <v>87</v>
      </c>
      <c r="AD584" t="s">
        <v>746</v>
      </c>
      <c r="AE584" t="s">
        <v>90</v>
      </c>
      <c r="AG584" t="s">
        <v>623</v>
      </c>
      <c r="AH584" t="s">
        <v>65</v>
      </c>
      <c r="AI584" t="s">
        <v>747</v>
      </c>
      <c r="AJ584">
        <v>1997</v>
      </c>
      <c r="AK584" t="s">
        <v>748</v>
      </c>
      <c r="AN584" t="s">
        <v>94</v>
      </c>
      <c r="AO584" t="s">
        <v>106</v>
      </c>
      <c r="AP584" t="s">
        <v>134</v>
      </c>
      <c r="AQ584" t="s">
        <v>749</v>
      </c>
      <c r="AR584" t="s">
        <v>70</v>
      </c>
      <c r="AS584">
        <v>701</v>
      </c>
      <c r="AT584" t="s">
        <v>71</v>
      </c>
      <c r="AU584">
        <v>-19.52</v>
      </c>
      <c r="AV584">
        <v>-52.28</v>
      </c>
      <c r="AW584" t="s">
        <v>72</v>
      </c>
      <c r="AX584">
        <v>701</v>
      </c>
      <c r="AY584" t="s">
        <v>71</v>
      </c>
      <c r="AZ584">
        <v>-29.54</v>
      </c>
      <c r="BA584">
        <v>-61.89</v>
      </c>
      <c r="BB584" t="s">
        <v>73</v>
      </c>
    </row>
    <row r="585" spans="1:54" x14ac:dyDescent="0.4">
      <c r="A585">
        <v>791882</v>
      </c>
      <c r="D585" t="s">
        <v>54</v>
      </c>
      <c r="G585">
        <v>1</v>
      </c>
      <c r="H585" t="s">
        <v>56</v>
      </c>
      <c r="I585" t="s">
        <v>57</v>
      </c>
      <c r="K585" t="s">
        <v>102</v>
      </c>
      <c r="L585" t="s">
        <v>613</v>
      </c>
      <c r="M585" t="s">
        <v>59</v>
      </c>
      <c r="O585" t="s">
        <v>107</v>
      </c>
      <c r="P585" t="s">
        <v>259</v>
      </c>
      <c r="R585" t="s">
        <v>260</v>
      </c>
      <c r="S585" t="s">
        <v>98</v>
      </c>
      <c r="T585">
        <v>259.51</v>
      </c>
      <c r="U585">
        <v>254.14</v>
      </c>
      <c r="V585">
        <f>(T585+U585)/2</f>
        <v>256.82499999999999</v>
      </c>
      <c r="W585">
        <f>T585-U585</f>
        <v>5.3700000000000045</v>
      </c>
      <c r="X585">
        <v>9.9533330000000007</v>
      </c>
      <c r="Y585">
        <v>50.996665999999998</v>
      </c>
      <c r="Z585" t="s">
        <v>669</v>
      </c>
      <c r="AA585" t="s">
        <v>128</v>
      </c>
      <c r="AB585" t="s">
        <v>606</v>
      </c>
      <c r="AC585" t="s">
        <v>677</v>
      </c>
      <c r="AD585" t="s">
        <v>608</v>
      </c>
      <c r="AE585" t="s">
        <v>479</v>
      </c>
      <c r="AF585" t="s">
        <v>672</v>
      </c>
      <c r="AH585" t="s">
        <v>65</v>
      </c>
      <c r="AI585" t="s">
        <v>678</v>
      </c>
      <c r="AJ585">
        <v>1976</v>
      </c>
      <c r="AK585" t="s">
        <v>682</v>
      </c>
      <c r="AM585" t="s">
        <v>683</v>
      </c>
      <c r="AN585" t="s">
        <v>121</v>
      </c>
      <c r="AO585" t="s">
        <v>68</v>
      </c>
      <c r="AP585" t="s">
        <v>314</v>
      </c>
      <c r="AQ585" t="s">
        <v>684</v>
      </c>
      <c r="AR585" t="s">
        <v>70</v>
      </c>
      <c r="AS585">
        <v>315</v>
      </c>
      <c r="AT585" t="s">
        <v>71</v>
      </c>
      <c r="AU585">
        <v>29.34</v>
      </c>
      <c r="AV585">
        <v>25.09</v>
      </c>
      <c r="AW585" t="s">
        <v>72</v>
      </c>
      <c r="AX585">
        <v>315</v>
      </c>
      <c r="AY585" t="s">
        <v>71</v>
      </c>
      <c r="AZ585">
        <v>22.84</v>
      </c>
      <c r="BA585">
        <v>15.67</v>
      </c>
      <c r="BB585" t="s">
        <v>73</v>
      </c>
    </row>
    <row r="586" spans="1:54" x14ac:dyDescent="0.4">
      <c r="A586">
        <v>791885</v>
      </c>
      <c r="D586" t="s">
        <v>54</v>
      </c>
      <c r="E586" t="s">
        <v>153</v>
      </c>
      <c r="G586">
        <v>1</v>
      </c>
      <c r="H586" t="s">
        <v>56</v>
      </c>
      <c r="I586" t="s">
        <v>57</v>
      </c>
      <c r="K586" t="s">
        <v>102</v>
      </c>
      <c r="L586" t="s">
        <v>613</v>
      </c>
      <c r="M586" t="s">
        <v>59</v>
      </c>
      <c r="O586" t="s">
        <v>107</v>
      </c>
      <c r="P586" t="s">
        <v>259</v>
      </c>
      <c r="R586" t="s">
        <v>260</v>
      </c>
      <c r="S586" t="s">
        <v>98</v>
      </c>
      <c r="T586">
        <v>259.51</v>
      </c>
      <c r="U586">
        <v>254.14</v>
      </c>
      <c r="V586">
        <f>(T586+U586)/2</f>
        <v>256.82499999999999</v>
      </c>
      <c r="W586">
        <f>T586-U586</f>
        <v>5.3700000000000045</v>
      </c>
      <c r="X586">
        <v>9.9311109999999996</v>
      </c>
      <c r="Y586">
        <v>50.991390000000003</v>
      </c>
      <c r="Z586" t="s">
        <v>669</v>
      </c>
      <c r="AA586" t="s">
        <v>128</v>
      </c>
      <c r="AB586" t="s">
        <v>606</v>
      </c>
      <c r="AC586" t="s">
        <v>677</v>
      </c>
      <c r="AD586" t="s">
        <v>608</v>
      </c>
      <c r="AE586" t="s">
        <v>479</v>
      </c>
      <c r="AF586" t="s">
        <v>672</v>
      </c>
      <c r="AH586" t="s">
        <v>65</v>
      </c>
      <c r="AI586" t="s">
        <v>737</v>
      </c>
      <c r="AJ586">
        <v>2008</v>
      </c>
      <c r="AK586" t="s">
        <v>750</v>
      </c>
      <c r="AM586" t="s">
        <v>751</v>
      </c>
      <c r="AN586" t="s">
        <v>67</v>
      </c>
      <c r="AO586" t="s">
        <v>68</v>
      </c>
      <c r="AP586" t="s">
        <v>95</v>
      </c>
      <c r="AQ586" t="s">
        <v>752</v>
      </c>
      <c r="AR586" t="s">
        <v>70</v>
      </c>
      <c r="AS586">
        <v>315</v>
      </c>
      <c r="AT586" t="s">
        <v>71</v>
      </c>
      <c r="AU586">
        <v>29.22</v>
      </c>
      <c r="AV586">
        <v>24.4</v>
      </c>
      <c r="AW586" t="s">
        <v>72</v>
      </c>
      <c r="AX586">
        <v>315</v>
      </c>
      <c r="AY586" t="s">
        <v>71</v>
      </c>
      <c r="AZ586">
        <v>22.96</v>
      </c>
      <c r="BA586">
        <v>15.51</v>
      </c>
      <c r="BB586" t="s">
        <v>73</v>
      </c>
    </row>
    <row r="587" spans="1:54" x14ac:dyDescent="0.4">
      <c r="A587">
        <v>791945</v>
      </c>
      <c r="D587" t="s">
        <v>54</v>
      </c>
      <c r="E587" t="s">
        <v>153</v>
      </c>
      <c r="G587">
        <v>1</v>
      </c>
      <c r="H587" t="s">
        <v>56</v>
      </c>
      <c r="I587" t="s">
        <v>57</v>
      </c>
      <c r="K587" t="s">
        <v>102</v>
      </c>
      <c r="L587" t="s">
        <v>605</v>
      </c>
      <c r="M587" t="s">
        <v>59</v>
      </c>
      <c r="P587" t="s">
        <v>259</v>
      </c>
      <c r="R587" t="s">
        <v>260</v>
      </c>
      <c r="S587" t="s">
        <v>98</v>
      </c>
      <c r="T587">
        <v>259.51</v>
      </c>
      <c r="U587">
        <v>254.14</v>
      </c>
      <c r="V587">
        <f>(T587+U587)/2</f>
        <v>256.82499999999999</v>
      </c>
      <c r="W587">
        <f>T587-U587</f>
        <v>5.3700000000000045</v>
      </c>
      <c r="X587">
        <v>9.9311109999999996</v>
      </c>
      <c r="Y587">
        <v>50.991390000000003</v>
      </c>
      <c r="Z587" t="s">
        <v>669</v>
      </c>
      <c r="AA587" t="s">
        <v>128</v>
      </c>
      <c r="AB587" t="s">
        <v>606</v>
      </c>
      <c r="AC587" t="s">
        <v>677</v>
      </c>
      <c r="AD587" t="s">
        <v>608</v>
      </c>
      <c r="AE587" t="s">
        <v>479</v>
      </c>
      <c r="AF587" t="s">
        <v>672</v>
      </c>
      <c r="AH587" t="s">
        <v>65</v>
      </c>
      <c r="AI587" t="s">
        <v>753</v>
      </c>
      <c r="AJ587">
        <v>1993</v>
      </c>
      <c r="AK587" t="s">
        <v>750</v>
      </c>
      <c r="AM587" t="s">
        <v>751</v>
      </c>
      <c r="AN587" t="s">
        <v>67</v>
      </c>
      <c r="AO587" t="s">
        <v>68</v>
      </c>
      <c r="AP587" t="s">
        <v>95</v>
      </c>
      <c r="AQ587" t="s">
        <v>752</v>
      </c>
      <c r="AR587" t="s">
        <v>70</v>
      </c>
      <c r="AS587">
        <v>315</v>
      </c>
      <c r="AT587" t="s">
        <v>71</v>
      </c>
      <c r="AU587">
        <v>29.22</v>
      </c>
      <c r="AV587">
        <v>24.4</v>
      </c>
      <c r="AW587" t="s">
        <v>72</v>
      </c>
      <c r="AX587">
        <v>315</v>
      </c>
      <c r="AY587" t="s">
        <v>71</v>
      </c>
      <c r="AZ587">
        <v>22.96</v>
      </c>
      <c r="BA587">
        <v>15.51</v>
      </c>
      <c r="BB587" t="s">
        <v>73</v>
      </c>
    </row>
    <row r="588" spans="1:54" x14ac:dyDescent="0.4">
      <c r="A588">
        <v>792227</v>
      </c>
      <c r="D588" t="s">
        <v>54</v>
      </c>
      <c r="G588">
        <v>1</v>
      </c>
      <c r="H588" t="s">
        <v>56</v>
      </c>
      <c r="I588" t="s">
        <v>57</v>
      </c>
      <c r="K588" t="s">
        <v>102</v>
      </c>
      <c r="L588" t="s">
        <v>712</v>
      </c>
      <c r="M588" t="s">
        <v>59</v>
      </c>
      <c r="N588" t="s">
        <v>60</v>
      </c>
      <c r="P588" t="s">
        <v>259</v>
      </c>
      <c r="R588" t="s">
        <v>260</v>
      </c>
      <c r="S588" t="s">
        <v>98</v>
      </c>
      <c r="T588">
        <v>259.51</v>
      </c>
      <c r="U588">
        <v>254.14</v>
      </c>
      <c r="V588">
        <f>(T588+U588)/2</f>
        <v>256.82499999999999</v>
      </c>
      <c r="W588">
        <f>T588-U588</f>
        <v>5.3700000000000045</v>
      </c>
      <c r="X588">
        <v>11.516667</v>
      </c>
      <c r="Y588">
        <v>51.516666000000001</v>
      </c>
      <c r="Z588" t="s">
        <v>669</v>
      </c>
      <c r="AA588" t="s">
        <v>128</v>
      </c>
      <c r="AB588" t="s">
        <v>670</v>
      </c>
      <c r="AC588" t="s">
        <v>671</v>
      </c>
      <c r="AD588" t="s">
        <v>608</v>
      </c>
      <c r="AE588" t="s">
        <v>479</v>
      </c>
      <c r="AF588" t="s">
        <v>672</v>
      </c>
      <c r="AH588" t="s">
        <v>11</v>
      </c>
      <c r="AI588" t="s">
        <v>754</v>
      </c>
      <c r="AJ588">
        <v>2007</v>
      </c>
      <c r="AK588" t="s">
        <v>674</v>
      </c>
      <c r="AM588" t="s">
        <v>675</v>
      </c>
      <c r="AN588" t="s">
        <v>94</v>
      </c>
      <c r="AO588" t="s">
        <v>106</v>
      </c>
      <c r="AP588" t="s">
        <v>182</v>
      </c>
      <c r="AQ588" t="s">
        <v>676</v>
      </c>
      <c r="AR588" t="s">
        <v>70</v>
      </c>
      <c r="AS588">
        <v>315</v>
      </c>
      <c r="AT588" t="s">
        <v>71</v>
      </c>
      <c r="AU588">
        <v>30.18</v>
      </c>
      <c r="AV588">
        <v>25.11</v>
      </c>
      <c r="AW588" t="s">
        <v>72</v>
      </c>
      <c r="AX588">
        <v>315</v>
      </c>
      <c r="AY588" t="s">
        <v>71</v>
      </c>
      <c r="AZ588">
        <v>23.79</v>
      </c>
      <c r="BA588">
        <v>16.3</v>
      </c>
      <c r="BB588" t="s">
        <v>73</v>
      </c>
    </row>
    <row r="589" spans="1:54" x14ac:dyDescent="0.4">
      <c r="A589">
        <v>794729</v>
      </c>
      <c r="D589" t="s">
        <v>54</v>
      </c>
      <c r="E589" t="s">
        <v>55</v>
      </c>
      <c r="G589">
        <v>1</v>
      </c>
      <c r="H589" t="s">
        <v>56</v>
      </c>
      <c r="I589" t="s">
        <v>57</v>
      </c>
      <c r="K589" t="s">
        <v>102</v>
      </c>
      <c r="L589" t="s">
        <v>273</v>
      </c>
      <c r="M589" t="s">
        <v>59</v>
      </c>
      <c r="O589" t="s">
        <v>107</v>
      </c>
      <c r="P589" t="s">
        <v>259</v>
      </c>
      <c r="R589" t="s">
        <v>260</v>
      </c>
      <c r="S589" t="s">
        <v>98</v>
      </c>
      <c r="T589">
        <v>259.51</v>
      </c>
      <c r="U589">
        <v>254.14</v>
      </c>
      <c r="V589">
        <f>(T589+U589)/2</f>
        <v>256.82499999999999</v>
      </c>
      <c r="W589">
        <f>T589-U589</f>
        <v>5.3700000000000045</v>
      </c>
      <c r="X589">
        <v>33.166668000000001</v>
      </c>
      <c r="Y589">
        <v>-10.833333</v>
      </c>
      <c r="Z589" t="s">
        <v>99</v>
      </c>
      <c r="AA589" t="s">
        <v>619</v>
      </c>
      <c r="AB589" t="s">
        <v>620</v>
      </c>
      <c r="AC589" t="s">
        <v>621</v>
      </c>
      <c r="AD589" t="s">
        <v>622</v>
      </c>
      <c r="AE589" t="s">
        <v>90</v>
      </c>
      <c r="AG589" t="s">
        <v>623</v>
      </c>
      <c r="AH589" t="s">
        <v>65</v>
      </c>
      <c r="AI589" t="s">
        <v>747</v>
      </c>
      <c r="AJ589">
        <v>1997</v>
      </c>
      <c r="AK589" t="s">
        <v>804</v>
      </c>
      <c r="AN589" t="s">
        <v>121</v>
      </c>
      <c r="AO589" t="s">
        <v>106</v>
      </c>
      <c r="AP589" t="s">
        <v>95</v>
      </c>
      <c r="AQ589" t="s">
        <v>805</v>
      </c>
      <c r="AR589" t="s">
        <v>70</v>
      </c>
      <c r="AS589">
        <v>701</v>
      </c>
      <c r="AT589" t="s">
        <v>71</v>
      </c>
      <c r="AU589">
        <v>13.31</v>
      </c>
      <c r="AV589">
        <v>-44.62</v>
      </c>
      <c r="AW589" t="s">
        <v>72</v>
      </c>
      <c r="AX589">
        <v>701</v>
      </c>
      <c r="AY589" t="s">
        <v>71</v>
      </c>
      <c r="AZ589">
        <v>12.37</v>
      </c>
      <c r="BA589">
        <v>-54.45</v>
      </c>
      <c r="BB589" t="s">
        <v>73</v>
      </c>
    </row>
    <row r="590" spans="1:54" x14ac:dyDescent="0.4">
      <c r="A590">
        <v>799563</v>
      </c>
      <c r="D590" t="s">
        <v>376</v>
      </c>
      <c r="G590">
        <v>1</v>
      </c>
      <c r="H590" t="s">
        <v>56</v>
      </c>
      <c r="I590" t="s">
        <v>57</v>
      </c>
      <c r="K590" t="s">
        <v>102</v>
      </c>
      <c r="L590" t="s">
        <v>850</v>
      </c>
      <c r="M590" t="s">
        <v>59</v>
      </c>
      <c r="P590" t="s">
        <v>259</v>
      </c>
      <c r="R590" t="s">
        <v>260</v>
      </c>
      <c r="S590" t="s">
        <v>98</v>
      </c>
      <c r="T590">
        <v>259.51</v>
      </c>
      <c r="U590">
        <v>254.14</v>
      </c>
      <c r="V590">
        <f>(T590+U590)/2</f>
        <v>256.82499999999999</v>
      </c>
      <c r="W590">
        <f>T590-U590</f>
        <v>5.3700000000000045</v>
      </c>
      <c r="X590">
        <v>-1.621111</v>
      </c>
      <c r="Y590">
        <v>54.622222999999998</v>
      </c>
      <c r="Z590" t="s">
        <v>428</v>
      </c>
      <c r="AA590" t="s">
        <v>78</v>
      </c>
      <c r="AB590" t="s">
        <v>79</v>
      </c>
      <c r="AC590" t="s">
        <v>851</v>
      </c>
      <c r="AD590" t="s">
        <v>478</v>
      </c>
      <c r="AE590" t="s">
        <v>479</v>
      </c>
      <c r="AH590" t="s">
        <v>65</v>
      </c>
      <c r="AI590" t="s">
        <v>349</v>
      </c>
      <c r="AJ590">
        <v>1988</v>
      </c>
      <c r="AK590" t="s">
        <v>852</v>
      </c>
      <c r="AM590" t="s">
        <v>853</v>
      </c>
      <c r="AN590" t="s">
        <v>67</v>
      </c>
      <c r="AO590" t="s">
        <v>68</v>
      </c>
      <c r="AP590" t="s">
        <v>314</v>
      </c>
      <c r="AQ590" t="s">
        <v>854</v>
      </c>
      <c r="AR590" t="s">
        <v>70</v>
      </c>
      <c r="AS590">
        <v>315</v>
      </c>
      <c r="AT590" t="s">
        <v>71</v>
      </c>
      <c r="AU590">
        <v>20.99</v>
      </c>
      <c r="AV590">
        <v>27</v>
      </c>
      <c r="AW590" t="s">
        <v>72</v>
      </c>
      <c r="AX590">
        <v>315</v>
      </c>
      <c r="AY590" t="s">
        <v>71</v>
      </c>
      <c r="AZ590">
        <v>15.02</v>
      </c>
      <c r="BA590">
        <v>17.48</v>
      </c>
      <c r="BB590" t="s">
        <v>73</v>
      </c>
    </row>
    <row r="591" spans="1:54" x14ac:dyDescent="0.4">
      <c r="A591">
        <v>808154</v>
      </c>
      <c r="D591" t="s">
        <v>566</v>
      </c>
      <c r="G591">
        <v>1</v>
      </c>
      <c r="H591" t="s">
        <v>56</v>
      </c>
      <c r="I591" t="s">
        <v>57</v>
      </c>
      <c r="K591" t="s">
        <v>690</v>
      </c>
      <c r="L591" t="s">
        <v>895</v>
      </c>
      <c r="M591" t="s">
        <v>59</v>
      </c>
      <c r="P591" t="s">
        <v>259</v>
      </c>
      <c r="R591" t="s">
        <v>260</v>
      </c>
      <c r="S591" t="s">
        <v>98</v>
      </c>
      <c r="T591">
        <v>259.51</v>
      </c>
      <c r="U591">
        <v>254.14</v>
      </c>
      <c r="V591">
        <f>(T591+U591)/2</f>
        <v>256.82499999999999</v>
      </c>
      <c r="W591">
        <f>T591-U591</f>
        <v>5.3700000000000045</v>
      </c>
      <c r="X591">
        <v>22.4</v>
      </c>
      <c r="Y591">
        <v>-31.924999</v>
      </c>
      <c r="Z591" t="s">
        <v>372</v>
      </c>
      <c r="AA591" t="s">
        <v>86</v>
      </c>
      <c r="AB591" t="s">
        <v>170</v>
      </c>
      <c r="AC591" t="s">
        <v>171</v>
      </c>
      <c r="AD591" t="s">
        <v>575</v>
      </c>
      <c r="AE591" t="s">
        <v>90</v>
      </c>
      <c r="AF591" t="s">
        <v>589</v>
      </c>
      <c r="AG591" t="s">
        <v>590</v>
      </c>
      <c r="AH591" t="s">
        <v>65</v>
      </c>
      <c r="AI591" t="s">
        <v>901</v>
      </c>
      <c r="AJ591">
        <v>1995</v>
      </c>
      <c r="AK591" t="s">
        <v>592</v>
      </c>
      <c r="AM591" t="s">
        <v>593</v>
      </c>
      <c r="AN591" t="s">
        <v>177</v>
      </c>
      <c r="AO591" t="s">
        <v>68</v>
      </c>
      <c r="AP591" t="s">
        <v>95</v>
      </c>
      <c r="AQ591" t="s">
        <v>594</v>
      </c>
      <c r="AR591" t="s">
        <v>70</v>
      </c>
      <c r="AS591">
        <v>701</v>
      </c>
      <c r="AT591" t="s">
        <v>71</v>
      </c>
      <c r="AU591">
        <v>-20.47</v>
      </c>
      <c r="AV591">
        <v>-50.54</v>
      </c>
      <c r="AW591" t="s">
        <v>72</v>
      </c>
      <c r="AX591">
        <v>701</v>
      </c>
      <c r="AY591" t="s">
        <v>71</v>
      </c>
      <c r="AZ591">
        <v>-30.33</v>
      </c>
      <c r="BA591">
        <v>-60.09</v>
      </c>
      <c r="BB591" t="s">
        <v>73</v>
      </c>
    </row>
    <row r="592" spans="1:54" x14ac:dyDescent="0.4">
      <c r="A592">
        <v>808154</v>
      </c>
      <c r="D592" t="s">
        <v>566</v>
      </c>
      <c r="G592">
        <v>1</v>
      </c>
      <c r="H592" t="s">
        <v>56</v>
      </c>
      <c r="I592" t="s">
        <v>57</v>
      </c>
      <c r="K592" t="s">
        <v>690</v>
      </c>
      <c r="L592" t="s">
        <v>895</v>
      </c>
      <c r="M592" t="s">
        <v>59</v>
      </c>
      <c r="P592" t="s">
        <v>259</v>
      </c>
      <c r="R592" t="s">
        <v>260</v>
      </c>
      <c r="S592" t="s">
        <v>98</v>
      </c>
      <c r="T592">
        <v>259.51</v>
      </c>
      <c r="U592">
        <v>254.14</v>
      </c>
      <c r="V592">
        <f>(T592+U592)/2</f>
        <v>256.82499999999999</v>
      </c>
      <c r="W592">
        <f>T592-U592</f>
        <v>5.3700000000000045</v>
      </c>
      <c r="X592">
        <v>22.4</v>
      </c>
      <c r="Y592">
        <v>-31.924999</v>
      </c>
      <c r="Z592" t="s">
        <v>372</v>
      </c>
      <c r="AA592" t="s">
        <v>86</v>
      </c>
      <c r="AB592" t="s">
        <v>170</v>
      </c>
      <c r="AC592" t="s">
        <v>171</v>
      </c>
      <c r="AD592" t="s">
        <v>575</v>
      </c>
      <c r="AE592" t="s">
        <v>90</v>
      </c>
      <c r="AF592" t="s">
        <v>589</v>
      </c>
      <c r="AG592" t="s">
        <v>590</v>
      </c>
      <c r="AH592" t="s">
        <v>65</v>
      </c>
      <c r="AI592" t="s">
        <v>901</v>
      </c>
      <c r="AJ592">
        <v>1995</v>
      </c>
      <c r="AK592" t="s">
        <v>592</v>
      </c>
      <c r="AM592" t="s">
        <v>593</v>
      </c>
      <c r="AN592" t="s">
        <v>177</v>
      </c>
      <c r="AO592" t="s">
        <v>68</v>
      </c>
      <c r="AP592" t="s">
        <v>95</v>
      </c>
      <c r="AQ592" t="s">
        <v>594</v>
      </c>
      <c r="AR592" t="s">
        <v>70</v>
      </c>
      <c r="AS592">
        <v>701</v>
      </c>
      <c r="AT592" t="s">
        <v>71</v>
      </c>
      <c r="AU592">
        <v>-20.47</v>
      </c>
      <c r="AV592">
        <v>-50.54</v>
      </c>
      <c r="AW592" t="s">
        <v>72</v>
      </c>
      <c r="AX592">
        <v>701</v>
      </c>
      <c r="AY592" t="s">
        <v>71</v>
      </c>
      <c r="AZ592">
        <v>-30.33</v>
      </c>
      <c r="BA592">
        <v>-60.09</v>
      </c>
      <c r="BB592" t="s">
        <v>73</v>
      </c>
    </row>
    <row r="593" spans="1:54" x14ac:dyDescent="0.4">
      <c r="A593">
        <v>808154</v>
      </c>
      <c r="D593" t="s">
        <v>566</v>
      </c>
      <c r="G593">
        <v>1</v>
      </c>
      <c r="H593" t="s">
        <v>56</v>
      </c>
      <c r="I593" t="s">
        <v>57</v>
      </c>
      <c r="K593" t="s">
        <v>690</v>
      </c>
      <c r="L593" t="s">
        <v>895</v>
      </c>
      <c r="M593" t="s">
        <v>59</v>
      </c>
      <c r="P593" t="s">
        <v>259</v>
      </c>
      <c r="R593" t="s">
        <v>260</v>
      </c>
      <c r="S593" t="s">
        <v>98</v>
      </c>
      <c r="T593">
        <v>259.51</v>
      </c>
      <c r="U593">
        <v>254.14</v>
      </c>
      <c r="V593">
        <f>(T593+U593)/2</f>
        <v>256.82499999999999</v>
      </c>
      <c r="W593">
        <f>T593-U593</f>
        <v>5.3700000000000045</v>
      </c>
      <c r="X593">
        <v>22.4</v>
      </c>
      <c r="Y593">
        <v>-31.924999</v>
      </c>
      <c r="Z593" t="s">
        <v>372</v>
      </c>
      <c r="AA593" t="s">
        <v>86</v>
      </c>
      <c r="AB593" t="s">
        <v>170</v>
      </c>
      <c r="AC593" t="s">
        <v>171</v>
      </c>
      <c r="AD593" t="s">
        <v>575</v>
      </c>
      <c r="AE593" t="s">
        <v>90</v>
      </c>
      <c r="AF593" t="s">
        <v>589</v>
      </c>
      <c r="AG593" t="s">
        <v>590</v>
      </c>
      <c r="AH593" t="s">
        <v>65</v>
      </c>
      <c r="AI593" t="s">
        <v>901</v>
      </c>
      <c r="AJ593">
        <v>1995</v>
      </c>
      <c r="AK593" t="s">
        <v>592</v>
      </c>
      <c r="AM593" t="s">
        <v>593</v>
      </c>
      <c r="AN593" t="s">
        <v>177</v>
      </c>
      <c r="AO593" t="s">
        <v>68</v>
      </c>
      <c r="AP593" t="s">
        <v>95</v>
      </c>
      <c r="AQ593" t="s">
        <v>594</v>
      </c>
      <c r="AR593" t="s">
        <v>70</v>
      </c>
      <c r="AS593">
        <v>701</v>
      </c>
      <c r="AT593" t="s">
        <v>71</v>
      </c>
      <c r="AU593">
        <v>-20.47</v>
      </c>
      <c r="AV593">
        <v>-50.54</v>
      </c>
      <c r="AW593" t="s">
        <v>72</v>
      </c>
      <c r="AX593">
        <v>701</v>
      </c>
      <c r="AY593" t="s">
        <v>71</v>
      </c>
      <c r="AZ593">
        <v>-30.33</v>
      </c>
      <c r="BA593">
        <v>-60.09</v>
      </c>
      <c r="BB593" t="s">
        <v>73</v>
      </c>
    </row>
    <row r="594" spans="1:54" x14ac:dyDescent="0.4">
      <c r="A594">
        <v>808154</v>
      </c>
      <c r="D594" t="s">
        <v>566</v>
      </c>
      <c r="G594">
        <v>1</v>
      </c>
      <c r="H594" t="s">
        <v>56</v>
      </c>
      <c r="I594" t="s">
        <v>57</v>
      </c>
      <c r="K594" t="s">
        <v>690</v>
      </c>
      <c r="L594" t="s">
        <v>895</v>
      </c>
      <c r="M594" t="s">
        <v>59</v>
      </c>
      <c r="P594" t="s">
        <v>259</v>
      </c>
      <c r="R594" t="s">
        <v>260</v>
      </c>
      <c r="S594" t="s">
        <v>98</v>
      </c>
      <c r="T594">
        <v>259.51</v>
      </c>
      <c r="U594">
        <v>254.14</v>
      </c>
      <c r="V594">
        <f>(T594+U594)/2</f>
        <v>256.82499999999999</v>
      </c>
      <c r="W594">
        <f>T594-U594</f>
        <v>5.3700000000000045</v>
      </c>
      <c r="X594">
        <v>22.4</v>
      </c>
      <c r="Y594">
        <v>-31.924999</v>
      </c>
      <c r="Z594" t="s">
        <v>372</v>
      </c>
      <c r="AA594" t="s">
        <v>86</v>
      </c>
      <c r="AB594" t="s">
        <v>170</v>
      </c>
      <c r="AC594" t="s">
        <v>171</v>
      </c>
      <c r="AD594" t="s">
        <v>575</v>
      </c>
      <c r="AE594" t="s">
        <v>90</v>
      </c>
      <c r="AF594" t="s">
        <v>589</v>
      </c>
      <c r="AG594" t="s">
        <v>590</v>
      </c>
      <c r="AH594" t="s">
        <v>65</v>
      </c>
      <c r="AI594" t="s">
        <v>901</v>
      </c>
      <c r="AJ594">
        <v>1995</v>
      </c>
      <c r="AK594" t="s">
        <v>592</v>
      </c>
      <c r="AM594" t="s">
        <v>593</v>
      </c>
      <c r="AN594" t="s">
        <v>177</v>
      </c>
      <c r="AO594" t="s">
        <v>68</v>
      </c>
      <c r="AP594" t="s">
        <v>95</v>
      </c>
      <c r="AQ594" t="s">
        <v>594</v>
      </c>
      <c r="AR594" t="s">
        <v>70</v>
      </c>
      <c r="AS594">
        <v>701</v>
      </c>
      <c r="AT594" t="s">
        <v>71</v>
      </c>
      <c r="AU594">
        <v>-20.47</v>
      </c>
      <c r="AV594">
        <v>-50.54</v>
      </c>
      <c r="AW594" t="s">
        <v>72</v>
      </c>
      <c r="AX594">
        <v>701</v>
      </c>
      <c r="AY594" t="s">
        <v>71</v>
      </c>
      <c r="AZ594">
        <v>-30.33</v>
      </c>
      <c r="BA594">
        <v>-60.09</v>
      </c>
      <c r="BB594" t="s">
        <v>73</v>
      </c>
    </row>
    <row r="595" spans="1:54" x14ac:dyDescent="0.4">
      <c r="A595">
        <v>808154</v>
      </c>
      <c r="D595" t="s">
        <v>566</v>
      </c>
      <c r="G595">
        <v>1</v>
      </c>
      <c r="H595" t="s">
        <v>56</v>
      </c>
      <c r="I595" t="s">
        <v>57</v>
      </c>
      <c r="K595" t="s">
        <v>690</v>
      </c>
      <c r="L595" t="s">
        <v>895</v>
      </c>
      <c r="M595" t="s">
        <v>59</v>
      </c>
      <c r="P595" t="s">
        <v>259</v>
      </c>
      <c r="R595" t="s">
        <v>260</v>
      </c>
      <c r="S595" t="s">
        <v>98</v>
      </c>
      <c r="T595">
        <v>259.51</v>
      </c>
      <c r="U595">
        <v>254.14</v>
      </c>
      <c r="V595">
        <f>(T595+U595)/2</f>
        <v>256.82499999999999</v>
      </c>
      <c r="W595">
        <f>T595-U595</f>
        <v>5.3700000000000045</v>
      </c>
      <c r="X595">
        <v>22.4</v>
      </c>
      <c r="Y595">
        <v>-31.924999</v>
      </c>
      <c r="Z595" t="s">
        <v>372</v>
      </c>
      <c r="AA595" t="s">
        <v>86</v>
      </c>
      <c r="AB595" t="s">
        <v>170</v>
      </c>
      <c r="AC595" t="s">
        <v>171</v>
      </c>
      <c r="AD595" t="s">
        <v>575</v>
      </c>
      <c r="AE595" t="s">
        <v>90</v>
      </c>
      <c r="AF595" t="s">
        <v>589</v>
      </c>
      <c r="AG595" t="s">
        <v>590</v>
      </c>
      <c r="AH595" t="s">
        <v>65</v>
      </c>
      <c r="AI595" t="s">
        <v>901</v>
      </c>
      <c r="AJ595">
        <v>1995</v>
      </c>
      <c r="AK595" t="s">
        <v>592</v>
      </c>
      <c r="AM595" t="s">
        <v>593</v>
      </c>
      <c r="AN595" t="s">
        <v>177</v>
      </c>
      <c r="AO595" t="s">
        <v>68</v>
      </c>
      <c r="AP595" t="s">
        <v>95</v>
      </c>
      <c r="AQ595" t="s">
        <v>594</v>
      </c>
      <c r="AR595" t="s">
        <v>70</v>
      </c>
      <c r="AS595">
        <v>701</v>
      </c>
      <c r="AT595" t="s">
        <v>71</v>
      </c>
      <c r="AU595">
        <v>-20.47</v>
      </c>
      <c r="AV595">
        <v>-50.54</v>
      </c>
      <c r="AW595" t="s">
        <v>72</v>
      </c>
      <c r="AX595">
        <v>701</v>
      </c>
      <c r="AY595" t="s">
        <v>71</v>
      </c>
      <c r="AZ595">
        <v>-30.33</v>
      </c>
      <c r="BA595">
        <v>-60.09</v>
      </c>
      <c r="BB595" t="s">
        <v>73</v>
      </c>
    </row>
    <row r="596" spans="1:54" x14ac:dyDescent="0.4">
      <c r="A596">
        <v>814095</v>
      </c>
      <c r="D596" t="s">
        <v>54</v>
      </c>
      <c r="E596" t="s">
        <v>104</v>
      </c>
      <c r="G596">
        <v>1</v>
      </c>
      <c r="H596" t="s">
        <v>56</v>
      </c>
      <c r="I596" t="s">
        <v>57</v>
      </c>
      <c r="K596" t="s">
        <v>102</v>
      </c>
      <c r="L596" t="s">
        <v>964</v>
      </c>
      <c r="M596" t="s">
        <v>59</v>
      </c>
      <c r="O596" t="s">
        <v>107</v>
      </c>
      <c r="P596" t="s">
        <v>259</v>
      </c>
      <c r="R596" t="s">
        <v>260</v>
      </c>
      <c r="S596" t="s">
        <v>98</v>
      </c>
      <c r="T596">
        <v>259.51</v>
      </c>
      <c r="U596">
        <v>254.14</v>
      </c>
      <c r="V596">
        <f>(T596+U596)/2</f>
        <v>256.82499999999999</v>
      </c>
      <c r="W596">
        <f>T596-U596</f>
        <v>5.3700000000000045</v>
      </c>
      <c r="X596">
        <v>-9.0891669999999998</v>
      </c>
      <c r="Y596">
        <v>30.825831999999998</v>
      </c>
      <c r="Z596" t="s">
        <v>99</v>
      </c>
      <c r="AA596" t="s">
        <v>432</v>
      </c>
      <c r="AB596" t="s">
        <v>511</v>
      </c>
      <c r="AD596" t="s">
        <v>512</v>
      </c>
      <c r="AF596" t="s">
        <v>513</v>
      </c>
      <c r="AH596" t="s">
        <v>65</v>
      </c>
      <c r="AI596" t="s">
        <v>965</v>
      </c>
      <c r="AJ596">
        <v>2005</v>
      </c>
      <c r="AK596" t="s">
        <v>966</v>
      </c>
      <c r="AM596" t="s">
        <v>515</v>
      </c>
      <c r="AN596" t="s">
        <v>121</v>
      </c>
      <c r="AO596" t="s">
        <v>68</v>
      </c>
      <c r="AP596" t="s">
        <v>69</v>
      </c>
      <c r="AQ596" t="s">
        <v>967</v>
      </c>
      <c r="AR596" t="s">
        <v>70</v>
      </c>
      <c r="AS596">
        <v>707</v>
      </c>
      <c r="AT596" t="s">
        <v>71</v>
      </c>
      <c r="AU596">
        <v>6.04</v>
      </c>
      <c r="AV596">
        <v>13.34</v>
      </c>
      <c r="AW596" t="s">
        <v>72</v>
      </c>
      <c r="AX596">
        <v>707</v>
      </c>
      <c r="AY596" t="s">
        <v>71</v>
      </c>
      <c r="AZ596">
        <v>1.43</v>
      </c>
      <c r="BA596">
        <v>3.17</v>
      </c>
      <c r="BB596" t="s">
        <v>73</v>
      </c>
    </row>
    <row r="597" spans="1:54" x14ac:dyDescent="0.4">
      <c r="A597">
        <v>833640</v>
      </c>
      <c r="D597" t="s">
        <v>54</v>
      </c>
      <c r="I597" t="s">
        <v>57</v>
      </c>
      <c r="K597" t="s">
        <v>537</v>
      </c>
      <c r="L597" t="s">
        <v>1077</v>
      </c>
      <c r="M597" t="s">
        <v>59</v>
      </c>
      <c r="P597" t="s">
        <v>259</v>
      </c>
      <c r="R597" t="s">
        <v>260</v>
      </c>
      <c r="S597" t="s">
        <v>98</v>
      </c>
      <c r="T597">
        <v>259.51</v>
      </c>
      <c r="U597">
        <v>254.14</v>
      </c>
      <c r="V597">
        <f>(T597+U597)/2</f>
        <v>256.82499999999999</v>
      </c>
      <c r="W597">
        <f>T597-U597</f>
        <v>5.3700000000000045</v>
      </c>
      <c r="X597">
        <v>24.533332999999999</v>
      </c>
      <c r="Y597">
        <v>-32.25</v>
      </c>
      <c r="Z597" t="s">
        <v>99</v>
      </c>
      <c r="AA597" t="s">
        <v>86</v>
      </c>
      <c r="AB597" t="s">
        <v>87</v>
      </c>
      <c r="AD597" t="s">
        <v>746</v>
      </c>
      <c r="AE597" t="s">
        <v>90</v>
      </c>
      <c r="AG597" t="s">
        <v>623</v>
      </c>
      <c r="AH597" t="s">
        <v>65</v>
      </c>
      <c r="AI597" t="s">
        <v>548</v>
      </c>
      <c r="AJ597">
        <v>2002</v>
      </c>
      <c r="AK597" t="s">
        <v>748</v>
      </c>
      <c r="AN597" t="s">
        <v>94</v>
      </c>
      <c r="AO597" t="s">
        <v>106</v>
      </c>
      <c r="AP597" t="s">
        <v>134</v>
      </c>
      <c r="AQ597" t="s">
        <v>749</v>
      </c>
      <c r="AR597" t="s">
        <v>70</v>
      </c>
      <c r="AS597">
        <v>701</v>
      </c>
      <c r="AT597" t="s">
        <v>71</v>
      </c>
      <c r="AU597">
        <v>-19.52</v>
      </c>
      <c r="AV597">
        <v>-52.28</v>
      </c>
      <c r="AW597" t="s">
        <v>72</v>
      </c>
      <c r="AX597">
        <v>701</v>
      </c>
      <c r="AY597" t="s">
        <v>71</v>
      </c>
      <c r="AZ597">
        <v>-29.54</v>
      </c>
      <c r="BA597">
        <v>-61.89</v>
      </c>
      <c r="BB597" t="s">
        <v>73</v>
      </c>
    </row>
    <row r="598" spans="1:54" x14ac:dyDescent="0.4">
      <c r="A598">
        <v>838171</v>
      </c>
      <c r="D598" t="s">
        <v>566</v>
      </c>
      <c r="G598">
        <v>1</v>
      </c>
      <c r="H598" t="s">
        <v>56</v>
      </c>
      <c r="I598" t="s">
        <v>57</v>
      </c>
      <c r="K598" t="s">
        <v>102</v>
      </c>
      <c r="L598" t="s">
        <v>605</v>
      </c>
      <c r="M598" t="s">
        <v>59</v>
      </c>
      <c r="P598" t="s">
        <v>259</v>
      </c>
      <c r="R598" t="s">
        <v>260</v>
      </c>
      <c r="S598" t="s">
        <v>98</v>
      </c>
      <c r="T598">
        <v>259.51</v>
      </c>
      <c r="U598">
        <v>254.14</v>
      </c>
      <c r="V598">
        <f>(T598+U598)/2</f>
        <v>256.82499999999999</v>
      </c>
      <c r="W598">
        <f>T598-U598</f>
        <v>5.3700000000000045</v>
      </c>
      <c r="X598">
        <v>10.255556</v>
      </c>
      <c r="Y598">
        <v>50.879165999999998</v>
      </c>
      <c r="Z598" t="s">
        <v>669</v>
      </c>
      <c r="AA598" t="s">
        <v>128</v>
      </c>
      <c r="AB598" t="s">
        <v>397</v>
      </c>
      <c r="AC598" t="s">
        <v>1135</v>
      </c>
      <c r="AD598" t="s">
        <v>608</v>
      </c>
      <c r="AE598" t="s">
        <v>479</v>
      </c>
      <c r="AF598" t="s">
        <v>672</v>
      </c>
      <c r="AH598" t="s">
        <v>65</v>
      </c>
      <c r="AI598" t="s">
        <v>411</v>
      </c>
      <c r="AJ598">
        <v>1854</v>
      </c>
      <c r="AK598" t="s">
        <v>1136</v>
      </c>
      <c r="AM598" t="s">
        <v>1137</v>
      </c>
      <c r="AN598" t="s">
        <v>94</v>
      </c>
      <c r="AO598" t="s">
        <v>68</v>
      </c>
      <c r="AP598" t="s">
        <v>314</v>
      </c>
      <c r="AQ598" t="s">
        <v>1138</v>
      </c>
      <c r="AR598" t="s">
        <v>70</v>
      </c>
      <c r="AS598">
        <v>305</v>
      </c>
      <c r="AT598" t="s">
        <v>71</v>
      </c>
      <c r="AU598">
        <v>29.47</v>
      </c>
      <c r="AV598">
        <v>24.33</v>
      </c>
      <c r="AW598" t="s">
        <v>72</v>
      </c>
      <c r="AX598">
        <v>305</v>
      </c>
      <c r="AY598" t="s">
        <v>71</v>
      </c>
      <c r="AZ598">
        <v>23.19</v>
      </c>
      <c r="BA598">
        <v>15.46</v>
      </c>
      <c r="BB598" t="s">
        <v>73</v>
      </c>
    </row>
    <row r="599" spans="1:54" x14ac:dyDescent="0.4">
      <c r="A599">
        <v>838172</v>
      </c>
      <c r="D599" t="s">
        <v>566</v>
      </c>
      <c r="E599" t="s">
        <v>153</v>
      </c>
      <c r="G599">
        <v>1</v>
      </c>
      <c r="H599" t="s">
        <v>56</v>
      </c>
      <c r="I599" t="s">
        <v>57</v>
      </c>
      <c r="K599" t="s">
        <v>102</v>
      </c>
      <c r="L599" t="s">
        <v>605</v>
      </c>
      <c r="M599" t="s">
        <v>59</v>
      </c>
      <c r="P599" t="s">
        <v>259</v>
      </c>
      <c r="R599" t="s">
        <v>260</v>
      </c>
      <c r="S599" t="s">
        <v>98</v>
      </c>
      <c r="T599">
        <v>259.51</v>
      </c>
      <c r="U599">
        <v>254.14</v>
      </c>
      <c r="V599">
        <f>(T599+U599)/2</f>
        <v>256.82499999999999</v>
      </c>
      <c r="W599">
        <f>T599-U599</f>
        <v>5.3700000000000045</v>
      </c>
      <c r="X599">
        <v>10.328333000000001</v>
      </c>
      <c r="Y599">
        <v>50.832222000000002</v>
      </c>
      <c r="Z599" t="s">
        <v>669</v>
      </c>
      <c r="AA599" t="s">
        <v>128</v>
      </c>
      <c r="AB599" t="s">
        <v>397</v>
      </c>
      <c r="AC599" t="s">
        <v>1135</v>
      </c>
      <c r="AD599" t="s">
        <v>608</v>
      </c>
      <c r="AE599" t="s">
        <v>479</v>
      </c>
      <c r="AF599" t="s">
        <v>672</v>
      </c>
      <c r="AH599" t="s">
        <v>65</v>
      </c>
      <c r="AI599" t="s">
        <v>378</v>
      </c>
      <c r="AJ599">
        <v>1856</v>
      </c>
      <c r="AK599" t="s">
        <v>1139</v>
      </c>
      <c r="AM599" t="s">
        <v>1140</v>
      </c>
      <c r="AN599" t="s">
        <v>121</v>
      </c>
      <c r="AO599" t="s">
        <v>68</v>
      </c>
      <c r="AP599" t="s">
        <v>69</v>
      </c>
      <c r="AQ599" t="s">
        <v>1141</v>
      </c>
      <c r="AR599" t="s">
        <v>70</v>
      </c>
      <c r="AS599">
        <v>305</v>
      </c>
      <c r="AT599" t="s">
        <v>71</v>
      </c>
      <c r="AU599">
        <v>29.53</v>
      </c>
      <c r="AV599">
        <v>24.29</v>
      </c>
      <c r="AW599" t="s">
        <v>72</v>
      </c>
      <c r="AX599">
        <v>305</v>
      </c>
      <c r="AY599" t="s">
        <v>71</v>
      </c>
      <c r="AZ599">
        <v>23.25</v>
      </c>
      <c r="BA599">
        <v>15.43</v>
      </c>
      <c r="BB599" t="s">
        <v>73</v>
      </c>
    </row>
    <row r="600" spans="1:54" x14ac:dyDescent="0.4">
      <c r="A600">
        <v>838172</v>
      </c>
      <c r="D600" t="s">
        <v>566</v>
      </c>
      <c r="E600" t="s">
        <v>153</v>
      </c>
      <c r="G600">
        <v>1</v>
      </c>
      <c r="H600" t="s">
        <v>56</v>
      </c>
      <c r="I600" t="s">
        <v>57</v>
      </c>
      <c r="K600" t="s">
        <v>102</v>
      </c>
      <c r="L600" t="s">
        <v>605</v>
      </c>
      <c r="M600" t="s">
        <v>59</v>
      </c>
      <c r="P600" t="s">
        <v>259</v>
      </c>
      <c r="R600" t="s">
        <v>260</v>
      </c>
      <c r="S600" t="s">
        <v>98</v>
      </c>
      <c r="T600">
        <v>259.51</v>
      </c>
      <c r="U600">
        <v>254.14</v>
      </c>
      <c r="V600">
        <f>(T600+U600)/2</f>
        <v>256.82499999999999</v>
      </c>
      <c r="W600">
        <f>T600-U600</f>
        <v>5.3700000000000045</v>
      </c>
      <c r="X600">
        <v>10.328333000000001</v>
      </c>
      <c r="Y600">
        <v>50.832222000000002</v>
      </c>
      <c r="Z600" t="s">
        <v>669</v>
      </c>
      <c r="AA600" t="s">
        <v>128</v>
      </c>
      <c r="AB600" t="s">
        <v>397</v>
      </c>
      <c r="AC600" t="s">
        <v>1135</v>
      </c>
      <c r="AD600" t="s">
        <v>608</v>
      </c>
      <c r="AE600" t="s">
        <v>479</v>
      </c>
      <c r="AF600" t="s">
        <v>672</v>
      </c>
      <c r="AH600" t="s">
        <v>65</v>
      </c>
      <c r="AI600" t="s">
        <v>378</v>
      </c>
      <c r="AJ600">
        <v>1856</v>
      </c>
      <c r="AK600" t="s">
        <v>1139</v>
      </c>
      <c r="AM600" t="s">
        <v>1140</v>
      </c>
      <c r="AN600" t="s">
        <v>121</v>
      </c>
      <c r="AO600" t="s">
        <v>68</v>
      </c>
      <c r="AP600" t="s">
        <v>69</v>
      </c>
      <c r="AQ600" t="s">
        <v>1141</v>
      </c>
      <c r="AR600" t="s">
        <v>70</v>
      </c>
      <c r="AS600">
        <v>305</v>
      </c>
      <c r="AT600" t="s">
        <v>71</v>
      </c>
      <c r="AU600">
        <v>29.53</v>
      </c>
      <c r="AV600">
        <v>24.29</v>
      </c>
      <c r="AW600" t="s">
        <v>72</v>
      </c>
      <c r="AX600">
        <v>305</v>
      </c>
      <c r="AY600" t="s">
        <v>71</v>
      </c>
      <c r="AZ600">
        <v>23.25</v>
      </c>
      <c r="BA600">
        <v>15.43</v>
      </c>
      <c r="BB600" t="s">
        <v>73</v>
      </c>
    </row>
    <row r="601" spans="1:54" x14ac:dyDescent="0.4">
      <c r="A601">
        <v>838194</v>
      </c>
      <c r="D601" t="s">
        <v>566</v>
      </c>
      <c r="E601" t="s">
        <v>55</v>
      </c>
      <c r="G601">
        <v>1</v>
      </c>
      <c r="H601" t="s">
        <v>56</v>
      </c>
      <c r="I601" t="s">
        <v>57</v>
      </c>
      <c r="K601" t="s">
        <v>102</v>
      </c>
      <c r="L601" t="s">
        <v>605</v>
      </c>
      <c r="M601" t="s">
        <v>59</v>
      </c>
      <c r="P601" t="s">
        <v>259</v>
      </c>
      <c r="R601" t="s">
        <v>260</v>
      </c>
      <c r="S601" t="s">
        <v>98</v>
      </c>
      <c r="T601">
        <v>259.51</v>
      </c>
      <c r="U601">
        <v>254.14</v>
      </c>
      <c r="V601">
        <f>(T601+U601)/2</f>
        <v>256.82499999999999</v>
      </c>
      <c r="W601">
        <f>T601-U601</f>
        <v>5.3700000000000045</v>
      </c>
      <c r="X601">
        <v>11.75</v>
      </c>
      <c r="Y601">
        <v>51.644444</v>
      </c>
      <c r="Z601" t="s">
        <v>669</v>
      </c>
      <c r="AA601" t="s">
        <v>128</v>
      </c>
      <c r="AB601" t="s">
        <v>670</v>
      </c>
      <c r="AC601" t="s">
        <v>1142</v>
      </c>
      <c r="AD601" t="s">
        <v>608</v>
      </c>
      <c r="AE601" t="s">
        <v>479</v>
      </c>
      <c r="AF601" t="s">
        <v>672</v>
      </c>
      <c r="AH601" t="s">
        <v>65</v>
      </c>
      <c r="AI601" t="s">
        <v>378</v>
      </c>
      <c r="AJ601">
        <v>1856</v>
      </c>
      <c r="AK601" t="s">
        <v>1143</v>
      </c>
      <c r="AM601" t="s">
        <v>1144</v>
      </c>
      <c r="AN601" t="s">
        <v>94</v>
      </c>
      <c r="AO601" t="s">
        <v>68</v>
      </c>
      <c r="AP601" t="s">
        <v>182</v>
      </c>
      <c r="AQ601" t="s">
        <v>1145</v>
      </c>
      <c r="AR601" t="s">
        <v>70</v>
      </c>
      <c r="AS601">
        <v>315</v>
      </c>
      <c r="AT601" t="s">
        <v>71</v>
      </c>
      <c r="AU601">
        <v>30.31</v>
      </c>
      <c r="AV601">
        <v>25.27</v>
      </c>
      <c r="AW601" t="s">
        <v>72</v>
      </c>
      <c r="AX601">
        <v>315</v>
      </c>
      <c r="AY601" t="s">
        <v>71</v>
      </c>
      <c r="AZ601">
        <v>23.89</v>
      </c>
      <c r="BA601">
        <v>16.47</v>
      </c>
      <c r="BB601" t="s">
        <v>73</v>
      </c>
    </row>
    <row r="602" spans="1:54" x14ac:dyDescent="0.4">
      <c r="A602">
        <v>838197</v>
      </c>
      <c r="D602" t="s">
        <v>566</v>
      </c>
      <c r="E602" t="s">
        <v>105</v>
      </c>
      <c r="G602">
        <v>15</v>
      </c>
      <c r="H602" t="s">
        <v>74</v>
      </c>
      <c r="I602" t="s">
        <v>57</v>
      </c>
      <c r="K602" t="s">
        <v>102</v>
      </c>
      <c r="L602" t="s">
        <v>605</v>
      </c>
      <c r="M602" t="s">
        <v>59</v>
      </c>
      <c r="P602" t="s">
        <v>259</v>
      </c>
      <c r="R602" t="s">
        <v>260</v>
      </c>
      <c r="S602" t="s">
        <v>98</v>
      </c>
      <c r="T602">
        <v>259.51</v>
      </c>
      <c r="U602">
        <v>254.14</v>
      </c>
      <c r="V602">
        <f>(T602+U602)/2</f>
        <v>256.82499999999999</v>
      </c>
      <c r="W602">
        <f>T602-U602</f>
        <v>5.3700000000000045</v>
      </c>
      <c r="X602">
        <v>10.008333</v>
      </c>
      <c r="Y602">
        <v>50.977778999999998</v>
      </c>
      <c r="Z602" t="s">
        <v>669</v>
      </c>
      <c r="AA602" t="s">
        <v>128</v>
      </c>
      <c r="AB602" t="s">
        <v>606</v>
      </c>
      <c r="AC602" t="s">
        <v>677</v>
      </c>
      <c r="AD602" t="s">
        <v>608</v>
      </c>
      <c r="AE602" t="s">
        <v>479</v>
      </c>
      <c r="AF602" t="s">
        <v>672</v>
      </c>
      <c r="AH602" t="s">
        <v>65</v>
      </c>
      <c r="AI602" t="s">
        <v>378</v>
      </c>
      <c r="AJ602">
        <v>1856</v>
      </c>
      <c r="AK602" t="s">
        <v>1146</v>
      </c>
      <c r="AM602" t="s">
        <v>1147</v>
      </c>
      <c r="AN602" t="s">
        <v>94</v>
      </c>
      <c r="AO602" t="s">
        <v>68</v>
      </c>
      <c r="AP602" t="s">
        <v>182</v>
      </c>
      <c r="AQ602" t="s">
        <v>1148</v>
      </c>
      <c r="AR602" t="s">
        <v>70</v>
      </c>
      <c r="AS602">
        <v>315</v>
      </c>
      <c r="AT602" t="s">
        <v>71</v>
      </c>
      <c r="AU602">
        <v>29.28</v>
      </c>
      <c r="AV602">
        <v>24.4</v>
      </c>
      <c r="AW602" t="s">
        <v>72</v>
      </c>
      <c r="AX602">
        <v>315</v>
      </c>
      <c r="AY602" t="s">
        <v>71</v>
      </c>
      <c r="AZ602">
        <v>23.01</v>
      </c>
      <c r="BA602">
        <v>15.51</v>
      </c>
      <c r="BB602" t="s">
        <v>73</v>
      </c>
    </row>
    <row r="603" spans="1:54" x14ac:dyDescent="0.4">
      <c r="A603">
        <v>838198</v>
      </c>
      <c r="D603" t="s">
        <v>566</v>
      </c>
      <c r="E603" t="s">
        <v>105</v>
      </c>
      <c r="G603">
        <v>1</v>
      </c>
      <c r="H603" t="s">
        <v>56</v>
      </c>
      <c r="I603" t="s">
        <v>57</v>
      </c>
      <c r="K603" t="s">
        <v>102</v>
      </c>
      <c r="L603" t="s">
        <v>613</v>
      </c>
      <c r="M603" t="s">
        <v>59</v>
      </c>
      <c r="O603" t="s">
        <v>107</v>
      </c>
      <c r="P603" t="s">
        <v>259</v>
      </c>
      <c r="R603" t="s">
        <v>260</v>
      </c>
      <c r="S603" t="s">
        <v>98</v>
      </c>
      <c r="T603">
        <v>259.51</v>
      </c>
      <c r="U603">
        <v>254.14</v>
      </c>
      <c r="V603">
        <f>(T603+U603)/2</f>
        <v>256.82499999999999</v>
      </c>
      <c r="W603">
        <f>T603-U603</f>
        <v>5.3700000000000045</v>
      </c>
      <c r="X603">
        <v>10.008333</v>
      </c>
      <c r="Y603">
        <v>50.977778999999998</v>
      </c>
      <c r="Z603" t="s">
        <v>669</v>
      </c>
      <c r="AA603" t="s">
        <v>128</v>
      </c>
      <c r="AB603" t="s">
        <v>606</v>
      </c>
      <c r="AC603" t="s">
        <v>677</v>
      </c>
      <c r="AD603" t="s">
        <v>608</v>
      </c>
      <c r="AE603" t="s">
        <v>479</v>
      </c>
      <c r="AF603" t="s">
        <v>672</v>
      </c>
      <c r="AH603" t="s">
        <v>65</v>
      </c>
      <c r="AI603" t="s">
        <v>737</v>
      </c>
      <c r="AJ603">
        <v>2008</v>
      </c>
      <c r="AK603" t="s">
        <v>1146</v>
      </c>
      <c r="AM603" t="s">
        <v>1147</v>
      </c>
      <c r="AN603" t="s">
        <v>94</v>
      </c>
      <c r="AO603" t="s">
        <v>68</v>
      </c>
      <c r="AP603" t="s">
        <v>182</v>
      </c>
      <c r="AQ603" t="s">
        <v>1148</v>
      </c>
      <c r="AR603" t="s">
        <v>70</v>
      </c>
      <c r="AS603">
        <v>315</v>
      </c>
      <c r="AT603" t="s">
        <v>71</v>
      </c>
      <c r="AU603">
        <v>29.28</v>
      </c>
      <c r="AV603">
        <v>24.4</v>
      </c>
      <c r="AW603" t="s">
        <v>72</v>
      </c>
      <c r="AX603">
        <v>315</v>
      </c>
      <c r="AY603" t="s">
        <v>71</v>
      </c>
      <c r="AZ603">
        <v>23.01</v>
      </c>
      <c r="BA603">
        <v>15.51</v>
      </c>
      <c r="BB603" t="s">
        <v>73</v>
      </c>
    </row>
    <row r="604" spans="1:54" x14ac:dyDescent="0.4">
      <c r="A604">
        <v>973441</v>
      </c>
      <c r="D604" t="s">
        <v>1628</v>
      </c>
      <c r="E604" t="s">
        <v>55</v>
      </c>
      <c r="G604">
        <v>1</v>
      </c>
      <c r="H604" t="s">
        <v>56</v>
      </c>
      <c r="I604" t="s">
        <v>57</v>
      </c>
      <c r="K604" t="s">
        <v>102</v>
      </c>
      <c r="L604" t="s">
        <v>1629</v>
      </c>
      <c r="M604" t="s">
        <v>59</v>
      </c>
      <c r="P604" t="s">
        <v>259</v>
      </c>
      <c r="R604" t="s">
        <v>260</v>
      </c>
      <c r="S604" t="s">
        <v>98</v>
      </c>
      <c r="T604">
        <v>259.51</v>
      </c>
      <c r="U604">
        <v>254.14</v>
      </c>
      <c r="V604">
        <f>(T604+U604)/2</f>
        <v>256.82499999999999</v>
      </c>
      <c r="W604">
        <f>T604-U604</f>
        <v>5.3700000000000045</v>
      </c>
      <c r="X604">
        <v>19.450001</v>
      </c>
      <c r="Y604">
        <v>-31.5</v>
      </c>
      <c r="Z604" t="s">
        <v>99</v>
      </c>
      <c r="AA604" t="s">
        <v>86</v>
      </c>
      <c r="AB604" t="s">
        <v>274</v>
      </c>
      <c r="AC604" t="s">
        <v>1010</v>
      </c>
      <c r="AE604" t="s">
        <v>90</v>
      </c>
      <c r="AH604" t="s">
        <v>65</v>
      </c>
      <c r="AI604" t="s">
        <v>696</v>
      </c>
      <c r="AJ604">
        <v>1976</v>
      </c>
      <c r="AK604" t="s">
        <v>1630</v>
      </c>
      <c r="AM604" t="s">
        <v>1631</v>
      </c>
      <c r="AN604" t="s">
        <v>94</v>
      </c>
      <c r="AO604">
        <v>1</v>
      </c>
      <c r="AP604" t="s">
        <v>95</v>
      </c>
      <c r="AQ604" t="s">
        <v>1632</v>
      </c>
      <c r="AR604" t="s">
        <v>70</v>
      </c>
      <c r="AS604">
        <v>701</v>
      </c>
      <c r="AT604" t="s">
        <v>71</v>
      </c>
      <c r="AU604">
        <v>-21.79</v>
      </c>
      <c r="AV604">
        <v>-48.14</v>
      </c>
      <c r="AW604" t="s">
        <v>72</v>
      </c>
      <c r="AX604">
        <v>701</v>
      </c>
      <c r="AY604" t="s">
        <v>71</v>
      </c>
      <c r="AZ604">
        <v>-31.45</v>
      </c>
      <c r="BA604">
        <v>-57.62</v>
      </c>
      <c r="BB604" t="s">
        <v>73</v>
      </c>
    </row>
    <row r="605" spans="1:54" x14ac:dyDescent="0.4">
      <c r="A605">
        <v>973442</v>
      </c>
      <c r="D605" t="s">
        <v>1628</v>
      </c>
      <c r="E605" t="s">
        <v>104</v>
      </c>
      <c r="G605">
        <v>1</v>
      </c>
      <c r="H605" t="s">
        <v>56</v>
      </c>
      <c r="I605" t="s">
        <v>57</v>
      </c>
      <c r="K605" t="s">
        <v>102</v>
      </c>
      <c r="L605" t="s">
        <v>1629</v>
      </c>
      <c r="M605" t="s">
        <v>59</v>
      </c>
      <c r="P605" t="s">
        <v>259</v>
      </c>
      <c r="R605" t="s">
        <v>260</v>
      </c>
      <c r="S605" t="s">
        <v>98</v>
      </c>
      <c r="T605">
        <v>259.51</v>
      </c>
      <c r="U605">
        <v>254.14</v>
      </c>
      <c r="V605">
        <f>(T605+U605)/2</f>
        <v>256.82499999999999</v>
      </c>
      <c r="W605">
        <f>T605-U605</f>
        <v>5.3700000000000045</v>
      </c>
      <c r="X605">
        <v>25.33</v>
      </c>
      <c r="Y605">
        <v>-30.68</v>
      </c>
      <c r="Z605" t="s">
        <v>99</v>
      </c>
      <c r="AA605" t="s">
        <v>86</v>
      </c>
      <c r="AB605" t="s">
        <v>87</v>
      </c>
      <c r="AE605" t="s">
        <v>90</v>
      </c>
      <c r="AH605" t="s">
        <v>65</v>
      </c>
      <c r="AI605" t="s">
        <v>696</v>
      </c>
      <c r="AJ605">
        <v>1976</v>
      </c>
      <c r="AK605" t="s">
        <v>1633</v>
      </c>
      <c r="AM605" t="s">
        <v>1634</v>
      </c>
      <c r="AN605" t="s">
        <v>94</v>
      </c>
      <c r="AO605">
        <v>2</v>
      </c>
      <c r="AP605" t="s">
        <v>95</v>
      </c>
      <c r="AQ605" t="s">
        <v>1635</v>
      </c>
      <c r="AR605" t="s">
        <v>70</v>
      </c>
      <c r="AS605">
        <v>701</v>
      </c>
      <c r="AT605" t="s">
        <v>71</v>
      </c>
      <c r="AU605">
        <v>-16.75</v>
      </c>
      <c r="AV605">
        <v>-52.09</v>
      </c>
      <c r="AW605" t="s">
        <v>72</v>
      </c>
      <c r="AX605">
        <v>701</v>
      </c>
      <c r="AY605" t="s">
        <v>71</v>
      </c>
      <c r="AZ605">
        <v>-25.9</v>
      </c>
      <c r="BA605">
        <v>-61.89</v>
      </c>
      <c r="BB605" t="s">
        <v>73</v>
      </c>
    </row>
    <row r="606" spans="1:54" x14ac:dyDescent="0.4">
      <c r="A606">
        <v>1163736</v>
      </c>
      <c r="D606" t="s">
        <v>54</v>
      </c>
      <c r="E606" t="s">
        <v>55</v>
      </c>
      <c r="G606">
        <v>1</v>
      </c>
      <c r="H606" t="s">
        <v>56</v>
      </c>
      <c r="I606" t="s">
        <v>57</v>
      </c>
      <c r="K606" t="s">
        <v>102</v>
      </c>
      <c r="L606" t="s">
        <v>605</v>
      </c>
      <c r="M606" t="s">
        <v>59</v>
      </c>
      <c r="P606" t="s">
        <v>259</v>
      </c>
      <c r="R606" t="s">
        <v>260</v>
      </c>
      <c r="S606" t="s">
        <v>98</v>
      </c>
      <c r="T606">
        <v>259.51</v>
      </c>
      <c r="U606">
        <v>254.14</v>
      </c>
      <c r="V606">
        <f>(T606+U606)/2</f>
        <v>256.82499999999999</v>
      </c>
      <c r="W606">
        <f>T606-U606</f>
        <v>5.3700000000000045</v>
      </c>
      <c r="X606">
        <v>-1.463889</v>
      </c>
      <c r="Y606">
        <v>54.728332999999999</v>
      </c>
      <c r="Z606" t="s">
        <v>428</v>
      </c>
      <c r="AA606" t="s">
        <v>78</v>
      </c>
      <c r="AB606" t="s">
        <v>79</v>
      </c>
      <c r="AD606" t="s">
        <v>478</v>
      </c>
      <c r="AE606" t="s">
        <v>479</v>
      </c>
      <c r="AH606" t="s">
        <v>11</v>
      </c>
      <c r="AI606" t="s">
        <v>1791</v>
      </c>
      <c r="AJ606">
        <v>1993</v>
      </c>
      <c r="AK606" t="s">
        <v>1792</v>
      </c>
      <c r="AN606" t="s">
        <v>67</v>
      </c>
      <c r="AO606" t="s">
        <v>68</v>
      </c>
      <c r="AP606" t="s">
        <v>95</v>
      </c>
      <c r="AQ606" t="s">
        <v>1793</v>
      </c>
      <c r="AR606" t="s">
        <v>70</v>
      </c>
      <c r="AS606">
        <v>315</v>
      </c>
      <c r="AT606" t="s">
        <v>71</v>
      </c>
      <c r="AU606">
        <v>21.08</v>
      </c>
      <c r="AV606">
        <v>27.12</v>
      </c>
      <c r="AW606" t="s">
        <v>72</v>
      </c>
      <c r="AX606">
        <v>315</v>
      </c>
      <c r="AY606" t="s">
        <v>71</v>
      </c>
      <c r="AZ606">
        <v>15.1</v>
      </c>
      <c r="BA606">
        <v>17.600000000000001</v>
      </c>
      <c r="BB606" t="s">
        <v>73</v>
      </c>
    </row>
    <row r="607" spans="1:54" x14ac:dyDescent="0.4">
      <c r="A607">
        <v>1163739</v>
      </c>
      <c r="D607" t="s">
        <v>376</v>
      </c>
      <c r="G607">
        <v>1</v>
      </c>
      <c r="H607" t="s">
        <v>56</v>
      </c>
      <c r="I607" t="s">
        <v>57</v>
      </c>
      <c r="K607" t="s">
        <v>102</v>
      </c>
      <c r="L607" t="s">
        <v>605</v>
      </c>
      <c r="M607" t="s">
        <v>59</v>
      </c>
      <c r="P607" t="s">
        <v>259</v>
      </c>
      <c r="R607" t="s">
        <v>260</v>
      </c>
      <c r="S607" t="s">
        <v>98</v>
      </c>
      <c r="T607">
        <v>259.51</v>
      </c>
      <c r="U607">
        <v>254.14</v>
      </c>
      <c r="V607">
        <f>(T607+U607)/2</f>
        <v>256.82499999999999</v>
      </c>
      <c r="W607">
        <f>T607-U607</f>
        <v>5.3700000000000045</v>
      </c>
      <c r="X607">
        <v>-1.621111</v>
      </c>
      <c r="Y607">
        <v>54.622222999999998</v>
      </c>
      <c r="Z607" t="s">
        <v>428</v>
      </c>
      <c r="AA607" t="s">
        <v>78</v>
      </c>
      <c r="AB607" t="s">
        <v>79</v>
      </c>
      <c r="AC607" t="s">
        <v>851</v>
      </c>
      <c r="AD607" t="s">
        <v>478</v>
      </c>
      <c r="AE607" t="s">
        <v>479</v>
      </c>
      <c r="AH607" t="s">
        <v>65</v>
      </c>
      <c r="AI607" t="s">
        <v>1794</v>
      </c>
      <c r="AJ607">
        <v>1870</v>
      </c>
      <c r="AK607" t="s">
        <v>852</v>
      </c>
      <c r="AM607" t="s">
        <v>853</v>
      </c>
      <c r="AN607" t="s">
        <v>67</v>
      </c>
      <c r="AO607" t="s">
        <v>68</v>
      </c>
      <c r="AP607" t="s">
        <v>314</v>
      </c>
      <c r="AQ607" t="s">
        <v>854</v>
      </c>
      <c r="AR607" t="s">
        <v>70</v>
      </c>
      <c r="AS607">
        <v>315</v>
      </c>
      <c r="AT607" t="s">
        <v>71</v>
      </c>
      <c r="AU607">
        <v>20.99</v>
      </c>
      <c r="AV607">
        <v>27</v>
      </c>
      <c r="AW607" t="s">
        <v>72</v>
      </c>
      <c r="AX607">
        <v>315</v>
      </c>
      <c r="AY607" t="s">
        <v>71</v>
      </c>
      <c r="AZ607">
        <v>15.02</v>
      </c>
      <c r="BA607">
        <v>17.48</v>
      </c>
      <c r="BB607" t="s">
        <v>73</v>
      </c>
    </row>
    <row r="608" spans="1:54" x14ac:dyDescent="0.4">
      <c r="A608">
        <v>1163747</v>
      </c>
      <c r="D608" t="s">
        <v>54</v>
      </c>
      <c r="G608">
        <v>1</v>
      </c>
      <c r="H608" t="s">
        <v>56</v>
      </c>
      <c r="I608" t="s">
        <v>57</v>
      </c>
      <c r="K608" t="s">
        <v>102</v>
      </c>
      <c r="L608" t="s">
        <v>1796</v>
      </c>
      <c r="M608" t="s">
        <v>59</v>
      </c>
      <c r="P608" t="s">
        <v>259</v>
      </c>
      <c r="R608" t="s">
        <v>260</v>
      </c>
      <c r="S608" t="s">
        <v>98</v>
      </c>
      <c r="T608">
        <v>259.51</v>
      </c>
      <c r="U608">
        <v>254.14</v>
      </c>
      <c r="V608">
        <f>(T608+U608)/2</f>
        <v>256.82499999999999</v>
      </c>
      <c r="W608">
        <f>T608-U608</f>
        <v>5.3700000000000045</v>
      </c>
      <c r="X608">
        <v>34.950001</v>
      </c>
      <c r="Y608">
        <v>-10.55</v>
      </c>
      <c r="Z608" t="s">
        <v>113</v>
      </c>
      <c r="AA608" t="s">
        <v>455</v>
      </c>
      <c r="AB608" t="s">
        <v>456</v>
      </c>
      <c r="AD608" t="s">
        <v>1797</v>
      </c>
      <c r="AE608" t="s">
        <v>457</v>
      </c>
      <c r="AG608" t="s">
        <v>1798</v>
      </c>
      <c r="AH608" t="s">
        <v>65</v>
      </c>
      <c r="AI608" t="s">
        <v>1799</v>
      </c>
      <c r="AJ608">
        <v>2014</v>
      </c>
      <c r="AK608" t="s">
        <v>1800</v>
      </c>
      <c r="AN608" t="s">
        <v>94</v>
      </c>
      <c r="AO608" t="s">
        <v>106</v>
      </c>
      <c r="AP608" t="s">
        <v>69</v>
      </c>
      <c r="AR608" t="s">
        <v>70</v>
      </c>
      <c r="AS608">
        <v>701</v>
      </c>
      <c r="AT608" t="s">
        <v>71</v>
      </c>
      <c r="AU608">
        <v>15.49</v>
      </c>
      <c r="AV608">
        <v>-45.51</v>
      </c>
      <c r="AW608" t="s">
        <v>72</v>
      </c>
      <c r="AX608">
        <v>709</v>
      </c>
      <c r="AY608" t="s">
        <v>71</v>
      </c>
      <c r="AZ608">
        <v>14.03</v>
      </c>
      <c r="BA608">
        <v>-54.9</v>
      </c>
      <c r="BB608" t="s">
        <v>73</v>
      </c>
    </row>
    <row r="609" spans="1:54" x14ac:dyDescent="0.4">
      <c r="A609">
        <v>1286077</v>
      </c>
      <c r="D609" t="s">
        <v>54</v>
      </c>
      <c r="G609">
        <v>1</v>
      </c>
      <c r="H609" t="s">
        <v>56</v>
      </c>
      <c r="I609" t="s">
        <v>57</v>
      </c>
      <c r="K609" t="s">
        <v>102</v>
      </c>
      <c r="L609" t="s">
        <v>1837</v>
      </c>
      <c r="M609" t="s">
        <v>59</v>
      </c>
      <c r="O609" t="s">
        <v>107</v>
      </c>
      <c r="P609" t="s">
        <v>259</v>
      </c>
      <c r="R609" t="s">
        <v>260</v>
      </c>
      <c r="S609" t="s">
        <v>98</v>
      </c>
      <c r="T609">
        <v>259.51</v>
      </c>
      <c r="U609">
        <v>254.14</v>
      </c>
      <c r="V609">
        <f>(T609+U609)/2</f>
        <v>256.82499999999999</v>
      </c>
      <c r="W609">
        <f>T609-U609</f>
        <v>5.3700000000000045</v>
      </c>
      <c r="X609">
        <v>24.166699999999999</v>
      </c>
      <c r="Y609">
        <v>-32.116698999999997</v>
      </c>
      <c r="Z609" t="s">
        <v>99</v>
      </c>
      <c r="AA609" t="s">
        <v>86</v>
      </c>
      <c r="AB609" t="s">
        <v>87</v>
      </c>
      <c r="AC609" t="s">
        <v>1819</v>
      </c>
      <c r="AE609" t="s">
        <v>90</v>
      </c>
      <c r="AG609" t="s">
        <v>1798</v>
      </c>
      <c r="AH609" t="s">
        <v>65</v>
      </c>
      <c r="AI609" t="s">
        <v>1531</v>
      </c>
      <c r="AJ609">
        <v>1948</v>
      </c>
      <c r="AK609" t="s">
        <v>1838</v>
      </c>
      <c r="AM609" t="s">
        <v>1839</v>
      </c>
      <c r="AN609" t="s">
        <v>94</v>
      </c>
      <c r="AO609">
        <v>4</v>
      </c>
      <c r="AP609" t="s">
        <v>69</v>
      </c>
      <c r="AR609" t="s">
        <v>70</v>
      </c>
      <c r="AS609">
        <v>701</v>
      </c>
      <c r="AT609" t="s">
        <v>71</v>
      </c>
      <c r="AU609">
        <v>-19.57</v>
      </c>
      <c r="AV609">
        <v>-51.94</v>
      </c>
      <c r="AW609" t="s">
        <v>72</v>
      </c>
      <c r="AX609">
        <v>701</v>
      </c>
      <c r="AY609" t="s">
        <v>71</v>
      </c>
      <c r="AZ609">
        <v>-29.52</v>
      </c>
      <c r="BA609">
        <v>-61.55</v>
      </c>
      <c r="BB609" t="s">
        <v>73</v>
      </c>
    </row>
    <row r="610" spans="1:54" x14ac:dyDescent="0.4">
      <c r="A610">
        <v>1286079</v>
      </c>
      <c r="D610" t="s">
        <v>54</v>
      </c>
      <c r="G610">
        <v>1</v>
      </c>
      <c r="H610" t="s">
        <v>56</v>
      </c>
      <c r="I610" t="s">
        <v>57</v>
      </c>
      <c r="K610" t="s">
        <v>102</v>
      </c>
      <c r="L610" t="s">
        <v>1840</v>
      </c>
      <c r="M610" t="s">
        <v>59</v>
      </c>
      <c r="O610" t="s">
        <v>107</v>
      </c>
      <c r="P610" t="s">
        <v>259</v>
      </c>
      <c r="R610" t="s">
        <v>260</v>
      </c>
      <c r="S610" t="s">
        <v>98</v>
      </c>
      <c r="T610">
        <v>259.51</v>
      </c>
      <c r="U610">
        <v>254.14</v>
      </c>
      <c r="V610">
        <f>(T610+U610)/2</f>
        <v>256.82499999999999</v>
      </c>
      <c r="W610">
        <f>T610-U610</f>
        <v>5.3700000000000045</v>
      </c>
      <c r="X610">
        <v>24.516701000000001</v>
      </c>
      <c r="Y610">
        <v>-31.950001</v>
      </c>
      <c r="Z610" t="s">
        <v>99</v>
      </c>
      <c r="AA610" t="s">
        <v>86</v>
      </c>
      <c r="AB610" t="s">
        <v>1841</v>
      </c>
      <c r="AE610" t="s">
        <v>90</v>
      </c>
      <c r="AG610" t="s">
        <v>1798</v>
      </c>
      <c r="AH610" t="s">
        <v>65</v>
      </c>
      <c r="AI610" t="s">
        <v>411</v>
      </c>
      <c r="AJ610">
        <v>1876</v>
      </c>
      <c r="AK610" t="s">
        <v>1842</v>
      </c>
      <c r="AM610" t="s">
        <v>1843</v>
      </c>
      <c r="AN610" t="s">
        <v>94</v>
      </c>
      <c r="AO610">
        <v>4</v>
      </c>
      <c r="AP610" t="s">
        <v>95</v>
      </c>
      <c r="AR610" t="s">
        <v>70</v>
      </c>
      <c r="AS610">
        <v>701</v>
      </c>
      <c r="AT610" t="s">
        <v>71</v>
      </c>
      <c r="AU610">
        <v>-19.100000000000001</v>
      </c>
      <c r="AV610">
        <v>-52.12</v>
      </c>
      <c r="AW610" t="s">
        <v>72</v>
      </c>
      <c r="AX610">
        <v>701</v>
      </c>
      <c r="AY610" t="s">
        <v>71</v>
      </c>
      <c r="AZ610">
        <v>-28.96</v>
      </c>
      <c r="BA610">
        <v>-61.76</v>
      </c>
      <c r="BB610" t="s">
        <v>73</v>
      </c>
    </row>
    <row r="611" spans="1:54" x14ac:dyDescent="0.4">
      <c r="A611">
        <v>1286080</v>
      </c>
      <c r="D611" t="s">
        <v>54</v>
      </c>
      <c r="F611" t="s">
        <v>352</v>
      </c>
      <c r="G611">
        <v>1</v>
      </c>
      <c r="H611" t="s">
        <v>74</v>
      </c>
      <c r="I611" t="s">
        <v>57</v>
      </c>
      <c r="K611" t="s">
        <v>102</v>
      </c>
      <c r="L611" t="s">
        <v>1840</v>
      </c>
      <c r="M611" t="s">
        <v>59</v>
      </c>
      <c r="O611" t="s">
        <v>107</v>
      </c>
      <c r="P611" t="s">
        <v>259</v>
      </c>
      <c r="R611" t="s">
        <v>260</v>
      </c>
      <c r="S611" t="s">
        <v>98</v>
      </c>
      <c r="T611">
        <v>259.51</v>
      </c>
      <c r="U611">
        <v>254.14</v>
      </c>
      <c r="V611">
        <f>(T611+U611)/2</f>
        <v>256.82499999999999</v>
      </c>
      <c r="W611">
        <f>T611-U611</f>
        <v>5.3700000000000045</v>
      </c>
      <c r="X611">
        <v>22.433332</v>
      </c>
      <c r="Y611">
        <v>-31.966667000000001</v>
      </c>
      <c r="Z611" t="s">
        <v>99</v>
      </c>
      <c r="AA611" t="s">
        <v>86</v>
      </c>
      <c r="AB611" t="s">
        <v>170</v>
      </c>
      <c r="AC611" t="s">
        <v>171</v>
      </c>
      <c r="AE611" t="s">
        <v>90</v>
      </c>
      <c r="AG611" t="s">
        <v>590</v>
      </c>
      <c r="AH611" t="s">
        <v>65</v>
      </c>
      <c r="AI611" t="s">
        <v>306</v>
      </c>
      <c r="AJ611">
        <v>1913</v>
      </c>
      <c r="AK611" t="s">
        <v>1844</v>
      </c>
      <c r="AM611" t="s">
        <v>1845</v>
      </c>
      <c r="AN611" t="s">
        <v>121</v>
      </c>
      <c r="AO611" t="s">
        <v>106</v>
      </c>
      <c r="AP611" t="s">
        <v>182</v>
      </c>
      <c r="AQ611" t="s">
        <v>1846</v>
      </c>
      <c r="AR611" t="s">
        <v>70</v>
      </c>
      <c r="AS611">
        <v>701</v>
      </c>
      <c r="AT611" t="s">
        <v>71</v>
      </c>
      <c r="AU611">
        <v>-20.5</v>
      </c>
      <c r="AV611">
        <v>-50.59</v>
      </c>
      <c r="AW611" t="s">
        <v>72</v>
      </c>
      <c r="AX611">
        <v>701</v>
      </c>
      <c r="AY611" t="s">
        <v>71</v>
      </c>
      <c r="AZ611">
        <v>-30.38</v>
      </c>
      <c r="BA611">
        <v>-60.14</v>
      </c>
      <c r="BB611" t="s">
        <v>73</v>
      </c>
    </row>
    <row r="612" spans="1:54" x14ac:dyDescent="0.4">
      <c r="A612">
        <v>1286081</v>
      </c>
      <c r="D612" t="s">
        <v>54</v>
      </c>
      <c r="G612">
        <v>1</v>
      </c>
      <c r="H612" t="s">
        <v>74</v>
      </c>
      <c r="I612" t="s">
        <v>57</v>
      </c>
      <c r="K612" t="s">
        <v>102</v>
      </c>
      <c r="L612" t="s">
        <v>1840</v>
      </c>
      <c r="M612" t="s">
        <v>59</v>
      </c>
      <c r="O612" t="s">
        <v>107</v>
      </c>
      <c r="P612" t="s">
        <v>259</v>
      </c>
      <c r="R612" t="s">
        <v>260</v>
      </c>
      <c r="S612" t="s">
        <v>98</v>
      </c>
      <c r="T612">
        <v>259.51</v>
      </c>
      <c r="U612">
        <v>254.14</v>
      </c>
      <c r="V612">
        <f>(T612+U612)/2</f>
        <v>256.82499999999999</v>
      </c>
      <c r="W612">
        <f>T612-U612</f>
        <v>5.3700000000000045</v>
      </c>
      <c r="X612">
        <v>35.083331999999999</v>
      </c>
      <c r="Y612">
        <v>-10.216666999999999</v>
      </c>
      <c r="Z612" t="s">
        <v>99</v>
      </c>
      <c r="AA612" t="s">
        <v>455</v>
      </c>
      <c r="AB612" t="s">
        <v>456</v>
      </c>
      <c r="AC612" t="s">
        <v>457</v>
      </c>
      <c r="AD612" t="s">
        <v>1797</v>
      </c>
      <c r="AG612" t="s">
        <v>1847</v>
      </c>
      <c r="AH612" t="s">
        <v>65</v>
      </c>
      <c r="AI612" t="s">
        <v>306</v>
      </c>
      <c r="AJ612">
        <v>1932</v>
      </c>
      <c r="AK612" t="s">
        <v>1848</v>
      </c>
      <c r="AN612" t="s">
        <v>121</v>
      </c>
      <c r="AO612" t="s">
        <v>106</v>
      </c>
      <c r="AP612" t="s">
        <v>95</v>
      </c>
      <c r="AR612" t="s">
        <v>70</v>
      </c>
      <c r="AS612">
        <v>701</v>
      </c>
      <c r="AT612" t="s">
        <v>71</v>
      </c>
      <c r="AU612">
        <v>15.93</v>
      </c>
      <c r="AV612">
        <v>-45.33</v>
      </c>
      <c r="AW612" t="s">
        <v>72</v>
      </c>
      <c r="AX612">
        <v>709</v>
      </c>
      <c r="AY612" t="s">
        <v>71</v>
      </c>
      <c r="AZ612">
        <v>14.51</v>
      </c>
      <c r="BA612">
        <v>-54.68</v>
      </c>
      <c r="BB612" t="s">
        <v>73</v>
      </c>
    </row>
    <row r="613" spans="1:54" x14ac:dyDescent="0.4">
      <c r="A613">
        <v>1286092</v>
      </c>
      <c r="D613" t="s">
        <v>54</v>
      </c>
      <c r="G613">
        <v>1</v>
      </c>
      <c r="H613" t="s">
        <v>74</v>
      </c>
      <c r="I613" t="s">
        <v>57</v>
      </c>
      <c r="K613" t="s">
        <v>102</v>
      </c>
      <c r="L613" t="s">
        <v>1849</v>
      </c>
      <c r="M613" t="s">
        <v>59</v>
      </c>
      <c r="O613" t="s">
        <v>107</v>
      </c>
      <c r="P613" t="s">
        <v>259</v>
      </c>
      <c r="R613" t="s">
        <v>260</v>
      </c>
      <c r="S613" t="s">
        <v>98</v>
      </c>
      <c r="T613">
        <v>259.51</v>
      </c>
      <c r="U613">
        <v>254.14</v>
      </c>
      <c r="V613">
        <f>(T613+U613)/2</f>
        <v>256.82499999999999</v>
      </c>
      <c r="W613">
        <f>T613-U613</f>
        <v>5.3700000000000045</v>
      </c>
      <c r="X613">
        <v>24.424999</v>
      </c>
      <c r="Y613">
        <v>-32.101391</v>
      </c>
      <c r="Z613" t="s">
        <v>99</v>
      </c>
      <c r="AA613" t="s">
        <v>86</v>
      </c>
      <c r="AB613" t="s">
        <v>87</v>
      </c>
      <c r="AC613" t="s">
        <v>1841</v>
      </c>
      <c r="AE613" t="s">
        <v>90</v>
      </c>
      <c r="AG613" t="s">
        <v>1798</v>
      </c>
      <c r="AH613" t="s">
        <v>65</v>
      </c>
      <c r="AI613" t="s">
        <v>1105</v>
      </c>
      <c r="AJ613">
        <v>1997</v>
      </c>
      <c r="AK613" t="s">
        <v>1850</v>
      </c>
      <c r="AM613" t="s">
        <v>1851</v>
      </c>
      <c r="AN613" t="s">
        <v>94</v>
      </c>
      <c r="AO613" t="s">
        <v>68</v>
      </c>
      <c r="AP613" t="s">
        <v>95</v>
      </c>
      <c r="AR613" t="s">
        <v>70</v>
      </c>
      <c r="AS613">
        <v>701</v>
      </c>
      <c r="AT613" t="s">
        <v>71</v>
      </c>
      <c r="AU613">
        <v>-19.38</v>
      </c>
      <c r="AV613">
        <v>-52.13</v>
      </c>
      <c r="AW613" t="s">
        <v>72</v>
      </c>
      <c r="AX613">
        <v>701</v>
      </c>
      <c r="AY613" t="s">
        <v>71</v>
      </c>
      <c r="AZ613">
        <v>-29.32</v>
      </c>
      <c r="BA613">
        <v>-61.75</v>
      </c>
      <c r="BB613" t="s">
        <v>73</v>
      </c>
    </row>
    <row r="614" spans="1:54" x14ac:dyDescent="0.4">
      <c r="A614">
        <v>1286766</v>
      </c>
      <c r="D614" t="s">
        <v>54</v>
      </c>
      <c r="I614" t="s">
        <v>57</v>
      </c>
      <c r="K614" t="s">
        <v>102</v>
      </c>
      <c r="L614" t="s">
        <v>1853</v>
      </c>
      <c r="M614" t="s">
        <v>59</v>
      </c>
      <c r="O614" t="s">
        <v>107</v>
      </c>
      <c r="P614" t="s">
        <v>259</v>
      </c>
      <c r="R614" t="s">
        <v>260</v>
      </c>
      <c r="S614" t="s">
        <v>98</v>
      </c>
      <c r="T614">
        <v>259.51</v>
      </c>
      <c r="U614">
        <v>254.14</v>
      </c>
      <c r="V614">
        <f>(T614+U614)/2</f>
        <v>256.82499999999999</v>
      </c>
      <c r="W614">
        <f>T614-U614</f>
        <v>5.3700000000000045</v>
      </c>
      <c r="X614">
        <v>112.396103</v>
      </c>
      <c r="Y614">
        <v>34.937598999999999</v>
      </c>
      <c r="Z614" t="s">
        <v>99</v>
      </c>
      <c r="AA614" t="s">
        <v>186</v>
      </c>
      <c r="AB614" t="s">
        <v>1854</v>
      </c>
      <c r="AD614" t="s">
        <v>1855</v>
      </c>
      <c r="AH614" t="s">
        <v>65</v>
      </c>
      <c r="AI614" t="s">
        <v>626</v>
      </c>
      <c r="AJ614">
        <v>2014</v>
      </c>
      <c r="AK614" t="s">
        <v>1856</v>
      </c>
      <c r="AM614" t="s">
        <v>1857</v>
      </c>
      <c r="AN614" t="s">
        <v>94</v>
      </c>
      <c r="AO614">
        <v>4</v>
      </c>
      <c r="AP614" t="s">
        <v>69</v>
      </c>
      <c r="AQ614" t="s">
        <v>1858</v>
      </c>
      <c r="AR614" t="s">
        <v>70</v>
      </c>
      <c r="AS614">
        <v>604</v>
      </c>
      <c r="AT614" t="s">
        <v>71</v>
      </c>
      <c r="AU614">
        <v>111.14</v>
      </c>
      <c r="AV614">
        <v>9.11</v>
      </c>
      <c r="AW614" t="s">
        <v>72</v>
      </c>
      <c r="AX614">
        <v>604</v>
      </c>
      <c r="AY614" t="s">
        <v>71</v>
      </c>
      <c r="AZ614">
        <v>91.91</v>
      </c>
      <c r="BA614">
        <v>26.37</v>
      </c>
      <c r="BB614" t="s">
        <v>73</v>
      </c>
    </row>
    <row r="615" spans="1:54" x14ac:dyDescent="0.4">
      <c r="A615">
        <v>1286767</v>
      </c>
      <c r="D615" t="s">
        <v>54</v>
      </c>
      <c r="I615" t="s">
        <v>57</v>
      </c>
      <c r="K615" t="s">
        <v>102</v>
      </c>
      <c r="L615" t="s">
        <v>1853</v>
      </c>
      <c r="M615" t="s">
        <v>59</v>
      </c>
      <c r="O615" t="s">
        <v>107</v>
      </c>
      <c r="P615" t="s">
        <v>259</v>
      </c>
      <c r="R615" t="s">
        <v>260</v>
      </c>
      <c r="S615" t="s">
        <v>98</v>
      </c>
      <c r="T615">
        <v>259.51</v>
      </c>
      <c r="U615">
        <v>254.14</v>
      </c>
      <c r="V615">
        <f>(T615+U615)/2</f>
        <v>256.82499999999999</v>
      </c>
      <c r="W615">
        <f>T615-U615</f>
        <v>5.3700000000000045</v>
      </c>
      <c r="X615">
        <v>112.396103</v>
      </c>
      <c r="Y615">
        <v>34.937598999999999</v>
      </c>
      <c r="Z615" t="s">
        <v>99</v>
      </c>
      <c r="AA615" t="s">
        <v>186</v>
      </c>
      <c r="AB615" t="s">
        <v>1854</v>
      </c>
      <c r="AD615" t="s">
        <v>1855</v>
      </c>
      <c r="AH615" t="s">
        <v>65</v>
      </c>
      <c r="AI615" t="s">
        <v>626</v>
      </c>
      <c r="AJ615">
        <v>2014</v>
      </c>
      <c r="AK615" t="s">
        <v>1856</v>
      </c>
      <c r="AM615" t="s">
        <v>1857</v>
      </c>
      <c r="AN615" t="s">
        <v>94</v>
      </c>
      <c r="AO615">
        <v>4</v>
      </c>
      <c r="AP615" t="s">
        <v>69</v>
      </c>
      <c r="AQ615" t="s">
        <v>1858</v>
      </c>
      <c r="AR615" t="s">
        <v>70</v>
      </c>
      <c r="AS615">
        <v>604</v>
      </c>
      <c r="AT615" t="s">
        <v>71</v>
      </c>
      <c r="AU615">
        <v>111.14</v>
      </c>
      <c r="AV615">
        <v>9.11</v>
      </c>
      <c r="AW615" t="s">
        <v>72</v>
      </c>
      <c r="AX615">
        <v>604</v>
      </c>
      <c r="AY615" t="s">
        <v>71</v>
      </c>
      <c r="AZ615">
        <v>91.91</v>
      </c>
      <c r="BA615">
        <v>26.37</v>
      </c>
      <c r="BB615" t="s">
        <v>73</v>
      </c>
    </row>
    <row r="616" spans="1:54" x14ac:dyDescent="0.4">
      <c r="A616">
        <v>1286768</v>
      </c>
      <c r="D616" t="s">
        <v>54</v>
      </c>
      <c r="I616" t="s">
        <v>57</v>
      </c>
      <c r="K616" t="s">
        <v>102</v>
      </c>
      <c r="L616" t="s">
        <v>1853</v>
      </c>
      <c r="M616" t="s">
        <v>59</v>
      </c>
      <c r="O616" t="s">
        <v>107</v>
      </c>
      <c r="P616" t="s">
        <v>259</v>
      </c>
      <c r="R616" t="s">
        <v>260</v>
      </c>
      <c r="S616" t="s">
        <v>98</v>
      </c>
      <c r="T616">
        <v>259.51</v>
      </c>
      <c r="U616">
        <v>254.14</v>
      </c>
      <c r="V616">
        <f>(T616+U616)/2</f>
        <v>256.82499999999999</v>
      </c>
      <c r="W616">
        <f>T616-U616</f>
        <v>5.3700000000000045</v>
      </c>
      <c r="X616">
        <v>112.396103</v>
      </c>
      <c r="Y616">
        <v>34.937598999999999</v>
      </c>
      <c r="Z616" t="s">
        <v>99</v>
      </c>
      <c r="AA616" t="s">
        <v>186</v>
      </c>
      <c r="AB616" t="s">
        <v>1854</v>
      </c>
      <c r="AD616" t="s">
        <v>1855</v>
      </c>
      <c r="AH616" t="s">
        <v>65</v>
      </c>
      <c r="AI616" t="s">
        <v>626</v>
      </c>
      <c r="AJ616">
        <v>2014</v>
      </c>
      <c r="AK616" t="s">
        <v>1856</v>
      </c>
      <c r="AM616" t="s">
        <v>1857</v>
      </c>
      <c r="AN616" t="s">
        <v>94</v>
      </c>
      <c r="AO616">
        <v>4</v>
      </c>
      <c r="AP616" t="s">
        <v>69</v>
      </c>
      <c r="AQ616" t="s">
        <v>1858</v>
      </c>
      <c r="AR616" t="s">
        <v>70</v>
      </c>
      <c r="AS616">
        <v>604</v>
      </c>
      <c r="AT616" t="s">
        <v>71</v>
      </c>
      <c r="AU616">
        <v>111.14</v>
      </c>
      <c r="AV616">
        <v>9.11</v>
      </c>
      <c r="AW616" t="s">
        <v>72</v>
      </c>
      <c r="AX616">
        <v>604</v>
      </c>
      <c r="AY616" t="s">
        <v>71</v>
      </c>
      <c r="AZ616">
        <v>91.91</v>
      </c>
      <c r="BA616">
        <v>26.37</v>
      </c>
      <c r="BB616" t="s">
        <v>73</v>
      </c>
    </row>
    <row r="617" spans="1:54" x14ac:dyDescent="0.4">
      <c r="A617">
        <v>1304554</v>
      </c>
      <c r="D617" t="s">
        <v>54</v>
      </c>
      <c r="I617" t="s">
        <v>57</v>
      </c>
      <c r="K617" t="s">
        <v>102</v>
      </c>
      <c r="L617" t="s">
        <v>1824</v>
      </c>
      <c r="M617" t="s">
        <v>59</v>
      </c>
      <c r="O617" t="s">
        <v>107</v>
      </c>
      <c r="P617" t="s">
        <v>259</v>
      </c>
      <c r="R617" t="s">
        <v>260</v>
      </c>
      <c r="S617" t="s">
        <v>98</v>
      </c>
      <c r="T617">
        <v>259.51</v>
      </c>
      <c r="U617">
        <v>254.14</v>
      </c>
      <c r="V617">
        <f>(T617+U617)/2</f>
        <v>256.82499999999999</v>
      </c>
      <c r="W617">
        <f>T617-U617</f>
        <v>5.3700000000000045</v>
      </c>
      <c r="X617">
        <v>22.014444000000001</v>
      </c>
      <c r="Y617">
        <v>-32.147778000000002</v>
      </c>
      <c r="Z617" t="s">
        <v>379</v>
      </c>
      <c r="AA617" t="s">
        <v>86</v>
      </c>
      <c r="AB617" t="s">
        <v>170</v>
      </c>
      <c r="AC617" t="s">
        <v>171</v>
      </c>
      <c r="AD617" t="s">
        <v>575</v>
      </c>
      <c r="AE617" t="s">
        <v>90</v>
      </c>
      <c r="AG617" t="s">
        <v>1868</v>
      </c>
      <c r="AH617" t="s">
        <v>65</v>
      </c>
      <c r="AI617" t="s">
        <v>1514</v>
      </c>
      <c r="AJ617">
        <v>1977</v>
      </c>
      <c r="AK617" t="s">
        <v>1869</v>
      </c>
      <c r="AM617" t="s">
        <v>1870</v>
      </c>
      <c r="AO617" t="s">
        <v>68</v>
      </c>
      <c r="AP617" t="s">
        <v>69</v>
      </c>
      <c r="AQ617" t="s">
        <v>1871</v>
      </c>
      <c r="AR617" t="s">
        <v>70</v>
      </c>
      <c r="AS617">
        <v>701</v>
      </c>
      <c r="AT617" t="s">
        <v>71</v>
      </c>
      <c r="AU617">
        <v>-21.02</v>
      </c>
      <c r="AV617">
        <v>-50.36</v>
      </c>
      <c r="AW617" t="s">
        <v>72</v>
      </c>
      <c r="AX617">
        <v>701</v>
      </c>
      <c r="AY617" t="s">
        <v>71</v>
      </c>
      <c r="AZ617">
        <v>-30.99</v>
      </c>
      <c r="BA617">
        <v>-59.88</v>
      </c>
      <c r="BB617" t="s">
        <v>73</v>
      </c>
    </row>
    <row r="618" spans="1:54" x14ac:dyDescent="0.4">
      <c r="A618">
        <v>1315262</v>
      </c>
      <c r="D618" t="s">
        <v>54</v>
      </c>
      <c r="I618" t="s">
        <v>57</v>
      </c>
      <c r="K618" t="s">
        <v>102</v>
      </c>
      <c r="L618" t="s">
        <v>1840</v>
      </c>
      <c r="M618" t="s">
        <v>59</v>
      </c>
      <c r="O618" t="s">
        <v>107</v>
      </c>
      <c r="P618" t="s">
        <v>259</v>
      </c>
      <c r="R618" t="s">
        <v>260</v>
      </c>
      <c r="S618" t="s">
        <v>98</v>
      </c>
      <c r="T618">
        <v>259.51</v>
      </c>
      <c r="U618">
        <v>254.14</v>
      </c>
      <c r="V618">
        <f>(T618+U618)/2</f>
        <v>256.82499999999999</v>
      </c>
      <c r="W618">
        <f>T618-U618</f>
        <v>5.3700000000000045</v>
      </c>
      <c r="X618">
        <v>24.554167</v>
      </c>
      <c r="Y618">
        <v>-32.159999999999997</v>
      </c>
      <c r="Z618" t="s">
        <v>99</v>
      </c>
      <c r="AA618" t="s">
        <v>86</v>
      </c>
      <c r="AB618" t="s">
        <v>87</v>
      </c>
      <c r="AC618" t="s">
        <v>1841</v>
      </c>
      <c r="AD618" t="s">
        <v>540</v>
      </c>
      <c r="AE618" t="s">
        <v>90</v>
      </c>
      <c r="AF618" t="s">
        <v>1890</v>
      </c>
      <c r="AG618" t="s">
        <v>1798</v>
      </c>
      <c r="AH618" t="s">
        <v>65</v>
      </c>
      <c r="AI618" t="s">
        <v>1514</v>
      </c>
      <c r="AJ618">
        <v>1977</v>
      </c>
      <c r="AK618" t="s">
        <v>1891</v>
      </c>
      <c r="AN618" t="s">
        <v>94</v>
      </c>
      <c r="AO618" t="s">
        <v>68</v>
      </c>
      <c r="AP618" t="s">
        <v>69</v>
      </c>
      <c r="AQ618" t="s">
        <v>1892</v>
      </c>
      <c r="AR618" t="s">
        <v>70</v>
      </c>
      <c r="AS618">
        <v>701</v>
      </c>
      <c r="AT618" t="s">
        <v>71</v>
      </c>
      <c r="AU618">
        <v>-19.38</v>
      </c>
      <c r="AV618">
        <v>-52.25</v>
      </c>
      <c r="AW618" t="s">
        <v>72</v>
      </c>
      <c r="AX618">
        <v>701</v>
      </c>
      <c r="AY618" t="s">
        <v>71</v>
      </c>
      <c r="AZ618">
        <v>-29.35</v>
      </c>
      <c r="BA618">
        <v>-61.87</v>
      </c>
      <c r="BB618" t="s">
        <v>73</v>
      </c>
    </row>
    <row r="619" spans="1:54" x14ac:dyDescent="0.4">
      <c r="A619">
        <v>1317315</v>
      </c>
      <c r="D619" t="s">
        <v>54</v>
      </c>
      <c r="F619" t="s">
        <v>352</v>
      </c>
      <c r="I619" t="s">
        <v>57</v>
      </c>
      <c r="K619" t="s">
        <v>102</v>
      </c>
      <c r="L619" t="s">
        <v>273</v>
      </c>
      <c r="M619" t="s">
        <v>59</v>
      </c>
      <c r="O619" t="s">
        <v>107</v>
      </c>
      <c r="P619" t="s">
        <v>259</v>
      </c>
      <c r="R619" t="s">
        <v>260</v>
      </c>
      <c r="S619" t="s">
        <v>98</v>
      </c>
      <c r="T619">
        <v>259.51</v>
      </c>
      <c r="U619">
        <v>254.14</v>
      </c>
      <c r="V619">
        <f>(T619+U619)/2</f>
        <v>256.82499999999999</v>
      </c>
      <c r="W619">
        <f>T619-U619</f>
        <v>5.3700000000000045</v>
      </c>
      <c r="X619">
        <v>22.433332</v>
      </c>
      <c r="Y619">
        <v>-31.966667000000001</v>
      </c>
      <c r="Z619" t="s">
        <v>99</v>
      </c>
      <c r="AA619" t="s">
        <v>86</v>
      </c>
      <c r="AB619" t="s">
        <v>170</v>
      </c>
      <c r="AC619" t="s">
        <v>171</v>
      </c>
      <c r="AE619" t="s">
        <v>90</v>
      </c>
      <c r="AG619" t="s">
        <v>590</v>
      </c>
      <c r="AH619" t="s">
        <v>65</v>
      </c>
      <c r="AI619" t="s">
        <v>1514</v>
      </c>
      <c r="AJ619">
        <v>1977</v>
      </c>
      <c r="AK619" t="s">
        <v>1844</v>
      </c>
      <c r="AM619" t="s">
        <v>1845</v>
      </c>
      <c r="AN619" t="s">
        <v>121</v>
      </c>
      <c r="AO619" t="s">
        <v>106</v>
      </c>
      <c r="AP619" t="s">
        <v>182</v>
      </c>
      <c r="AQ619" t="s">
        <v>1846</v>
      </c>
      <c r="AR619" t="s">
        <v>70</v>
      </c>
      <c r="AS619">
        <v>701</v>
      </c>
      <c r="AT619" t="s">
        <v>71</v>
      </c>
      <c r="AU619">
        <v>-20.5</v>
      </c>
      <c r="AV619">
        <v>-50.59</v>
      </c>
      <c r="AW619" t="s">
        <v>72</v>
      </c>
      <c r="AX619">
        <v>701</v>
      </c>
      <c r="AY619" t="s">
        <v>71</v>
      </c>
      <c r="AZ619">
        <v>-30.38</v>
      </c>
      <c r="BA619">
        <v>-60.14</v>
      </c>
      <c r="BB619" t="s">
        <v>73</v>
      </c>
    </row>
    <row r="620" spans="1:54" x14ac:dyDescent="0.4">
      <c r="A620">
        <v>1317316</v>
      </c>
      <c r="D620" t="s">
        <v>54</v>
      </c>
      <c r="F620" t="s">
        <v>352</v>
      </c>
      <c r="I620" t="s">
        <v>57</v>
      </c>
      <c r="K620" t="s">
        <v>102</v>
      </c>
      <c r="L620" t="s">
        <v>1824</v>
      </c>
      <c r="M620" t="s">
        <v>59</v>
      </c>
      <c r="O620" t="s">
        <v>107</v>
      </c>
      <c r="P620" t="s">
        <v>259</v>
      </c>
      <c r="R620" t="s">
        <v>260</v>
      </c>
      <c r="S620" t="s">
        <v>98</v>
      </c>
      <c r="T620">
        <v>259.51</v>
      </c>
      <c r="U620">
        <v>254.14</v>
      </c>
      <c r="V620">
        <f>(T620+U620)/2</f>
        <v>256.82499999999999</v>
      </c>
      <c r="W620">
        <f>T620-U620</f>
        <v>5.3700000000000045</v>
      </c>
      <c r="X620">
        <v>22.433332</v>
      </c>
      <c r="Y620">
        <v>-31.966667000000001</v>
      </c>
      <c r="Z620" t="s">
        <v>99</v>
      </c>
      <c r="AA620" t="s">
        <v>86</v>
      </c>
      <c r="AB620" t="s">
        <v>170</v>
      </c>
      <c r="AC620" t="s">
        <v>171</v>
      </c>
      <c r="AE620" t="s">
        <v>90</v>
      </c>
      <c r="AG620" t="s">
        <v>590</v>
      </c>
      <c r="AH620" t="s">
        <v>65</v>
      </c>
      <c r="AI620" t="s">
        <v>1514</v>
      </c>
      <c r="AJ620">
        <v>1977</v>
      </c>
      <c r="AK620" t="s">
        <v>1844</v>
      </c>
      <c r="AM620" t="s">
        <v>1845</v>
      </c>
      <c r="AN620" t="s">
        <v>121</v>
      </c>
      <c r="AO620" t="s">
        <v>106</v>
      </c>
      <c r="AP620" t="s">
        <v>182</v>
      </c>
      <c r="AQ620" t="s">
        <v>1846</v>
      </c>
      <c r="AR620" t="s">
        <v>70</v>
      </c>
      <c r="AS620">
        <v>701</v>
      </c>
      <c r="AT620" t="s">
        <v>71</v>
      </c>
      <c r="AU620">
        <v>-20.5</v>
      </c>
      <c r="AV620">
        <v>-50.59</v>
      </c>
      <c r="AW620" t="s">
        <v>72</v>
      </c>
      <c r="AX620">
        <v>701</v>
      </c>
      <c r="AY620" t="s">
        <v>71</v>
      </c>
      <c r="AZ620">
        <v>-30.38</v>
      </c>
      <c r="BA620">
        <v>-60.14</v>
      </c>
      <c r="BB620" t="s">
        <v>73</v>
      </c>
    </row>
    <row r="621" spans="1:54" x14ac:dyDescent="0.4">
      <c r="A621">
        <v>1332746</v>
      </c>
      <c r="D621" t="s">
        <v>54</v>
      </c>
      <c r="G621">
        <v>1</v>
      </c>
      <c r="H621" t="s">
        <v>56</v>
      </c>
      <c r="I621" t="s">
        <v>57</v>
      </c>
      <c r="K621" t="s">
        <v>102</v>
      </c>
      <c r="L621" t="s">
        <v>1824</v>
      </c>
      <c r="M621" t="s">
        <v>59</v>
      </c>
      <c r="O621" t="s">
        <v>107</v>
      </c>
      <c r="P621" t="s">
        <v>259</v>
      </c>
      <c r="R621" t="s">
        <v>260</v>
      </c>
      <c r="S621" t="s">
        <v>98</v>
      </c>
      <c r="T621">
        <v>259.51</v>
      </c>
      <c r="U621">
        <v>254.14</v>
      </c>
      <c r="V621">
        <f>(T621+U621)/2</f>
        <v>256.82499999999999</v>
      </c>
      <c r="W621">
        <f>T621-U621</f>
        <v>5.3700000000000045</v>
      </c>
      <c r="X621">
        <v>24.424999</v>
      </c>
      <c r="Y621">
        <v>-32.101391</v>
      </c>
      <c r="Z621" t="s">
        <v>99</v>
      </c>
      <c r="AA621" t="s">
        <v>86</v>
      </c>
      <c r="AB621" t="s">
        <v>87</v>
      </c>
      <c r="AC621" t="s">
        <v>1841</v>
      </c>
      <c r="AE621" t="s">
        <v>90</v>
      </c>
      <c r="AG621" t="s">
        <v>1798</v>
      </c>
      <c r="AH621" t="s">
        <v>65</v>
      </c>
      <c r="AI621" t="s">
        <v>91</v>
      </c>
      <c r="AJ621">
        <v>1940</v>
      </c>
      <c r="AK621" t="s">
        <v>1850</v>
      </c>
      <c r="AM621" t="s">
        <v>1851</v>
      </c>
      <c r="AN621" t="s">
        <v>94</v>
      </c>
      <c r="AO621" t="s">
        <v>68</v>
      </c>
      <c r="AP621" t="s">
        <v>95</v>
      </c>
      <c r="AR621" t="s">
        <v>70</v>
      </c>
      <c r="AS621">
        <v>701</v>
      </c>
      <c r="AT621" t="s">
        <v>71</v>
      </c>
      <c r="AU621">
        <v>-19.38</v>
      </c>
      <c r="AV621">
        <v>-52.13</v>
      </c>
      <c r="AW621" t="s">
        <v>72</v>
      </c>
      <c r="AX621">
        <v>701</v>
      </c>
      <c r="AY621" t="s">
        <v>71</v>
      </c>
      <c r="AZ621">
        <v>-29.32</v>
      </c>
      <c r="BA621">
        <v>-61.75</v>
      </c>
      <c r="BB621" t="s">
        <v>73</v>
      </c>
    </row>
    <row r="622" spans="1:54" x14ac:dyDescent="0.4">
      <c r="A622">
        <v>1337217</v>
      </c>
      <c r="D622" t="s">
        <v>54</v>
      </c>
      <c r="I622" t="s">
        <v>57</v>
      </c>
      <c r="K622" t="s">
        <v>102</v>
      </c>
      <c r="L622" t="s">
        <v>1824</v>
      </c>
      <c r="M622" t="s">
        <v>59</v>
      </c>
      <c r="O622" t="s">
        <v>107</v>
      </c>
      <c r="P622" t="s">
        <v>259</v>
      </c>
      <c r="R622" t="s">
        <v>260</v>
      </c>
      <c r="S622" t="s">
        <v>98</v>
      </c>
      <c r="T622">
        <v>259.51</v>
      </c>
      <c r="U622">
        <v>254.14</v>
      </c>
      <c r="V622">
        <f>(T622+U622)/2</f>
        <v>256.82499999999999</v>
      </c>
      <c r="W622">
        <f>T622-U622</f>
        <v>5.3700000000000045</v>
      </c>
      <c r="X622">
        <v>24.533332999999999</v>
      </c>
      <c r="Y622">
        <v>-32.25</v>
      </c>
      <c r="Z622" t="s">
        <v>99</v>
      </c>
      <c r="AA622" t="s">
        <v>86</v>
      </c>
      <c r="AB622" t="s">
        <v>87</v>
      </c>
      <c r="AD622" t="s">
        <v>746</v>
      </c>
      <c r="AE622" t="s">
        <v>90</v>
      </c>
      <c r="AG622" t="s">
        <v>623</v>
      </c>
      <c r="AH622" t="s">
        <v>65</v>
      </c>
      <c r="AI622" t="s">
        <v>1514</v>
      </c>
      <c r="AJ622">
        <v>1977</v>
      </c>
      <c r="AK622" t="s">
        <v>748</v>
      </c>
      <c r="AN622" t="s">
        <v>94</v>
      </c>
      <c r="AO622" t="s">
        <v>106</v>
      </c>
      <c r="AP622" t="s">
        <v>134</v>
      </c>
      <c r="AQ622" t="s">
        <v>749</v>
      </c>
      <c r="AR622" t="s">
        <v>70</v>
      </c>
      <c r="AS622">
        <v>701</v>
      </c>
      <c r="AT622" t="s">
        <v>71</v>
      </c>
      <c r="AU622">
        <v>-19.52</v>
      </c>
      <c r="AV622">
        <v>-52.28</v>
      </c>
      <c r="AW622" t="s">
        <v>72</v>
      </c>
      <c r="AX622">
        <v>701</v>
      </c>
      <c r="AY622" t="s">
        <v>71</v>
      </c>
      <c r="AZ622">
        <v>-29.54</v>
      </c>
      <c r="BA622">
        <v>-61.89</v>
      </c>
      <c r="BB622" t="s">
        <v>73</v>
      </c>
    </row>
    <row r="623" spans="1:54" x14ac:dyDescent="0.4">
      <c r="A623">
        <v>1337218</v>
      </c>
      <c r="D623" t="s">
        <v>54</v>
      </c>
      <c r="I623" t="s">
        <v>57</v>
      </c>
      <c r="K623" t="s">
        <v>551</v>
      </c>
      <c r="L623" t="s">
        <v>558</v>
      </c>
      <c r="M623" t="s">
        <v>59</v>
      </c>
      <c r="P623" t="s">
        <v>259</v>
      </c>
      <c r="R623" t="s">
        <v>260</v>
      </c>
      <c r="S623" t="s">
        <v>98</v>
      </c>
      <c r="T623">
        <v>259.51</v>
      </c>
      <c r="U623">
        <v>254.14</v>
      </c>
      <c r="V623">
        <f>(T623+U623)/2</f>
        <v>256.82499999999999</v>
      </c>
      <c r="W623">
        <f>T623-U623</f>
        <v>5.3700000000000045</v>
      </c>
      <c r="X623">
        <v>24.533332999999999</v>
      </c>
      <c r="Y623">
        <v>-32.25</v>
      </c>
      <c r="Z623" t="s">
        <v>99</v>
      </c>
      <c r="AA623" t="s">
        <v>86</v>
      </c>
      <c r="AB623" t="s">
        <v>87</v>
      </c>
      <c r="AD623" t="s">
        <v>746</v>
      </c>
      <c r="AE623" t="s">
        <v>90</v>
      </c>
      <c r="AG623" t="s">
        <v>623</v>
      </c>
      <c r="AH623" t="s">
        <v>65</v>
      </c>
      <c r="AI623" t="s">
        <v>1514</v>
      </c>
      <c r="AJ623">
        <v>1977</v>
      </c>
      <c r="AK623" t="s">
        <v>748</v>
      </c>
      <c r="AN623" t="s">
        <v>94</v>
      </c>
      <c r="AO623" t="s">
        <v>106</v>
      </c>
      <c r="AP623" t="s">
        <v>134</v>
      </c>
      <c r="AQ623" t="s">
        <v>749</v>
      </c>
      <c r="AR623" t="s">
        <v>70</v>
      </c>
      <c r="AS623">
        <v>701</v>
      </c>
      <c r="AT623" t="s">
        <v>71</v>
      </c>
      <c r="AU623">
        <v>-19.52</v>
      </c>
      <c r="AV623">
        <v>-52.28</v>
      </c>
      <c r="AW623" t="s">
        <v>72</v>
      </c>
      <c r="AX623">
        <v>701</v>
      </c>
      <c r="AY623" t="s">
        <v>71</v>
      </c>
      <c r="AZ623">
        <v>-29.54</v>
      </c>
      <c r="BA623">
        <v>-61.89</v>
      </c>
      <c r="BB623" t="s">
        <v>73</v>
      </c>
    </row>
    <row r="624" spans="1:54" x14ac:dyDescent="0.4">
      <c r="A624">
        <v>1337453</v>
      </c>
      <c r="D624" t="s">
        <v>54</v>
      </c>
      <c r="I624" t="s">
        <v>57</v>
      </c>
      <c r="K624" t="s">
        <v>102</v>
      </c>
      <c r="L624" t="s">
        <v>1824</v>
      </c>
      <c r="M624" t="s">
        <v>59</v>
      </c>
      <c r="O624" t="s">
        <v>107</v>
      </c>
      <c r="P624" t="s">
        <v>259</v>
      </c>
      <c r="R624" t="s">
        <v>260</v>
      </c>
      <c r="S624" t="s">
        <v>98</v>
      </c>
      <c r="T624">
        <v>259.51</v>
      </c>
      <c r="U624">
        <v>254.14</v>
      </c>
      <c r="V624">
        <f>(T624+U624)/2</f>
        <v>256.82499999999999</v>
      </c>
      <c r="W624">
        <f>T624-U624</f>
        <v>5.3700000000000045</v>
      </c>
      <c r="X624">
        <v>23.771944000000001</v>
      </c>
      <c r="Y624">
        <v>-31.945833</v>
      </c>
      <c r="Z624" t="s">
        <v>99</v>
      </c>
      <c r="AA624" t="s">
        <v>86</v>
      </c>
      <c r="AB624" t="s">
        <v>170</v>
      </c>
      <c r="AC624" t="s">
        <v>1872</v>
      </c>
      <c r="AE624" t="s">
        <v>90</v>
      </c>
      <c r="AG624" t="s">
        <v>1798</v>
      </c>
      <c r="AH624" t="s">
        <v>65</v>
      </c>
      <c r="AI624" t="s">
        <v>1514</v>
      </c>
      <c r="AJ624">
        <v>1977</v>
      </c>
      <c r="AK624" t="s">
        <v>1914</v>
      </c>
      <c r="AN624" t="s">
        <v>94</v>
      </c>
      <c r="AO624" t="s">
        <v>68</v>
      </c>
      <c r="AR624" t="s">
        <v>70</v>
      </c>
      <c r="AS624">
        <v>701</v>
      </c>
      <c r="AT624" t="s">
        <v>71</v>
      </c>
      <c r="AU624">
        <v>-19.59</v>
      </c>
      <c r="AV624">
        <v>-51.57</v>
      </c>
      <c r="AW624" t="s">
        <v>72</v>
      </c>
      <c r="AX624">
        <v>701</v>
      </c>
      <c r="AY624" t="s">
        <v>71</v>
      </c>
      <c r="AZ624">
        <v>-29.46</v>
      </c>
      <c r="BA624">
        <v>-61.18</v>
      </c>
      <c r="BB624" t="s">
        <v>73</v>
      </c>
    </row>
    <row r="625" spans="1:54" x14ac:dyDescent="0.4">
      <c r="A625">
        <v>1358998</v>
      </c>
      <c r="D625" t="s">
        <v>108</v>
      </c>
      <c r="G625">
        <v>1</v>
      </c>
      <c r="H625" t="s">
        <v>56</v>
      </c>
      <c r="I625" t="s">
        <v>57</v>
      </c>
      <c r="K625" t="s">
        <v>102</v>
      </c>
      <c r="L625" t="s">
        <v>1824</v>
      </c>
      <c r="M625" t="s">
        <v>59</v>
      </c>
      <c r="O625" t="s">
        <v>107</v>
      </c>
      <c r="P625" t="s">
        <v>259</v>
      </c>
      <c r="R625" t="s">
        <v>260</v>
      </c>
      <c r="S625" t="s">
        <v>98</v>
      </c>
      <c r="T625">
        <v>259.51</v>
      </c>
      <c r="U625">
        <v>254.14</v>
      </c>
      <c r="V625">
        <f>(T625+U625)/2</f>
        <v>256.82499999999999</v>
      </c>
      <c r="W625">
        <f>T625-U625</f>
        <v>5.3700000000000045</v>
      </c>
      <c r="X625">
        <v>32.966667000000001</v>
      </c>
      <c r="Y625">
        <v>-10.566667000000001</v>
      </c>
      <c r="Z625" t="s">
        <v>99</v>
      </c>
      <c r="AA625" t="s">
        <v>619</v>
      </c>
      <c r="AD625" t="s">
        <v>622</v>
      </c>
      <c r="AF625" t="s">
        <v>415</v>
      </c>
      <c r="AG625" t="s">
        <v>1798</v>
      </c>
      <c r="AH625" t="s">
        <v>65</v>
      </c>
      <c r="AI625" t="s">
        <v>1959</v>
      </c>
      <c r="AJ625">
        <v>1938</v>
      </c>
      <c r="AK625" t="s">
        <v>1960</v>
      </c>
      <c r="AN625" t="s">
        <v>121</v>
      </c>
      <c r="AO625" t="s">
        <v>106</v>
      </c>
      <c r="AP625" t="s">
        <v>182</v>
      </c>
      <c r="AR625" t="s">
        <v>70</v>
      </c>
      <c r="AS625">
        <v>701</v>
      </c>
      <c r="AT625" t="s">
        <v>71</v>
      </c>
      <c r="AU625">
        <v>13.34</v>
      </c>
      <c r="AV625">
        <v>-44.29</v>
      </c>
      <c r="AW625" t="s">
        <v>72</v>
      </c>
      <c r="AX625">
        <v>701</v>
      </c>
      <c r="AY625" t="s">
        <v>71</v>
      </c>
      <c r="AZ625">
        <v>12.36</v>
      </c>
      <c r="BA625">
        <v>-54.12</v>
      </c>
      <c r="BB625" t="s">
        <v>73</v>
      </c>
    </row>
    <row r="626" spans="1:54" x14ac:dyDescent="0.4">
      <c r="A626">
        <v>1386980</v>
      </c>
      <c r="D626" t="s">
        <v>54</v>
      </c>
      <c r="G626">
        <v>1</v>
      </c>
      <c r="H626" t="s">
        <v>56</v>
      </c>
      <c r="I626" t="s">
        <v>57</v>
      </c>
      <c r="K626" t="s">
        <v>102</v>
      </c>
      <c r="L626" t="s">
        <v>1824</v>
      </c>
      <c r="M626" t="s">
        <v>59</v>
      </c>
      <c r="O626" t="s">
        <v>107</v>
      </c>
      <c r="P626" t="s">
        <v>259</v>
      </c>
      <c r="R626" t="s">
        <v>260</v>
      </c>
      <c r="S626" t="s">
        <v>98</v>
      </c>
      <c r="T626">
        <v>259.51</v>
      </c>
      <c r="U626">
        <v>254.14</v>
      </c>
      <c r="V626">
        <f>(T626+U626)/2</f>
        <v>256.82499999999999</v>
      </c>
      <c r="W626">
        <f>T626-U626</f>
        <v>5.3700000000000045</v>
      </c>
      <c r="X626">
        <v>21.689722</v>
      </c>
      <c r="Y626">
        <v>-31.974167000000001</v>
      </c>
      <c r="Z626" t="s">
        <v>99</v>
      </c>
      <c r="AA626" t="s">
        <v>86</v>
      </c>
      <c r="AB626" t="s">
        <v>274</v>
      </c>
      <c r="AD626" t="s">
        <v>575</v>
      </c>
      <c r="AE626" t="s">
        <v>90</v>
      </c>
      <c r="AF626" t="s">
        <v>2017</v>
      </c>
      <c r="AG626" t="s">
        <v>1798</v>
      </c>
      <c r="AH626" t="s">
        <v>11</v>
      </c>
      <c r="AI626" t="s">
        <v>2018</v>
      </c>
      <c r="AJ626">
        <v>2017</v>
      </c>
      <c r="AK626" t="s">
        <v>2019</v>
      </c>
      <c r="AN626" t="s">
        <v>121</v>
      </c>
      <c r="AO626" t="s">
        <v>68</v>
      </c>
      <c r="AP626" t="s">
        <v>69</v>
      </c>
      <c r="AR626" t="s">
        <v>70</v>
      </c>
      <c r="AS626">
        <v>701</v>
      </c>
      <c r="AT626" t="s">
        <v>71</v>
      </c>
      <c r="AU626">
        <v>-20.99</v>
      </c>
      <c r="AV626">
        <v>-50.04</v>
      </c>
      <c r="AW626" t="s">
        <v>72</v>
      </c>
      <c r="AX626">
        <v>701</v>
      </c>
      <c r="AY626" t="s">
        <v>71</v>
      </c>
      <c r="AZ626">
        <v>-30.88</v>
      </c>
      <c r="BA626">
        <v>-59.56</v>
      </c>
      <c r="BB626" t="s">
        <v>73</v>
      </c>
    </row>
    <row r="627" spans="1:54" x14ac:dyDescent="0.4">
      <c r="A627">
        <v>1417195</v>
      </c>
      <c r="D627" t="s">
        <v>54</v>
      </c>
      <c r="I627" t="s">
        <v>57</v>
      </c>
      <c r="K627" t="s">
        <v>475</v>
      </c>
      <c r="L627" t="s">
        <v>2136</v>
      </c>
      <c r="M627" t="s">
        <v>59</v>
      </c>
      <c r="P627" t="s">
        <v>259</v>
      </c>
      <c r="R627" t="s">
        <v>260</v>
      </c>
      <c r="S627" t="s">
        <v>98</v>
      </c>
      <c r="T627">
        <v>259.51</v>
      </c>
      <c r="U627">
        <v>254.14</v>
      </c>
      <c r="V627">
        <f>(T627+U627)/2</f>
        <v>256.82499999999999</v>
      </c>
      <c r="W627">
        <f>T627-U627</f>
        <v>5.3700000000000045</v>
      </c>
      <c r="X627">
        <v>11.516667</v>
      </c>
      <c r="Y627">
        <v>51.516666000000001</v>
      </c>
      <c r="Z627" t="s">
        <v>669</v>
      </c>
      <c r="AA627" t="s">
        <v>128</v>
      </c>
      <c r="AB627" t="s">
        <v>670</v>
      </c>
      <c r="AC627" t="s">
        <v>671</v>
      </c>
      <c r="AD627" t="s">
        <v>608</v>
      </c>
      <c r="AE627" t="s">
        <v>479</v>
      </c>
      <c r="AF627" t="s">
        <v>672</v>
      </c>
      <c r="AH627" t="s">
        <v>65</v>
      </c>
      <c r="AI627" t="s">
        <v>665</v>
      </c>
      <c r="AJ627">
        <v>2015</v>
      </c>
      <c r="AK627" t="s">
        <v>674</v>
      </c>
      <c r="AM627" t="s">
        <v>675</v>
      </c>
      <c r="AN627" t="s">
        <v>94</v>
      </c>
      <c r="AO627" t="s">
        <v>106</v>
      </c>
      <c r="AP627" t="s">
        <v>182</v>
      </c>
      <c r="AQ627" t="s">
        <v>676</v>
      </c>
      <c r="AR627" t="s">
        <v>70</v>
      </c>
      <c r="AS627">
        <v>315</v>
      </c>
      <c r="AT627" t="s">
        <v>71</v>
      </c>
      <c r="AU627">
        <v>30.18</v>
      </c>
      <c r="AV627">
        <v>25.11</v>
      </c>
      <c r="AW627" t="s">
        <v>72</v>
      </c>
      <c r="AX627">
        <v>315</v>
      </c>
      <c r="AY627" t="s">
        <v>71</v>
      </c>
      <c r="AZ627">
        <v>23.79</v>
      </c>
      <c r="BA627">
        <v>16.3</v>
      </c>
      <c r="BB627" t="s">
        <v>73</v>
      </c>
    </row>
    <row r="628" spans="1:54" x14ac:dyDescent="0.4">
      <c r="A628">
        <v>1418143</v>
      </c>
      <c r="D628" t="s">
        <v>54</v>
      </c>
      <c r="I628" t="s">
        <v>57</v>
      </c>
      <c r="K628" t="s">
        <v>551</v>
      </c>
      <c r="L628" t="s">
        <v>558</v>
      </c>
      <c r="M628" t="s">
        <v>59</v>
      </c>
      <c r="P628" t="s">
        <v>259</v>
      </c>
      <c r="R628" t="s">
        <v>260</v>
      </c>
      <c r="S628" t="s">
        <v>98</v>
      </c>
      <c r="T628">
        <v>259.51</v>
      </c>
      <c r="U628">
        <v>254.14</v>
      </c>
      <c r="V628">
        <f>(T628+U628)/2</f>
        <v>256.82499999999999</v>
      </c>
      <c r="W628">
        <f>T628-U628</f>
        <v>5.3700000000000045</v>
      </c>
      <c r="X628">
        <v>23.888888999999999</v>
      </c>
      <c r="Y628">
        <v>-31.908055999999998</v>
      </c>
      <c r="Z628" t="s">
        <v>99</v>
      </c>
      <c r="AA628" t="s">
        <v>86</v>
      </c>
      <c r="AB628" t="s">
        <v>170</v>
      </c>
      <c r="AC628" t="s">
        <v>559</v>
      </c>
      <c r="AD628" t="s">
        <v>575</v>
      </c>
      <c r="AE628" t="s">
        <v>90</v>
      </c>
      <c r="AG628" t="s">
        <v>1798</v>
      </c>
      <c r="AH628" t="s">
        <v>65</v>
      </c>
      <c r="AI628" t="s">
        <v>306</v>
      </c>
      <c r="AJ628">
        <v>1965</v>
      </c>
      <c r="AK628" t="s">
        <v>2150</v>
      </c>
      <c r="AM628" t="s">
        <v>577</v>
      </c>
      <c r="AN628" t="s">
        <v>94</v>
      </c>
      <c r="AO628" t="s">
        <v>68</v>
      </c>
      <c r="AP628" t="s">
        <v>95</v>
      </c>
      <c r="AQ628" t="s">
        <v>2151</v>
      </c>
      <c r="AR628" t="s">
        <v>70</v>
      </c>
      <c r="AS628">
        <v>701</v>
      </c>
      <c r="AT628" t="s">
        <v>71</v>
      </c>
      <c r="AU628">
        <v>-19.46</v>
      </c>
      <c r="AV628">
        <v>-51.64</v>
      </c>
      <c r="AW628" t="s">
        <v>72</v>
      </c>
      <c r="AX628">
        <v>701</v>
      </c>
      <c r="AY628" t="s">
        <v>71</v>
      </c>
      <c r="AZ628">
        <v>-29.31</v>
      </c>
      <c r="BA628">
        <v>-61.25</v>
      </c>
      <c r="BB628" t="s">
        <v>73</v>
      </c>
    </row>
    <row r="629" spans="1:54" x14ac:dyDescent="0.4">
      <c r="A629">
        <v>1418153</v>
      </c>
      <c r="D629" t="s">
        <v>54</v>
      </c>
      <c r="I629" t="s">
        <v>57</v>
      </c>
      <c r="K629" t="s">
        <v>537</v>
      </c>
      <c r="L629" t="s">
        <v>1077</v>
      </c>
      <c r="M629" t="s">
        <v>59</v>
      </c>
      <c r="P629" t="s">
        <v>259</v>
      </c>
      <c r="R629" t="s">
        <v>260</v>
      </c>
      <c r="S629" t="s">
        <v>98</v>
      </c>
      <c r="T629">
        <v>259.51</v>
      </c>
      <c r="U629">
        <v>254.14</v>
      </c>
      <c r="V629">
        <f>(T629+U629)/2</f>
        <v>256.82499999999999</v>
      </c>
      <c r="W629">
        <f>T629-U629</f>
        <v>5.3700000000000045</v>
      </c>
      <c r="X629">
        <v>24.424999</v>
      </c>
      <c r="Y629">
        <v>-32.101391</v>
      </c>
      <c r="Z629" t="s">
        <v>99</v>
      </c>
      <c r="AA629" t="s">
        <v>86</v>
      </c>
      <c r="AB629" t="s">
        <v>87</v>
      </c>
      <c r="AC629" t="s">
        <v>1841</v>
      </c>
      <c r="AE629" t="s">
        <v>90</v>
      </c>
      <c r="AG629" t="s">
        <v>1798</v>
      </c>
      <c r="AH629" t="s">
        <v>65</v>
      </c>
      <c r="AI629" t="s">
        <v>306</v>
      </c>
      <c r="AJ629">
        <v>1965</v>
      </c>
      <c r="AK629" t="s">
        <v>1850</v>
      </c>
      <c r="AM629" t="s">
        <v>1851</v>
      </c>
      <c r="AN629" t="s">
        <v>94</v>
      </c>
      <c r="AO629" t="s">
        <v>68</v>
      </c>
      <c r="AP629" t="s">
        <v>95</v>
      </c>
      <c r="AR629" t="s">
        <v>70</v>
      </c>
      <c r="AS629">
        <v>701</v>
      </c>
      <c r="AT629" t="s">
        <v>71</v>
      </c>
      <c r="AU629">
        <v>-19.38</v>
      </c>
      <c r="AV629">
        <v>-52.13</v>
      </c>
      <c r="AW629" t="s">
        <v>72</v>
      </c>
      <c r="AX629">
        <v>701</v>
      </c>
      <c r="AY629" t="s">
        <v>71</v>
      </c>
      <c r="AZ629">
        <v>-29.32</v>
      </c>
      <c r="BA629">
        <v>-61.75</v>
      </c>
      <c r="BB629" t="s">
        <v>73</v>
      </c>
    </row>
    <row r="630" spans="1:54" x14ac:dyDescent="0.4">
      <c r="A630">
        <v>795305</v>
      </c>
      <c r="D630" t="s">
        <v>54</v>
      </c>
      <c r="G630">
        <v>7</v>
      </c>
      <c r="H630" t="s">
        <v>74</v>
      </c>
      <c r="I630" t="s">
        <v>57</v>
      </c>
      <c r="K630" t="s">
        <v>806</v>
      </c>
      <c r="L630" t="s">
        <v>807</v>
      </c>
      <c r="M630" t="s">
        <v>59</v>
      </c>
      <c r="P630" t="s">
        <v>259</v>
      </c>
      <c r="R630" t="s">
        <v>260</v>
      </c>
      <c r="S630" t="s">
        <v>98</v>
      </c>
      <c r="T630">
        <v>259.51</v>
      </c>
      <c r="U630">
        <v>254.14</v>
      </c>
      <c r="V630">
        <f>(T630+U630)/2</f>
        <v>256.82499999999999</v>
      </c>
      <c r="W630">
        <f>T630-U630</f>
        <v>5.3700000000000045</v>
      </c>
      <c r="X630">
        <v>42.092776999999998</v>
      </c>
      <c r="Y630">
        <v>56.253056000000001</v>
      </c>
      <c r="Z630" t="s">
        <v>126</v>
      </c>
      <c r="AA630" t="s">
        <v>139</v>
      </c>
      <c r="AB630" t="s">
        <v>808</v>
      </c>
      <c r="AC630" t="s">
        <v>809</v>
      </c>
      <c r="AG630" t="s">
        <v>810</v>
      </c>
      <c r="AH630" t="s">
        <v>65</v>
      </c>
      <c r="AI630" t="s">
        <v>656</v>
      </c>
      <c r="AJ630">
        <v>2000</v>
      </c>
      <c r="AK630" t="s">
        <v>811</v>
      </c>
      <c r="AM630" t="s">
        <v>812</v>
      </c>
      <c r="AN630" t="s">
        <v>121</v>
      </c>
      <c r="AO630" t="s">
        <v>68</v>
      </c>
      <c r="AP630" t="s">
        <v>182</v>
      </c>
      <c r="AQ630" t="s">
        <v>813</v>
      </c>
      <c r="AR630" t="s">
        <v>70</v>
      </c>
      <c r="AS630">
        <v>302</v>
      </c>
      <c r="AT630" t="s">
        <v>71</v>
      </c>
      <c r="AU630">
        <v>48.12</v>
      </c>
      <c r="AV630">
        <v>36.24</v>
      </c>
      <c r="AW630" t="s">
        <v>72</v>
      </c>
      <c r="AX630">
        <v>301</v>
      </c>
      <c r="AY630" t="s">
        <v>71</v>
      </c>
      <c r="AZ630">
        <v>38.6</v>
      </c>
      <c r="BA630">
        <v>28.78</v>
      </c>
      <c r="BB630" t="s">
        <v>73</v>
      </c>
    </row>
    <row r="631" spans="1:54" x14ac:dyDescent="0.4">
      <c r="A631">
        <v>795309</v>
      </c>
      <c r="D631" t="s">
        <v>54</v>
      </c>
      <c r="G631">
        <v>2</v>
      </c>
      <c r="H631" t="s">
        <v>228</v>
      </c>
      <c r="I631" t="s">
        <v>57</v>
      </c>
      <c r="K631" t="s">
        <v>814</v>
      </c>
      <c r="L631" t="s">
        <v>815</v>
      </c>
      <c r="M631" t="s">
        <v>59</v>
      </c>
      <c r="O631" t="s">
        <v>107</v>
      </c>
      <c r="P631" t="s">
        <v>259</v>
      </c>
      <c r="R631" t="s">
        <v>260</v>
      </c>
      <c r="S631" t="s">
        <v>98</v>
      </c>
      <c r="T631">
        <v>259.51</v>
      </c>
      <c r="U631">
        <v>254.14</v>
      </c>
      <c r="V631">
        <f>(T631+U631)/2</f>
        <v>256.82499999999999</v>
      </c>
      <c r="W631">
        <f>T631-U631</f>
        <v>5.3700000000000045</v>
      </c>
      <c r="X631">
        <v>42.092776999999998</v>
      </c>
      <c r="Y631">
        <v>56.253056000000001</v>
      </c>
      <c r="Z631" t="s">
        <v>126</v>
      </c>
      <c r="AA631" t="s">
        <v>139</v>
      </c>
      <c r="AB631" t="s">
        <v>808</v>
      </c>
      <c r="AC631" t="s">
        <v>809</v>
      </c>
      <c r="AG631" t="s">
        <v>810</v>
      </c>
      <c r="AH631" t="s">
        <v>11</v>
      </c>
      <c r="AI631" t="s">
        <v>816</v>
      </c>
      <c r="AJ631">
        <v>2005</v>
      </c>
      <c r="AK631" t="s">
        <v>811</v>
      </c>
      <c r="AM631" t="s">
        <v>812</v>
      </c>
      <c r="AN631" t="s">
        <v>121</v>
      </c>
      <c r="AO631" t="s">
        <v>68</v>
      </c>
      <c r="AP631" t="s">
        <v>182</v>
      </c>
      <c r="AQ631" t="s">
        <v>813</v>
      </c>
      <c r="AR631" t="s">
        <v>70</v>
      </c>
      <c r="AS631">
        <v>302</v>
      </c>
      <c r="AT631" t="s">
        <v>71</v>
      </c>
      <c r="AU631">
        <v>48.12</v>
      </c>
      <c r="AV631">
        <v>36.24</v>
      </c>
      <c r="AW631" t="s">
        <v>72</v>
      </c>
      <c r="AX631">
        <v>301</v>
      </c>
      <c r="AY631" t="s">
        <v>71</v>
      </c>
      <c r="AZ631">
        <v>38.6</v>
      </c>
      <c r="BA631">
        <v>28.78</v>
      </c>
      <c r="BB631" t="s">
        <v>73</v>
      </c>
    </row>
    <row r="632" spans="1:54" x14ac:dyDescent="0.4">
      <c r="A632">
        <v>795351</v>
      </c>
      <c r="D632" t="s">
        <v>54</v>
      </c>
      <c r="I632" t="s">
        <v>57</v>
      </c>
      <c r="K632" t="s">
        <v>806</v>
      </c>
      <c r="L632" t="s">
        <v>807</v>
      </c>
      <c r="M632" t="s">
        <v>59</v>
      </c>
      <c r="P632" t="s">
        <v>259</v>
      </c>
      <c r="R632" t="s">
        <v>260</v>
      </c>
      <c r="S632" t="s">
        <v>98</v>
      </c>
      <c r="T632">
        <v>259.51</v>
      </c>
      <c r="U632">
        <v>254.14</v>
      </c>
      <c r="V632">
        <f>(T632+U632)/2</f>
        <v>256.82499999999999</v>
      </c>
      <c r="W632">
        <f>T632-U632</f>
        <v>5.3700000000000045</v>
      </c>
      <c r="X632">
        <v>42.092776999999998</v>
      </c>
      <c r="Y632">
        <v>56.253056000000001</v>
      </c>
      <c r="Z632" t="s">
        <v>126</v>
      </c>
      <c r="AA632" t="s">
        <v>139</v>
      </c>
      <c r="AB632" t="s">
        <v>808</v>
      </c>
      <c r="AC632" t="s">
        <v>809</v>
      </c>
      <c r="AG632" t="s">
        <v>810</v>
      </c>
      <c r="AH632" t="s">
        <v>11</v>
      </c>
      <c r="AI632" t="s">
        <v>656</v>
      </c>
      <c r="AJ632">
        <v>2000</v>
      </c>
      <c r="AK632" t="s">
        <v>811</v>
      </c>
      <c r="AM632" t="s">
        <v>812</v>
      </c>
      <c r="AN632" t="s">
        <v>121</v>
      </c>
      <c r="AO632" t="s">
        <v>68</v>
      </c>
      <c r="AP632" t="s">
        <v>182</v>
      </c>
      <c r="AQ632" t="s">
        <v>813</v>
      </c>
      <c r="AR632" t="s">
        <v>70</v>
      </c>
      <c r="AS632">
        <v>302</v>
      </c>
      <c r="AT632" t="s">
        <v>71</v>
      </c>
      <c r="AU632">
        <v>48.12</v>
      </c>
      <c r="AV632">
        <v>36.24</v>
      </c>
      <c r="AW632" t="s">
        <v>72</v>
      </c>
      <c r="AX632">
        <v>301</v>
      </c>
      <c r="AY632" t="s">
        <v>71</v>
      </c>
      <c r="AZ632">
        <v>38.6</v>
      </c>
      <c r="BA632">
        <v>28.78</v>
      </c>
      <c r="BB632" t="s">
        <v>73</v>
      </c>
    </row>
    <row r="633" spans="1:54" x14ac:dyDescent="0.4">
      <c r="A633">
        <v>795352</v>
      </c>
      <c r="D633" t="s">
        <v>54</v>
      </c>
      <c r="G633">
        <v>2</v>
      </c>
      <c r="H633" t="s">
        <v>228</v>
      </c>
      <c r="I633" t="s">
        <v>57</v>
      </c>
      <c r="K633" t="s">
        <v>806</v>
      </c>
      <c r="L633" t="s">
        <v>807</v>
      </c>
      <c r="M633" t="s">
        <v>59</v>
      </c>
      <c r="P633" t="s">
        <v>259</v>
      </c>
      <c r="R633" t="s">
        <v>260</v>
      </c>
      <c r="S633" t="s">
        <v>98</v>
      </c>
      <c r="T633">
        <v>259.51</v>
      </c>
      <c r="U633">
        <v>254.14</v>
      </c>
      <c r="V633">
        <f>(T633+U633)/2</f>
        <v>256.82499999999999</v>
      </c>
      <c r="W633">
        <f>T633-U633</f>
        <v>5.3700000000000045</v>
      </c>
      <c r="X633">
        <v>47.111663999999998</v>
      </c>
      <c r="Y633">
        <v>57.881973000000002</v>
      </c>
      <c r="Z633" t="s">
        <v>99</v>
      </c>
      <c r="AA633" t="s">
        <v>139</v>
      </c>
      <c r="AB633" t="s">
        <v>790</v>
      </c>
      <c r="AC633" t="s">
        <v>817</v>
      </c>
      <c r="AG633" t="s">
        <v>810</v>
      </c>
      <c r="AH633" t="s">
        <v>11</v>
      </c>
      <c r="AI633" t="s">
        <v>656</v>
      </c>
      <c r="AJ633">
        <v>2000</v>
      </c>
      <c r="AK633" t="s">
        <v>818</v>
      </c>
      <c r="AN633" t="s">
        <v>94</v>
      </c>
      <c r="AO633">
        <v>6</v>
      </c>
      <c r="AP633" t="s">
        <v>95</v>
      </c>
      <c r="AQ633" t="s">
        <v>819</v>
      </c>
      <c r="AR633" t="s">
        <v>70</v>
      </c>
      <c r="AS633">
        <v>302</v>
      </c>
      <c r="AT633" t="s">
        <v>71</v>
      </c>
      <c r="AU633">
        <v>50.14</v>
      </c>
      <c r="AV633">
        <v>38.979999999999997</v>
      </c>
      <c r="AW633" t="s">
        <v>72</v>
      </c>
      <c r="AX633">
        <v>301</v>
      </c>
      <c r="AY633" t="s">
        <v>71</v>
      </c>
      <c r="AZ633">
        <v>39.9</v>
      </c>
      <c r="BA633">
        <v>31.75</v>
      </c>
      <c r="BB633" t="s">
        <v>73</v>
      </c>
    </row>
    <row r="634" spans="1:54" x14ac:dyDescent="0.4">
      <c r="A634">
        <v>796148</v>
      </c>
      <c r="D634" t="s">
        <v>54</v>
      </c>
      <c r="G634">
        <v>1</v>
      </c>
      <c r="H634" t="s">
        <v>56</v>
      </c>
      <c r="I634" t="s">
        <v>57</v>
      </c>
      <c r="K634" t="s">
        <v>102</v>
      </c>
      <c r="L634" t="s">
        <v>820</v>
      </c>
      <c r="M634" t="s">
        <v>59</v>
      </c>
      <c r="P634" t="s">
        <v>259</v>
      </c>
      <c r="R634" t="s">
        <v>260</v>
      </c>
      <c r="S634" t="s">
        <v>98</v>
      </c>
      <c r="T634">
        <v>259.51</v>
      </c>
      <c r="U634">
        <v>254.14</v>
      </c>
      <c r="V634">
        <f>(T634+U634)/2</f>
        <v>256.82499999999999</v>
      </c>
      <c r="W634">
        <f>T634-U634</f>
        <v>5.3700000000000045</v>
      </c>
      <c r="X634">
        <v>53.014999000000003</v>
      </c>
      <c r="Y634">
        <v>53.294998</v>
      </c>
      <c r="Z634" t="s">
        <v>454</v>
      </c>
      <c r="AA634" t="s">
        <v>139</v>
      </c>
      <c r="AB634" t="s">
        <v>316</v>
      </c>
      <c r="AC634" t="s">
        <v>821</v>
      </c>
      <c r="AD634" t="s">
        <v>822</v>
      </c>
      <c r="AH634" t="s">
        <v>65</v>
      </c>
      <c r="AI634" t="s">
        <v>823</v>
      </c>
      <c r="AJ634">
        <v>2002</v>
      </c>
      <c r="AK634" t="s">
        <v>824</v>
      </c>
      <c r="AN634" t="s">
        <v>121</v>
      </c>
      <c r="AO634" t="s">
        <v>68</v>
      </c>
      <c r="AP634" t="s">
        <v>95</v>
      </c>
      <c r="AQ634" t="s">
        <v>825</v>
      </c>
      <c r="AR634" t="s">
        <v>70</v>
      </c>
      <c r="AS634">
        <v>302</v>
      </c>
      <c r="AT634" t="s">
        <v>71</v>
      </c>
      <c r="AU634">
        <v>55.84</v>
      </c>
      <c r="AV634">
        <v>34.799999999999997</v>
      </c>
      <c r="AW634" t="s">
        <v>72</v>
      </c>
      <c r="AX634">
        <v>301</v>
      </c>
      <c r="AY634" t="s">
        <v>71</v>
      </c>
      <c r="AZ634">
        <v>46.8</v>
      </c>
      <c r="BA634">
        <v>29.79</v>
      </c>
      <c r="BB634" t="s">
        <v>73</v>
      </c>
    </row>
    <row r="635" spans="1:54" x14ac:dyDescent="0.4">
      <c r="A635">
        <v>1382107</v>
      </c>
      <c r="D635" t="s">
        <v>54</v>
      </c>
      <c r="I635" t="s">
        <v>57</v>
      </c>
      <c r="K635" t="s">
        <v>806</v>
      </c>
      <c r="L635" t="s">
        <v>807</v>
      </c>
      <c r="M635" t="s">
        <v>59</v>
      </c>
      <c r="P635" t="s">
        <v>259</v>
      </c>
      <c r="R635" t="s">
        <v>260</v>
      </c>
      <c r="S635" t="s">
        <v>98</v>
      </c>
      <c r="T635">
        <v>259.51</v>
      </c>
      <c r="U635">
        <v>256.8</v>
      </c>
      <c r="V635">
        <f>(T635+U635)/2</f>
        <v>258.15499999999997</v>
      </c>
      <c r="W635">
        <f>T635-U635</f>
        <v>2.7099999999999795</v>
      </c>
      <c r="X635">
        <v>42.092776999999998</v>
      </c>
      <c r="Y635">
        <v>56.253056000000001</v>
      </c>
      <c r="Z635" t="s">
        <v>99</v>
      </c>
      <c r="AA635" t="s">
        <v>139</v>
      </c>
      <c r="AB635" t="s">
        <v>808</v>
      </c>
      <c r="AC635" t="s">
        <v>809</v>
      </c>
      <c r="AH635" t="s">
        <v>65</v>
      </c>
      <c r="AI635" t="s">
        <v>207</v>
      </c>
      <c r="AJ635">
        <v>2011</v>
      </c>
      <c r="AK635" t="s">
        <v>1996</v>
      </c>
      <c r="AN635" t="s">
        <v>94</v>
      </c>
      <c r="AO635" t="s">
        <v>68</v>
      </c>
      <c r="AP635" t="s">
        <v>69</v>
      </c>
      <c r="AR635" t="s">
        <v>70</v>
      </c>
      <c r="AS635">
        <v>302</v>
      </c>
      <c r="AT635" t="s">
        <v>71</v>
      </c>
      <c r="AU635">
        <v>48.12</v>
      </c>
      <c r="AV635">
        <v>36.24</v>
      </c>
      <c r="AW635" t="s">
        <v>72</v>
      </c>
      <c r="AX635">
        <v>301</v>
      </c>
      <c r="AY635" t="s">
        <v>71</v>
      </c>
      <c r="AZ635">
        <v>38.6</v>
      </c>
      <c r="BA635">
        <v>28.78</v>
      </c>
      <c r="BB635" t="s">
        <v>73</v>
      </c>
    </row>
    <row r="636" spans="1:54" x14ac:dyDescent="0.4">
      <c r="A636">
        <v>1284962</v>
      </c>
      <c r="D636" t="s">
        <v>54</v>
      </c>
      <c r="G636">
        <v>1</v>
      </c>
      <c r="H636" t="s">
        <v>74</v>
      </c>
      <c r="I636" t="s">
        <v>57</v>
      </c>
      <c r="K636" t="s">
        <v>102</v>
      </c>
      <c r="L636" t="s">
        <v>1816</v>
      </c>
      <c r="M636" t="s">
        <v>59</v>
      </c>
      <c r="P636" t="s">
        <v>502</v>
      </c>
      <c r="Q636" t="s">
        <v>82</v>
      </c>
      <c r="R636" t="s">
        <v>260</v>
      </c>
      <c r="S636" t="s">
        <v>98</v>
      </c>
      <c r="T636">
        <v>254.14</v>
      </c>
      <c r="U636">
        <v>251.2</v>
      </c>
      <c r="V636">
        <f>(T636+U636)/2</f>
        <v>252.67</v>
      </c>
      <c r="W636">
        <f>T636-U636</f>
        <v>2.9399999999999977</v>
      </c>
      <c r="X636">
        <v>28.967222</v>
      </c>
      <c r="Y636">
        <v>-30.939722</v>
      </c>
      <c r="Z636" t="s">
        <v>99</v>
      </c>
      <c r="AA636" t="s">
        <v>86</v>
      </c>
      <c r="AB636" t="s">
        <v>87</v>
      </c>
      <c r="AE636" t="s">
        <v>90</v>
      </c>
      <c r="AH636" t="s">
        <v>65</v>
      </c>
      <c r="AI636" t="s">
        <v>91</v>
      </c>
      <c r="AJ636">
        <v>1926</v>
      </c>
      <c r="AK636" t="s">
        <v>1817</v>
      </c>
      <c r="AN636" t="s">
        <v>94</v>
      </c>
      <c r="AO636" t="s">
        <v>68</v>
      </c>
      <c r="AP636" t="s">
        <v>95</v>
      </c>
      <c r="AR636" t="s">
        <v>70</v>
      </c>
      <c r="AS636">
        <v>701</v>
      </c>
      <c r="AT636" t="s">
        <v>71</v>
      </c>
      <c r="AU636">
        <v>-10.49</v>
      </c>
      <c r="AV636">
        <v>-53.25</v>
      </c>
      <c r="AW636" t="s">
        <v>72</v>
      </c>
      <c r="AX636">
        <v>701</v>
      </c>
      <c r="AY636" t="s">
        <v>71</v>
      </c>
      <c r="AZ636">
        <v>-20.02</v>
      </c>
      <c r="BA636">
        <v>-65.7</v>
      </c>
      <c r="BB636" t="s">
        <v>73</v>
      </c>
    </row>
    <row r="637" spans="1:54" x14ac:dyDescent="0.4">
      <c r="A637">
        <v>733517</v>
      </c>
      <c r="D637" t="s">
        <v>54</v>
      </c>
      <c r="E637" t="s">
        <v>105</v>
      </c>
      <c r="G637">
        <v>3</v>
      </c>
      <c r="H637" t="s">
        <v>74</v>
      </c>
      <c r="I637" t="s">
        <v>57</v>
      </c>
      <c r="K637" t="s">
        <v>247</v>
      </c>
      <c r="L637" t="s">
        <v>501</v>
      </c>
      <c r="M637" t="s">
        <v>59</v>
      </c>
      <c r="O637" t="s">
        <v>107</v>
      </c>
      <c r="P637" t="s">
        <v>502</v>
      </c>
      <c r="R637" t="s">
        <v>260</v>
      </c>
      <c r="S637" t="s">
        <v>98</v>
      </c>
      <c r="T637">
        <v>254.14</v>
      </c>
      <c r="U637">
        <v>251.90199999999999</v>
      </c>
      <c r="V637">
        <f>(T637+U637)/2</f>
        <v>253.02099999999999</v>
      </c>
      <c r="W637">
        <f>T637-U637</f>
        <v>2.2379999999999995</v>
      </c>
      <c r="X637">
        <v>110.815926</v>
      </c>
      <c r="Y637">
        <v>37.412757999999997</v>
      </c>
      <c r="Z637" t="s">
        <v>85</v>
      </c>
      <c r="AA637" t="s">
        <v>186</v>
      </c>
      <c r="AB637" t="s">
        <v>503</v>
      </c>
      <c r="AC637" t="s">
        <v>504</v>
      </c>
      <c r="AD637" t="s">
        <v>505</v>
      </c>
      <c r="AH637" t="s">
        <v>65</v>
      </c>
      <c r="AI637" t="s">
        <v>506</v>
      </c>
      <c r="AJ637">
        <v>1989</v>
      </c>
      <c r="AK637" t="s">
        <v>507</v>
      </c>
      <c r="AN637" t="s">
        <v>67</v>
      </c>
      <c r="AO637">
        <v>6</v>
      </c>
      <c r="AP637" t="s">
        <v>95</v>
      </c>
      <c r="AQ637" t="s">
        <v>508</v>
      </c>
      <c r="AR637" t="s">
        <v>70</v>
      </c>
      <c r="AS637">
        <v>604</v>
      </c>
      <c r="AT637" t="s">
        <v>71</v>
      </c>
      <c r="AU637">
        <v>113.84</v>
      </c>
      <c r="AV637">
        <v>12.41</v>
      </c>
      <c r="AW637" t="s">
        <v>72</v>
      </c>
      <c r="AX637">
        <v>604</v>
      </c>
      <c r="AY637" t="s">
        <v>71</v>
      </c>
      <c r="AZ637">
        <v>90.62</v>
      </c>
      <c r="BA637">
        <v>31.51</v>
      </c>
      <c r="BB637" t="s">
        <v>73</v>
      </c>
    </row>
    <row r="638" spans="1:54" x14ac:dyDescent="0.4">
      <c r="A638">
        <v>749982</v>
      </c>
      <c r="D638" t="s">
        <v>54</v>
      </c>
      <c r="G638">
        <v>1</v>
      </c>
      <c r="H638" t="s">
        <v>56</v>
      </c>
      <c r="I638" t="s">
        <v>57</v>
      </c>
      <c r="K638" t="s">
        <v>551</v>
      </c>
      <c r="L638" t="s">
        <v>558</v>
      </c>
      <c r="M638" t="s">
        <v>59</v>
      </c>
      <c r="P638" t="s">
        <v>502</v>
      </c>
      <c r="R638" t="s">
        <v>260</v>
      </c>
      <c r="S638" t="s">
        <v>98</v>
      </c>
      <c r="T638">
        <v>254.14</v>
      </c>
      <c r="U638">
        <v>251.90199999999999</v>
      </c>
      <c r="V638">
        <f>(T638+U638)/2</f>
        <v>253.02099999999999</v>
      </c>
      <c r="W638">
        <f>T638-U638</f>
        <v>2.2379999999999995</v>
      </c>
      <c r="X638">
        <v>23.888888999999999</v>
      </c>
      <c r="Y638">
        <v>-31.908055999999998</v>
      </c>
      <c r="Z638" t="s">
        <v>99</v>
      </c>
      <c r="AA638" t="s">
        <v>86</v>
      </c>
      <c r="AB638" t="s">
        <v>170</v>
      </c>
      <c r="AC638" t="s">
        <v>559</v>
      </c>
      <c r="AD638" t="s">
        <v>575</v>
      </c>
      <c r="AE638" t="s">
        <v>90</v>
      </c>
      <c r="AG638" t="s">
        <v>567</v>
      </c>
      <c r="AH638" t="s">
        <v>65</v>
      </c>
      <c r="AI638" t="s">
        <v>554</v>
      </c>
      <c r="AJ638">
        <v>1972</v>
      </c>
      <c r="AK638" t="s">
        <v>576</v>
      </c>
      <c r="AM638" t="s">
        <v>577</v>
      </c>
      <c r="AN638" t="s">
        <v>94</v>
      </c>
      <c r="AO638" t="s">
        <v>68</v>
      </c>
      <c r="AP638" t="s">
        <v>95</v>
      </c>
      <c r="AQ638" t="s">
        <v>578</v>
      </c>
      <c r="AR638" t="s">
        <v>70</v>
      </c>
      <c r="AS638">
        <v>701</v>
      </c>
      <c r="AT638" t="s">
        <v>71</v>
      </c>
      <c r="AU638">
        <v>-15.69</v>
      </c>
      <c r="AV638">
        <v>-50.19</v>
      </c>
      <c r="AW638" t="s">
        <v>72</v>
      </c>
      <c r="AX638">
        <v>701</v>
      </c>
      <c r="AY638" t="s">
        <v>71</v>
      </c>
      <c r="AZ638">
        <v>-26.61</v>
      </c>
      <c r="BA638">
        <v>-62.32</v>
      </c>
      <c r="BB638" t="s">
        <v>73</v>
      </c>
    </row>
    <row r="639" spans="1:54" x14ac:dyDescent="0.4">
      <c r="A639">
        <v>786315</v>
      </c>
      <c r="D639" t="s">
        <v>54</v>
      </c>
      <c r="G639">
        <v>1</v>
      </c>
      <c r="H639" t="s">
        <v>56</v>
      </c>
      <c r="I639" t="s">
        <v>57</v>
      </c>
      <c r="K639" t="s">
        <v>148</v>
      </c>
      <c r="L639" t="s">
        <v>595</v>
      </c>
      <c r="M639" t="s">
        <v>59</v>
      </c>
      <c r="N639" t="s">
        <v>97</v>
      </c>
      <c r="O639" t="s">
        <v>101</v>
      </c>
      <c r="P639" t="s">
        <v>502</v>
      </c>
      <c r="R639" t="s">
        <v>260</v>
      </c>
      <c r="S639" t="s">
        <v>98</v>
      </c>
      <c r="T639">
        <v>254.14</v>
      </c>
      <c r="U639">
        <v>251.90199999999999</v>
      </c>
      <c r="V639">
        <f>(T639+U639)/2</f>
        <v>253.02099999999999</v>
      </c>
      <c r="W639">
        <f>T639-U639</f>
        <v>2.2379999999999995</v>
      </c>
      <c r="X639">
        <v>7.5333329999999998</v>
      </c>
      <c r="Y639">
        <v>18.510555</v>
      </c>
      <c r="Z639" t="s">
        <v>126</v>
      </c>
      <c r="AA639" t="s">
        <v>596</v>
      </c>
      <c r="AB639" t="s">
        <v>597</v>
      </c>
      <c r="AC639" t="s">
        <v>598</v>
      </c>
      <c r="AD639" t="s">
        <v>599</v>
      </c>
      <c r="AE639" t="s">
        <v>600</v>
      </c>
      <c r="AH639" t="s">
        <v>65</v>
      </c>
      <c r="AI639" t="s">
        <v>601</v>
      </c>
      <c r="AJ639">
        <v>1969</v>
      </c>
      <c r="AK639" t="s">
        <v>602</v>
      </c>
      <c r="AM639" t="s">
        <v>603</v>
      </c>
      <c r="AN639" t="s">
        <v>121</v>
      </c>
      <c r="AO639" t="s">
        <v>68</v>
      </c>
      <c r="AP639" t="s">
        <v>69</v>
      </c>
      <c r="AQ639" t="s">
        <v>604</v>
      </c>
      <c r="AR639" t="s">
        <v>70</v>
      </c>
      <c r="AS639">
        <v>714</v>
      </c>
      <c r="AT639" t="s">
        <v>71</v>
      </c>
      <c r="AU639">
        <v>13.23</v>
      </c>
      <c r="AV639">
        <v>-3.88</v>
      </c>
      <c r="AW639" t="s">
        <v>72</v>
      </c>
      <c r="AX639">
        <v>714</v>
      </c>
      <c r="AY639" t="s">
        <v>71</v>
      </c>
      <c r="AZ639">
        <v>8.6199999999999992</v>
      </c>
      <c r="BA639">
        <v>-16.18</v>
      </c>
      <c r="BB639" t="s">
        <v>73</v>
      </c>
    </row>
    <row r="640" spans="1:54" x14ac:dyDescent="0.4">
      <c r="A640">
        <v>786315</v>
      </c>
      <c r="D640" t="s">
        <v>54</v>
      </c>
      <c r="G640">
        <v>1</v>
      </c>
      <c r="H640" t="s">
        <v>56</v>
      </c>
      <c r="I640" t="s">
        <v>57</v>
      </c>
      <c r="K640" t="s">
        <v>148</v>
      </c>
      <c r="L640" t="s">
        <v>595</v>
      </c>
      <c r="M640" t="s">
        <v>59</v>
      </c>
      <c r="N640" t="s">
        <v>97</v>
      </c>
      <c r="O640" t="s">
        <v>101</v>
      </c>
      <c r="P640" t="s">
        <v>502</v>
      </c>
      <c r="R640" t="s">
        <v>260</v>
      </c>
      <c r="S640" t="s">
        <v>98</v>
      </c>
      <c r="T640">
        <v>254.14</v>
      </c>
      <c r="U640">
        <v>251.90199999999999</v>
      </c>
      <c r="V640">
        <f>(T640+U640)/2</f>
        <v>253.02099999999999</v>
      </c>
      <c r="W640">
        <f>T640-U640</f>
        <v>2.2379999999999995</v>
      </c>
      <c r="X640">
        <v>7.5333329999999998</v>
      </c>
      <c r="Y640">
        <v>18.510555</v>
      </c>
      <c r="Z640" t="s">
        <v>126</v>
      </c>
      <c r="AA640" t="s">
        <v>596</v>
      </c>
      <c r="AB640" t="s">
        <v>597</v>
      </c>
      <c r="AC640" t="s">
        <v>598</v>
      </c>
      <c r="AD640" t="s">
        <v>599</v>
      </c>
      <c r="AE640" t="s">
        <v>600</v>
      </c>
      <c r="AH640" t="s">
        <v>65</v>
      </c>
      <c r="AI640" t="s">
        <v>601</v>
      </c>
      <c r="AJ640">
        <v>1969</v>
      </c>
      <c r="AK640" t="s">
        <v>602</v>
      </c>
      <c r="AM640" t="s">
        <v>603</v>
      </c>
      <c r="AN640" t="s">
        <v>121</v>
      </c>
      <c r="AO640" t="s">
        <v>68</v>
      </c>
      <c r="AP640" t="s">
        <v>69</v>
      </c>
      <c r="AQ640" t="s">
        <v>604</v>
      </c>
      <c r="AR640" t="s">
        <v>70</v>
      </c>
      <c r="AS640">
        <v>714</v>
      </c>
      <c r="AT640" t="s">
        <v>71</v>
      </c>
      <c r="AU640">
        <v>13.23</v>
      </c>
      <c r="AV640">
        <v>-3.88</v>
      </c>
      <c r="AW640" t="s">
        <v>72</v>
      </c>
      <c r="AX640">
        <v>714</v>
      </c>
      <c r="AY640" t="s">
        <v>71</v>
      </c>
      <c r="AZ640">
        <v>8.6199999999999992</v>
      </c>
      <c r="BA640">
        <v>-16.18</v>
      </c>
      <c r="BB640" t="s">
        <v>73</v>
      </c>
    </row>
    <row r="641" spans="1:54" x14ac:dyDescent="0.4">
      <c r="A641">
        <v>786315</v>
      </c>
      <c r="D641" t="s">
        <v>54</v>
      </c>
      <c r="G641">
        <v>1</v>
      </c>
      <c r="H641" t="s">
        <v>56</v>
      </c>
      <c r="I641" t="s">
        <v>57</v>
      </c>
      <c r="K641" t="s">
        <v>148</v>
      </c>
      <c r="L641" t="s">
        <v>595</v>
      </c>
      <c r="M641" t="s">
        <v>59</v>
      </c>
      <c r="N641" t="s">
        <v>97</v>
      </c>
      <c r="O641" t="s">
        <v>101</v>
      </c>
      <c r="P641" t="s">
        <v>502</v>
      </c>
      <c r="R641" t="s">
        <v>260</v>
      </c>
      <c r="S641" t="s">
        <v>98</v>
      </c>
      <c r="T641">
        <v>254.14</v>
      </c>
      <c r="U641">
        <v>251.90199999999999</v>
      </c>
      <c r="V641">
        <f>(T641+U641)/2</f>
        <v>253.02099999999999</v>
      </c>
      <c r="W641">
        <f>T641-U641</f>
        <v>2.2379999999999995</v>
      </c>
      <c r="X641">
        <v>7.5333329999999998</v>
      </c>
      <c r="Y641">
        <v>18.510555</v>
      </c>
      <c r="Z641" t="s">
        <v>126</v>
      </c>
      <c r="AA641" t="s">
        <v>596</v>
      </c>
      <c r="AB641" t="s">
        <v>597</v>
      </c>
      <c r="AC641" t="s">
        <v>598</v>
      </c>
      <c r="AD641" t="s">
        <v>599</v>
      </c>
      <c r="AE641" t="s">
        <v>600</v>
      </c>
      <c r="AH641" t="s">
        <v>65</v>
      </c>
      <c r="AI641" t="s">
        <v>601</v>
      </c>
      <c r="AJ641">
        <v>1969</v>
      </c>
      <c r="AK641" t="s">
        <v>602</v>
      </c>
      <c r="AM641" t="s">
        <v>603</v>
      </c>
      <c r="AN641" t="s">
        <v>121</v>
      </c>
      <c r="AO641" t="s">
        <v>68</v>
      </c>
      <c r="AP641" t="s">
        <v>69</v>
      </c>
      <c r="AQ641" t="s">
        <v>604</v>
      </c>
      <c r="AR641" t="s">
        <v>70</v>
      </c>
      <c r="AS641">
        <v>714</v>
      </c>
      <c r="AT641" t="s">
        <v>71</v>
      </c>
      <c r="AU641">
        <v>13.23</v>
      </c>
      <c r="AV641">
        <v>-3.88</v>
      </c>
      <c r="AW641" t="s">
        <v>72</v>
      </c>
      <c r="AX641">
        <v>714</v>
      </c>
      <c r="AY641" t="s">
        <v>71</v>
      </c>
      <c r="AZ641">
        <v>8.6199999999999992</v>
      </c>
      <c r="BA641">
        <v>-16.18</v>
      </c>
      <c r="BB641" t="s">
        <v>73</v>
      </c>
    </row>
    <row r="642" spans="1:54" x14ac:dyDescent="0.4">
      <c r="A642">
        <v>786668</v>
      </c>
      <c r="D642" t="s">
        <v>54</v>
      </c>
      <c r="G642">
        <v>1</v>
      </c>
      <c r="H642" t="s">
        <v>56</v>
      </c>
      <c r="I642" t="s">
        <v>57</v>
      </c>
      <c r="K642" t="s">
        <v>102</v>
      </c>
      <c r="L642" t="s">
        <v>614</v>
      </c>
      <c r="M642" t="s">
        <v>59</v>
      </c>
      <c r="O642" t="s">
        <v>107</v>
      </c>
      <c r="P642" t="s">
        <v>502</v>
      </c>
      <c r="R642" t="s">
        <v>260</v>
      </c>
      <c r="S642" t="s">
        <v>98</v>
      </c>
      <c r="T642">
        <v>254.14</v>
      </c>
      <c r="U642">
        <v>251.90199999999999</v>
      </c>
      <c r="V642">
        <f>(T642+U642)/2</f>
        <v>253.02099999999999</v>
      </c>
      <c r="W642">
        <f>T642-U642</f>
        <v>2.2379999999999995</v>
      </c>
      <c r="X642">
        <v>7.197222</v>
      </c>
      <c r="Y642">
        <v>18.783332999999999</v>
      </c>
      <c r="Z642" t="s">
        <v>126</v>
      </c>
      <c r="AA642" t="s">
        <v>596</v>
      </c>
      <c r="AB642" t="s">
        <v>597</v>
      </c>
      <c r="AC642" t="s">
        <v>598</v>
      </c>
      <c r="AD642" t="s">
        <v>599</v>
      </c>
      <c r="AE642" t="s">
        <v>600</v>
      </c>
      <c r="AH642" t="s">
        <v>65</v>
      </c>
      <c r="AI642" t="s">
        <v>615</v>
      </c>
      <c r="AJ642">
        <v>2003</v>
      </c>
      <c r="AK642" t="s">
        <v>616</v>
      </c>
      <c r="AM642" t="s">
        <v>603</v>
      </c>
      <c r="AN642" t="s">
        <v>67</v>
      </c>
      <c r="AO642" t="s">
        <v>68</v>
      </c>
      <c r="AP642" t="s">
        <v>69</v>
      </c>
      <c r="AQ642" t="s">
        <v>617</v>
      </c>
      <c r="AR642" t="s">
        <v>70</v>
      </c>
      <c r="AS642">
        <v>714</v>
      </c>
      <c r="AT642" t="s">
        <v>71</v>
      </c>
      <c r="AU642">
        <v>13.12</v>
      </c>
      <c r="AV642">
        <v>-3.48</v>
      </c>
      <c r="AW642" t="s">
        <v>72</v>
      </c>
      <c r="AX642">
        <v>714</v>
      </c>
      <c r="AY642" t="s">
        <v>71</v>
      </c>
      <c r="AZ642">
        <v>8.49</v>
      </c>
      <c r="BA642">
        <v>-15.78</v>
      </c>
      <c r="BB642" t="s">
        <v>73</v>
      </c>
    </row>
    <row r="643" spans="1:54" x14ac:dyDescent="0.4">
      <c r="A643">
        <v>789102</v>
      </c>
      <c r="D643" t="s">
        <v>54</v>
      </c>
      <c r="G643">
        <v>1</v>
      </c>
      <c r="H643" t="s">
        <v>56</v>
      </c>
      <c r="I643" t="s">
        <v>57</v>
      </c>
      <c r="K643" t="s">
        <v>148</v>
      </c>
      <c r="L643" t="s">
        <v>595</v>
      </c>
      <c r="M643" t="s">
        <v>59</v>
      </c>
      <c r="N643" t="s">
        <v>97</v>
      </c>
      <c r="O643" t="s">
        <v>101</v>
      </c>
      <c r="P643" t="s">
        <v>502</v>
      </c>
      <c r="R643" t="s">
        <v>260</v>
      </c>
      <c r="S643" t="s">
        <v>98</v>
      </c>
      <c r="T643">
        <v>254.14</v>
      </c>
      <c r="U643">
        <v>251.90199999999999</v>
      </c>
      <c r="V643">
        <f>(T643+U643)/2</f>
        <v>253.02099999999999</v>
      </c>
      <c r="W643">
        <f>T643-U643</f>
        <v>2.2379999999999995</v>
      </c>
      <c r="X643">
        <v>7.197222</v>
      </c>
      <c r="Y643">
        <v>18.783332999999999</v>
      </c>
      <c r="Z643" t="s">
        <v>126</v>
      </c>
      <c r="AA643" t="s">
        <v>596</v>
      </c>
      <c r="AB643" t="s">
        <v>597</v>
      </c>
      <c r="AC643" t="s">
        <v>598</v>
      </c>
      <c r="AD643" t="s">
        <v>599</v>
      </c>
      <c r="AE643" t="s">
        <v>600</v>
      </c>
      <c r="AH643" t="s">
        <v>65</v>
      </c>
      <c r="AI643" t="s">
        <v>629</v>
      </c>
      <c r="AJ643">
        <v>2005</v>
      </c>
      <c r="AK643" t="s">
        <v>616</v>
      </c>
      <c r="AM643" t="s">
        <v>603</v>
      </c>
      <c r="AN643" t="s">
        <v>67</v>
      </c>
      <c r="AO643" t="s">
        <v>68</v>
      </c>
      <c r="AP643" t="s">
        <v>69</v>
      </c>
      <c r="AQ643" t="s">
        <v>617</v>
      </c>
      <c r="AR643" t="s">
        <v>70</v>
      </c>
      <c r="AS643">
        <v>714</v>
      </c>
      <c r="AT643" t="s">
        <v>71</v>
      </c>
      <c r="AU643">
        <v>13.12</v>
      </c>
      <c r="AV643">
        <v>-3.48</v>
      </c>
      <c r="AW643" t="s">
        <v>72</v>
      </c>
      <c r="AX643">
        <v>714</v>
      </c>
      <c r="AY643" t="s">
        <v>71</v>
      </c>
      <c r="AZ643">
        <v>8.49</v>
      </c>
      <c r="BA643">
        <v>-15.78</v>
      </c>
      <c r="BB643" t="s">
        <v>73</v>
      </c>
    </row>
    <row r="644" spans="1:54" x14ac:dyDescent="0.4">
      <c r="A644">
        <v>832705</v>
      </c>
      <c r="D644" t="s">
        <v>855</v>
      </c>
      <c r="E644" t="s">
        <v>55</v>
      </c>
      <c r="G644">
        <v>1</v>
      </c>
      <c r="H644" t="s">
        <v>56</v>
      </c>
      <c r="I644" t="s">
        <v>57</v>
      </c>
      <c r="K644" t="s">
        <v>814</v>
      </c>
      <c r="L644" t="s">
        <v>1036</v>
      </c>
      <c r="M644" t="s">
        <v>59</v>
      </c>
      <c r="O644" t="s">
        <v>107</v>
      </c>
      <c r="P644" t="s">
        <v>502</v>
      </c>
      <c r="R644" t="s">
        <v>260</v>
      </c>
      <c r="S644" t="s">
        <v>98</v>
      </c>
      <c r="T644">
        <v>254.14</v>
      </c>
      <c r="U644">
        <v>251.90199999999999</v>
      </c>
      <c r="V644">
        <f>(T644+U644)/2</f>
        <v>253.02099999999999</v>
      </c>
      <c r="W644">
        <f>T644-U644</f>
        <v>2.2379999999999995</v>
      </c>
      <c r="X644">
        <v>-3.368611</v>
      </c>
      <c r="Y644">
        <v>57.656387000000002</v>
      </c>
      <c r="Z644" t="s">
        <v>85</v>
      </c>
      <c r="AA644" t="s">
        <v>78</v>
      </c>
      <c r="AB644" t="s">
        <v>1037</v>
      </c>
      <c r="AC644" t="s">
        <v>1038</v>
      </c>
      <c r="AD644" t="s">
        <v>1039</v>
      </c>
      <c r="AH644" t="s">
        <v>65</v>
      </c>
      <c r="AI644" t="s">
        <v>1040</v>
      </c>
      <c r="AJ644">
        <v>2000</v>
      </c>
      <c r="AK644" t="s">
        <v>1041</v>
      </c>
      <c r="AM644" t="s">
        <v>1042</v>
      </c>
      <c r="AN644" t="s">
        <v>67</v>
      </c>
      <c r="AO644" t="s">
        <v>68</v>
      </c>
      <c r="AP644" t="s">
        <v>95</v>
      </c>
      <c r="AQ644" t="s">
        <v>1043</v>
      </c>
      <c r="AR644" t="s">
        <v>70</v>
      </c>
      <c r="AS644">
        <v>313</v>
      </c>
      <c r="AT644" t="s">
        <v>71</v>
      </c>
      <c r="AU644">
        <v>19.649999999999999</v>
      </c>
      <c r="AV644">
        <v>32.54</v>
      </c>
      <c r="AW644" t="s">
        <v>72</v>
      </c>
      <c r="AX644">
        <v>313</v>
      </c>
      <c r="AY644" t="s">
        <v>71</v>
      </c>
      <c r="AZ644">
        <v>12.34</v>
      </c>
      <c r="BA644">
        <v>20.56</v>
      </c>
      <c r="BB644" t="s">
        <v>73</v>
      </c>
    </row>
    <row r="645" spans="1:54" x14ac:dyDescent="0.4">
      <c r="A645">
        <v>832708</v>
      </c>
      <c r="D645" t="s">
        <v>855</v>
      </c>
      <c r="E645" t="s">
        <v>55</v>
      </c>
      <c r="G645">
        <v>1</v>
      </c>
      <c r="H645" t="s">
        <v>56</v>
      </c>
      <c r="I645" t="s">
        <v>57</v>
      </c>
      <c r="K645" t="s">
        <v>814</v>
      </c>
      <c r="L645" t="s">
        <v>1036</v>
      </c>
      <c r="M645" t="s">
        <v>59</v>
      </c>
      <c r="O645" t="s">
        <v>107</v>
      </c>
      <c r="P645" t="s">
        <v>502</v>
      </c>
      <c r="R645" t="s">
        <v>260</v>
      </c>
      <c r="S645" t="s">
        <v>98</v>
      </c>
      <c r="T645">
        <v>254.14</v>
      </c>
      <c r="U645">
        <v>251.90199999999999</v>
      </c>
      <c r="V645">
        <f>(T645+U645)/2</f>
        <v>253.02099999999999</v>
      </c>
      <c r="W645">
        <f>T645-U645</f>
        <v>2.2379999999999995</v>
      </c>
      <c r="X645">
        <v>-3.368611</v>
      </c>
      <c r="Y645">
        <v>57.656387000000002</v>
      </c>
      <c r="Z645" t="s">
        <v>85</v>
      </c>
      <c r="AA645" t="s">
        <v>78</v>
      </c>
      <c r="AB645" t="s">
        <v>1037</v>
      </c>
      <c r="AC645" t="s">
        <v>1038</v>
      </c>
      <c r="AD645" t="s">
        <v>1039</v>
      </c>
      <c r="AH645" t="s">
        <v>65</v>
      </c>
      <c r="AI645" t="s">
        <v>1044</v>
      </c>
      <c r="AJ645">
        <v>1893</v>
      </c>
      <c r="AK645" t="s">
        <v>1041</v>
      </c>
      <c r="AM645" t="s">
        <v>1042</v>
      </c>
      <c r="AN645" t="s">
        <v>67</v>
      </c>
      <c r="AO645" t="s">
        <v>68</v>
      </c>
      <c r="AP645" t="s">
        <v>95</v>
      </c>
      <c r="AQ645" t="s">
        <v>1043</v>
      </c>
      <c r="AR645" t="s">
        <v>70</v>
      </c>
      <c r="AS645">
        <v>313</v>
      </c>
      <c r="AT645" t="s">
        <v>71</v>
      </c>
      <c r="AU645">
        <v>19.649999999999999</v>
      </c>
      <c r="AV645">
        <v>32.54</v>
      </c>
      <c r="AW645" t="s">
        <v>72</v>
      </c>
      <c r="AX645">
        <v>313</v>
      </c>
      <c r="AY645" t="s">
        <v>71</v>
      </c>
      <c r="AZ645">
        <v>12.34</v>
      </c>
      <c r="BA645">
        <v>20.56</v>
      </c>
      <c r="BB645" t="s">
        <v>73</v>
      </c>
    </row>
    <row r="646" spans="1:54" x14ac:dyDescent="0.4">
      <c r="A646">
        <v>832708</v>
      </c>
      <c r="D646" t="s">
        <v>855</v>
      </c>
      <c r="E646" t="s">
        <v>55</v>
      </c>
      <c r="G646">
        <v>1</v>
      </c>
      <c r="H646" t="s">
        <v>56</v>
      </c>
      <c r="I646" t="s">
        <v>57</v>
      </c>
      <c r="K646" t="s">
        <v>814</v>
      </c>
      <c r="L646" t="s">
        <v>1036</v>
      </c>
      <c r="M646" t="s">
        <v>59</v>
      </c>
      <c r="O646" t="s">
        <v>107</v>
      </c>
      <c r="P646" t="s">
        <v>502</v>
      </c>
      <c r="R646" t="s">
        <v>260</v>
      </c>
      <c r="S646" t="s">
        <v>98</v>
      </c>
      <c r="T646">
        <v>254.14</v>
      </c>
      <c r="U646">
        <v>251.90199999999999</v>
      </c>
      <c r="V646">
        <f>(T646+U646)/2</f>
        <v>253.02099999999999</v>
      </c>
      <c r="W646">
        <f>T646-U646</f>
        <v>2.2379999999999995</v>
      </c>
      <c r="X646">
        <v>-3.368611</v>
      </c>
      <c r="Y646">
        <v>57.656387000000002</v>
      </c>
      <c r="Z646" t="s">
        <v>85</v>
      </c>
      <c r="AA646" t="s">
        <v>78</v>
      </c>
      <c r="AB646" t="s">
        <v>1037</v>
      </c>
      <c r="AC646" t="s">
        <v>1038</v>
      </c>
      <c r="AD646" t="s">
        <v>1039</v>
      </c>
      <c r="AH646" t="s">
        <v>65</v>
      </c>
      <c r="AI646" t="s">
        <v>1044</v>
      </c>
      <c r="AJ646">
        <v>1893</v>
      </c>
      <c r="AK646" t="s">
        <v>1041</v>
      </c>
      <c r="AM646" t="s">
        <v>1042</v>
      </c>
      <c r="AN646" t="s">
        <v>67</v>
      </c>
      <c r="AO646" t="s">
        <v>68</v>
      </c>
      <c r="AP646" t="s">
        <v>95</v>
      </c>
      <c r="AQ646" t="s">
        <v>1043</v>
      </c>
      <c r="AR646" t="s">
        <v>70</v>
      </c>
      <c r="AS646">
        <v>313</v>
      </c>
      <c r="AT646" t="s">
        <v>71</v>
      </c>
      <c r="AU646">
        <v>19.649999999999999</v>
      </c>
      <c r="AV646">
        <v>32.54</v>
      </c>
      <c r="AW646" t="s">
        <v>72</v>
      </c>
      <c r="AX646">
        <v>313</v>
      </c>
      <c r="AY646" t="s">
        <v>71</v>
      </c>
      <c r="AZ646">
        <v>12.34</v>
      </c>
      <c r="BA646">
        <v>20.56</v>
      </c>
      <c r="BB646" t="s">
        <v>73</v>
      </c>
    </row>
    <row r="647" spans="1:54" x14ac:dyDescent="0.4">
      <c r="A647">
        <v>837542</v>
      </c>
      <c r="D647" t="s">
        <v>54</v>
      </c>
      <c r="G647">
        <v>1</v>
      </c>
      <c r="H647" t="s">
        <v>56</v>
      </c>
      <c r="I647" t="s">
        <v>57</v>
      </c>
      <c r="K647" t="s">
        <v>247</v>
      </c>
      <c r="L647" t="s">
        <v>1100</v>
      </c>
      <c r="M647" t="s">
        <v>59</v>
      </c>
      <c r="O647" t="s">
        <v>107</v>
      </c>
      <c r="P647" t="s">
        <v>502</v>
      </c>
      <c r="R647" t="s">
        <v>260</v>
      </c>
      <c r="S647" t="s">
        <v>98</v>
      </c>
      <c r="T647">
        <v>254.14</v>
      </c>
      <c r="U647">
        <v>251.90199999999999</v>
      </c>
      <c r="V647">
        <f>(T647+U647)/2</f>
        <v>253.02099999999999</v>
      </c>
      <c r="W647">
        <f>T647-U647</f>
        <v>2.2379999999999995</v>
      </c>
      <c r="X647">
        <v>110.883331</v>
      </c>
      <c r="Y647">
        <v>37.433334000000002</v>
      </c>
      <c r="Z647" t="s">
        <v>99</v>
      </c>
      <c r="AA647" t="s">
        <v>186</v>
      </c>
      <c r="AB647" t="s">
        <v>503</v>
      </c>
      <c r="AC647" t="s">
        <v>504</v>
      </c>
      <c r="AD647" t="s">
        <v>1101</v>
      </c>
      <c r="AH647" t="s">
        <v>65</v>
      </c>
      <c r="AI647" t="s">
        <v>506</v>
      </c>
      <c r="AJ647">
        <v>1983</v>
      </c>
      <c r="AK647" t="s">
        <v>1102</v>
      </c>
      <c r="AM647" t="s">
        <v>1103</v>
      </c>
      <c r="AN647" t="s">
        <v>94</v>
      </c>
      <c r="AO647" t="s">
        <v>106</v>
      </c>
      <c r="AQ647" t="s">
        <v>1104</v>
      </c>
      <c r="AR647" t="s">
        <v>70</v>
      </c>
      <c r="AS647">
        <v>604</v>
      </c>
      <c r="AT647" t="s">
        <v>71</v>
      </c>
      <c r="AU647">
        <v>113.89</v>
      </c>
      <c r="AV647">
        <v>12.38</v>
      </c>
      <c r="AW647" t="s">
        <v>72</v>
      </c>
      <c r="AX647">
        <v>604</v>
      </c>
      <c r="AY647" t="s">
        <v>71</v>
      </c>
      <c r="AZ647">
        <v>90.68</v>
      </c>
      <c r="BA647">
        <v>31.51</v>
      </c>
      <c r="BB647" t="s">
        <v>73</v>
      </c>
    </row>
    <row r="648" spans="1:54" x14ac:dyDescent="0.4">
      <c r="A648">
        <v>837576</v>
      </c>
      <c r="D648" t="s">
        <v>54</v>
      </c>
      <c r="E648" t="s">
        <v>105</v>
      </c>
      <c r="G648">
        <v>1</v>
      </c>
      <c r="H648" t="s">
        <v>228</v>
      </c>
      <c r="I648" t="s">
        <v>57</v>
      </c>
      <c r="K648" t="s">
        <v>247</v>
      </c>
      <c r="L648" t="s">
        <v>1100</v>
      </c>
      <c r="M648" t="s">
        <v>59</v>
      </c>
      <c r="O648" t="s">
        <v>107</v>
      </c>
      <c r="P648" t="s">
        <v>502</v>
      </c>
      <c r="R648" t="s">
        <v>260</v>
      </c>
      <c r="S648" t="s">
        <v>98</v>
      </c>
      <c r="T648">
        <v>254.14</v>
      </c>
      <c r="U648">
        <v>251.90199999999999</v>
      </c>
      <c r="V648">
        <f>(T648+U648)/2</f>
        <v>253.02099999999999</v>
      </c>
      <c r="W648">
        <f>T648-U648</f>
        <v>2.2379999999999995</v>
      </c>
      <c r="X648">
        <v>110.815926</v>
      </c>
      <c r="Y648">
        <v>37.412757999999997</v>
      </c>
      <c r="Z648" t="s">
        <v>85</v>
      </c>
      <c r="AA648" t="s">
        <v>186</v>
      </c>
      <c r="AB648" t="s">
        <v>503</v>
      </c>
      <c r="AC648" t="s">
        <v>504</v>
      </c>
      <c r="AD648" t="s">
        <v>505</v>
      </c>
      <c r="AH648" t="s">
        <v>65</v>
      </c>
      <c r="AI648" t="s">
        <v>1105</v>
      </c>
      <c r="AJ648">
        <v>1997</v>
      </c>
      <c r="AK648" t="s">
        <v>507</v>
      </c>
      <c r="AN648" t="s">
        <v>67</v>
      </c>
      <c r="AO648">
        <v>6</v>
      </c>
      <c r="AP648" t="s">
        <v>95</v>
      </c>
      <c r="AQ648" t="s">
        <v>508</v>
      </c>
      <c r="AR648" t="s">
        <v>70</v>
      </c>
      <c r="AS648">
        <v>604</v>
      </c>
      <c r="AT648" t="s">
        <v>71</v>
      </c>
      <c r="AU648">
        <v>113.84</v>
      </c>
      <c r="AV648">
        <v>12.41</v>
      </c>
      <c r="AW648" t="s">
        <v>72</v>
      </c>
      <c r="AX648">
        <v>604</v>
      </c>
      <c r="AY648" t="s">
        <v>71</v>
      </c>
      <c r="AZ648">
        <v>90.62</v>
      </c>
      <c r="BA648">
        <v>31.51</v>
      </c>
      <c r="BB648" t="s">
        <v>73</v>
      </c>
    </row>
    <row r="649" spans="1:54" x14ac:dyDescent="0.4">
      <c r="A649">
        <v>842666</v>
      </c>
      <c r="D649" t="s">
        <v>54</v>
      </c>
      <c r="G649">
        <v>1</v>
      </c>
      <c r="H649" t="s">
        <v>56</v>
      </c>
      <c r="I649" t="s">
        <v>57</v>
      </c>
      <c r="K649" t="s">
        <v>247</v>
      </c>
      <c r="L649" t="s">
        <v>1100</v>
      </c>
      <c r="M649" t="s">
        <v>59</v>
      </c>
      <c r="O649" t="s">
        <v>107</v>
      </c>
      <c r="P649" t="s">
        <v>502</v>
      </c>
      <c r="R649" t="s">
        <v>260</v>
      </c>
      <c r="S649" t="s">
        <v>98</v>
      </c>
      <c r="T649">
        <v>254.14</v>
      </c>
      <c r="U649">
        <v>251.90199999999999</v>
      </c>
      <c r="V649">
        <f>(T649+U649)/2</f>
        <v>253.02099999999999</v>
      </c>
      <c r="W649">
        <f>T649-U649</f>
        <v>2.2379999999999995</v>
      </c>
      <c r="X649">
        <v>111.113998</v>
      </c>
      <c r="Y649">
        <v>39.032001000000001</v>
      </c>
      <c r="Z649" t="s">
        <v>99</v>
      </c>
      <c r="AA649" t="s">
        <v>186</v>
      </c>
      <c r="AB649" t="s">
        <v>503</v>
      </c>
      <c r="AC649" t="s">
        <v>1232</v>
      </c>
      <c r="AD649" t="s">
        <v>1101</v>
      </c>
      <c r="AH649" t="s">
        <v>65</v>
      </c>
      <c r="AI649" t="s">
        <v>1233</v>
      </c>
      <c r="AJ649">
        <v>1963</v>
      </c>
      <c r="AK649" t="s">
        <v>1234</v>
      </c>
      <c r="AM649" t="s">
        <v>1235</v>
      </c>
      <c r="AN649" t="s">
        <v>67</v>
      </c>
      <c r="AO649">
        <v>3</v>
      </c>
      <c r="AP649" t="s">
        <v>95</v>
      </c>
      <c r="AQ649" t="s">
        <v>1236</v>
      </c>
      <c r="AR649" t="s">
        <v>70</v>
      </c>
      <c r="AS649">
        <v>604</v>
      </c>
      <c r="AT649" t="s">
        <v>71</v>
      </c>
      <c r="AU649">
        <v>115.28</v>
      </c>
      <c r="AV649">
        <v>13.25</v>
      </c>
      <c r="AW649" t="s">
        <v>72</v>
      </c>
      <c r="AX649">
        <v>604</v>
      </c>
      <c r="AY649" t="s">
        <v>71</v>
      </c>
      <c r="AZ649">
        <v>91.48</v>
      </c>
      <c r="BA649">
        <v>32.979999999999997</v>
      </c>
      <c r="BB649" t="s">
        <v>73</v>
      </c>
    </row>
    <row r="650" spans="1:54" x14ac:dyDescent="0.4">
      <c r="A650">
        <v>1285940</v>
      </c>
      <c r="D650" t="s">
        <v>54</v>
      </c>
      <c r="G650">
        <v>1</v>
      </c>
      <c r="H650" t="s">
        <v>56</v>
      </c>
      <c r="I650" t="s">
        <v>57</v>
      </c>
      <c r="K650" t="s">
        <v>856</v>
      </c>
      <c r="L650" t="s">
        <v>1831</v>
      </c>
      <c r="M650" t="s">
        <v>59</v>
      </c>
      <c r="P650" t="s">
        <v>502</v>
      </c>
      <c r="R650" t="s">
        <v>260</v>
      </c>
      <c r="S650" t="s">
        <v>98</v>
      </c>
      <c r="T650">
        <v>254.14</v>
      </c>
      <c r="U650">
        <v>251.90199999999999</v>
      </c>
      <c r="V650">
        <f>(T650+U650)/2</f>
        <v>253.02099999999999</v>
      </c>
      <c r="W650">
        <f>T650-U650</f>
        <v>2.2379999999999995</v>
      </c>
      <c r="X650">
        <v>39.009444999999999</v>
      </c>
      <c r="Y650">
        <v>-5.0466670000000002</v>
      </c>
      <c r="Z650" t="s">
        <v>268</v>
      </c>
      <c r="AA650" t="s">
        <v>455</v>
      </c>
      <c r="AH650" t="s">
        <v>65</v>
      </c>
      <c r="AI650" t="s">
        <v>306</v>
      </c>
      <c r="AJ650">
        <v>1924</v>
      </c>
      <c r="AK650" t="s">
        <v>1832</v>
      </c>
      <c r="AN650" t="s">
        <v>94</v>
      </c>
      <c r="AO650" t="s">
        <v>68</v>
      </c>
      <c r="AP650" t="s">
        <v>69</v>
      </c>
      <c r="AQ650" t="s">
        <v>1833</v>
      </c>
      <c r="AR650" t="s">
        <v>70</v>
      </c>
      <c r="AS650">
        <v>709</v>
      </c>
      <c r="AT650" t="s">
        <v>71</v>
      </c>
      <c r="AU650">
        <v>24.02</v>
      </c>
      <c r="AV650">
        <v>-39.64</v>
      </c>
      <c r="AW650" t="s">
        <v>72</v>
      </c>
      <c r="AX650">
        <v>709</v>
      </c>
      <c r="AY650" t="s">
        <v>71</v>
      </c>
      <c r="AZ650">
        <v>25.92</v>
      </c>
      <c r="BA650">
        <v>-50.94</v>
      </c>
      <c r="BB650" t="s">
        <v>73</v>
      </c>
    </row>
    <row r="651" spans="1:54" x14ac:dyDescent="0.4">
      <c r="A651">
        <v>1285940</v>
      </c>
      <c r="D651" t="s">
        <v>54</v>
      </c>
      <c r="G651">
        <v>1</v>
      </c>
      <c r="H651" t="s">
        <v>56</v>
      </c>
      <c r="I651" t="s">
        <v>57</v>
      </c>
      <c r="K651" t="s">
        <v>856</v>
      </c>
      <c r="L651" t="s">
        <v>1831</v>
      </c>
      <c r="M651" t="s">
        <v>59</v>
      </c>
      <c r="P651" t="s">
        <v>502</v>
      </c>
      <c r="R651" t="s">
        <v>260</v>
      </c>
      <c r="S651" t="s">
        <v>98</v>
      </c>
      <c r="T651">
        <v>254.14</v>
      </c>
      <c r="U651">
        <v>251.90199999999999</v>
      </c>
      <c r="V651">
        <f>(T651+U651)/2</f>
        <v>253.02099999999999</v>
      </c>
      <c r="W651">
        <f>T651-U651</f>
        <v>2.2379999999999995</v>
      </c>
      <c r="X651">
        <v>39.009444999999999</v>
      </c>
      <c r="Y651">
        <v>-5.0466670000000002</v>
      </c>
      <c r="Z651" t="s">
        <v>268</v>
      </c>
      <c r="AA651" t="s">
        <v>455</v>
      </c>
      <c r="AH651" t="s">
        <v>65</v>
      </c>
      <c r="AI651" t="s">
        <v>306</v>
      </c>
      <c r="AJ651">
        <v>1924</v>
      </c>
      <c r="AK651" t="s">
        <v>1832</v>
      </c>
      <c r="AN651" t="s">
        <v>94</v>
      </c>
      <c r="AO651" t="s">
        <v>68</v>
      </c>
      <c r="AP651" t="s">
        <v>69</v>
      </c>
      <c r="AQ651" t="s">
        <v>1833</v>
      </c>
      <c r="AR651" t="s">
        <v>70</v>
      </c>
      <c r="AS651">
        <v>709</v>
      </c>
      <c r="AT651" t="s">
        <v>71</v>
      </c>
      <c r="AU651">
        <v>24.02</v>
      </c>
      <c r="AV651">
        <v>-39.64</v>
      </c>
      <c r="AW651" t="s">
        <v>72</v>
      </c>
      <c r="AX651">
        <v>709</v>
      </c>
      <c r="AY651" t="s">
        <v>71</v>
      </c>
      <c r="AZ651">
        <v>25.92</v>
      </c>
      <c r="BA651">
        <v>-50.94</v>
      </c>
      <c r="BB651" t="s">
        <v>73</v>
      </c>
    </row>
    <row r="652" spans="1:54" x14ac:dyDescent="0.4">
      <c r="A652">
        <v>1285940</v>
      </c>
      <c r="D652" t="s">
        <v>54</v>
      </c>
      <c r="G652">
        <v>1</v>
      </c>
      <c r="H652" t="s">
        <v>56</v>
      </c>
      <c r="I652" t="s">
        <v>57</v>
      </c>
      <c r="K652" t="s">
        <v>856</v>
      </c>
      <c r="L652" t="s">
        <v>1831</v>
      </c>
      <c r="M652" t="s">
        <v>59</v>
      </c>
      <c r="P652" t="s">
        <v>502</v>
      </c>
      <c r="R652" t="s">
        <v>260</v>
      </c>
      <c r="S652" t="s">
        <v>98</v>
      </c>
      <c r="T652">
        <v>254.14</v>
      </c>
      <c r="U652">
        <v>251.90199999999999</v>
      </c>
      <c r="V652">
        <f>(T652+U652)/2</f>
        <v>253.02099999999999</v>
      </c>
      <c r="W652">
        <f>T652-U652</f>
        <v>2.2379999999999995</v>
      </c>
      <c r="X652">
        <v>39.009444999999999</v>
      </c>
      <c r="Y652">
        <v>-5.0466670000000002</v>
      </c>
      <c r="Z652" t="s">
        <v>268</v>
      </c>
      <c r="AA652" t="s">
        <v>455</v>
      </c>
      <c r="AH652" t="s">
        <v>65</v>
      </c>
      <c r="AI652" t="s">
        <v>306</v>
      </c>
      <c r="AJ652">
        <v>1924</v>
      </c>
      <c r="AK652" t="s">
        <v>1832</v>
      </c>
      <c r="AN652" t="s">
        <v>94</v>
      </c>
      <c r="AO652" t="s">
        <v>68</v>
      </c>
      <c r="AP652" t="s">
        <v>69</v>
      </c>
      <c r="AQ652" t="s">
        <v>1833</v>
      </c>
      <c r="AR652" t="s">
        <v>70</v>
      </c>
      <c r="AS652">
        <v>709</v>
      </c>
      <c r="AT652" t="s">
        <v>71</v>
      </c>
      <c r="AU652">
        <v>24.02</v>
      </c>
      <c r="AV652">
        <v>-39.64</v>
      </c>
      <c r="AW652" t="s">
        <v>72</v>
      </c>
      <c r="AX652">
        <v>709</v>
      </c>
      <c r="AY652" t="s">
        <v>71</v>
      </c>
      <c r="AZ652">
        <v>25.92</v>
      </c>
      <c r="BA652">
        <v>-50.94</v>
      </c>
      <c r="BB652" t="s">
        <v>73</v>
      </c>
    </row>
    <row r="653" spans="1:54" x14ac:dyDescent="0.4">
      <c r="A653">
        <v>1286764</v>
      </c>
      <c r="D653" t="s">
        <v>54</v>
      </c>
      <c r="G653">
        <v>1</v>
      </c>
      <c r="H653" t="s">
        <v>74</v>
      </c>
      <c r="I653" t="s">
        <v>57</v>
      </c>
      <c r="K653" t="s">
        <v>247</v>
      </c>
      <c r="L653" t="s">
        <v>1100</v>
      </c>
      <c r="M653" t="s">
        <v>59</v>
      </c>
      <c r="O653" t="s">
        <v>107</v>
      </c>
      <c r="P653" t="s">
        <v>502</v>
      </c>
      <c r="R653" t="s">
        <v>260</v>
      </c>
      <c r="S653" t="s">
        <v>98</v>
      </c>
      <c r="T653">
        <v>254.14</v>
      </c>
      <c r="U653">
        <v>251.90199999999999</v>
      </c>
      <c r="V653">
        <f>(T653+U653)/2</f>
        <v>253.02099999999999</v>
      </c>
      <c r="W653">
        <f>T653-U653</f>
        <v>2.2379999999999995</v>
      </c>
      <c r="X653">
        <v>110.883331</v>
      </c>
      <c r="Y653">
        <v>37.433334000000002</v>
      </c>
      <c r="Z653" t="s">
        <v>99</v>
      </c>
      <c r="AA653" t="s">
        <v>186</v>
      </c>
      <c r="AB653" t="s">
        <v>503</v>
      </c>
      <c r="AC653" t="s">
        <v>504</v>
      </c>
      <c r="AD653" t="s">
        <v>1101</v>
      </c>
      <c r="AH653" t="s">
        <v>65</v>
      </c>
      <c r="AI653" t="s">
        <v>1852</v>
      </c>
      <c r="AJ653">
        <v>2013</v>
      </c>
      <c r="AK653" t="s">
        <v>1102</v>
      </c>
      <c r="AM653" t="s">
        <v>1103</v>
      </c>
      <c r="AN653" t="s">
        <v>94</v>
      </c>
      <c r="AO653" t="s">
        <v>106</v>
      </c>
      <c r="AQ653" t="s">
        <v>1104</v>
      </c>
      <c r="AR653" t="s">
        <v>70</v>
      </c>
      <c r="AS653">
        <v>604</v>
      </c>
      <c r="AT653" t="s">
        <v>71</v>
      </c>
      <c r="AU653">
        <v>113.89</v>
      </c>
      <c r="AV653">
        <v>12.38</v>
      </c>
      <c r="AW653" t="s">
        <v>72</v>
      </c>
      <c r="AX653">
        <v>604</v>
      </c>
      <c r="AY653" t="s">
        <v>71</v>
      </c>
      <c r="AZ653">
        <v>90.68</v>
      </c>
      <c r="BA653">
        <v>31.51</v>
      </c>
      <c r="BB653" t="s">
        <v>73</v>
      </c>
    </row>
    <row r="654" spans="1:54" x14ac:dyDescent="0.4">
      <c r="A654">
        <v>1286765</v>
      </c>
      <c r="D654" t="s">
        <v>54</v>
      </c>
      <c r="E654" t="s">
        <v>105</v>
      </c>
      <c r="G654">
        <v>2</v>
      </c>
      <c r="H654" t="s">
        <v>74</v>
      </c>
      <c r="I654" t="s">
        <v>57</v>
      </c>
      <c r="K654" t="s">
        <v>247</v>
      </c>
      <c r="L654" t="s">
        <v>1100</v>
      </c>
      <c r="M654" t="s">
        <v>59</v>
      </c>
      <c r="O654" t="s">
        <v>107</v>
      </c>
      <c r="P654" t="s">
        <v>502</v>
      </c>
      <c r="R654" t="s">
        <v>260</v>
      </c>
      <c r="S654" t="s">
        <v>98</v>
      </c>
      <c r="T654">
        <v>254.14</v>
      </c>
      <c r="U654">
        <v>251.90199999999999</v>
      </c>
      <c r="V654">
        <f>(T654+U654)/2</f>
        <v>253.02099999999999</v>
      </c>
      <c r="W654">
        <f>T654-U654</f>
        <v>2.2379999999999995</v>
      </c>
      <c r="X654">
        <v>110.815926</v>
      </c>
      <c r="Y654">
        <v>37.412757999999997</v>
      </c>
      <c r="Z654" t="s">
        <v>85</v>
      </c>
      <c r="AA654" t="s">
        <v>186</v>
      </c>
      <c r="AB654" t="s">
        <v>503</v>
      </c>
      <c r="AC654" t="s">
        <v>504</v>
      </c>
      <c r="AD654" t="s">
        <v>505</v>
      </c>
      <c r="AH654" t="s">
        <v>65</v>
      </c>
      <c r="AI654" t="s">
        <v>1462</v>
      </c>
      <c r="AJ654">
        <v>1980</v>
      </c>
      <c r="AK654" t="s">
        <v>507</v>
      </c>
      <c r="AN654" t="s">
        <v>67</v>
      </c>
      <c r="AO654">
        <v>6</v>
      </c>
      <c r="AP654" t="s">
        <v>95</v>
      </c>
      <c r="AQ654" t="s">
        <v>508</v>
      </c>
      <c r="AR654" t="s">
        <v>70</v>
      </c>
      <c r="AS654">
        <v>604</v>
      </c>
      <c r="AT654" t="s">
        <v>71</v>
      </c>
      <c r="AU654">
        <v>113.84</v>
      </c>
      <c r="AV654">
        <v>12.41</v>
      </c>
      <c r="AW654" t="s">
        <v>72</v>
      </c>
      <c r="AX654">
        <v>604</v>
      </c>
      <c r="AY654" t="s">
        <v>71</v>
      </c>
      <c r="AZ654">
        <v>90.62</v>
      </c>
      <c r="BA654">
        <v>31.51</v>
      </c>
      <c r="BB654" t="s">
        <v>73</v>
      </c>
    </row>
    <row r="655" spans="1:54" x14ac:dyDescent="0.4">
      <c r="A655" s="1" t="s">
        <v>2395</v>
      </c>
      <c r="B655" s="1"/>
      <c r="C655" s="1"/>
      <c r="D655" s="1" t="s">
        <v>54</v>
      </c>
      <c r="E655" s="1"/>
      <c r="F655" s="1" t="s">
        <v>2280</v>
      </c>
      <c r="G655" s="1">
        <v>1</v>
      </c>
      <c r="H655" s="1" t="s">
        <v>2281</v>
      </c>
      <c r="I655" s="2" t="s">
        <v>57</v>
      </c>
      <c r="J655" s="2" t="s">
        <v>2390</v>
      </c>
      <c r="K655" s="2" t="s">
        <v>2391</v>
      </c>
      <c r="L655" s="3" t="s">
        <v>2396</v>
      </c>
      <c r="M655" s="2" t="s">
        <v>59</v>
      </c>
      <c r="N655" s="3"/>
      <c r="O655" s="3"/>
      <c r="P655" s="2" t="s">
        <v>502</v>
      </c>
      <c r="Q655" s="2"/>
      <c r="R655" s="2" t="s">
        <v>260</v>
      </c>
      <c r="S655" s="2" t="s">
        <v>98</v>
      </c>
      <c r="T655">
        <v>254.14</v>
      </c>
      <c r="U655">
        <v>251.90199999999999</v>
      </c>
      <c r="V655">
        <f>(T655+U655)/2</f>
        <v>253.02099999999999</v>
      </c>
      <c r="W655">
        <f>T655-U655</f>
        <v>2.2379999999999995</v>
      </c>
      <c r="X655" s="12">
        <v>-54.1233</v>
      </c>
      <c r="Y655" s="12">
        <v>-32.307200000000002</v>
      </c>
      <c r="Z655" s="7"/>
      <c r="AA655" s="2" t="s">
        <v>2397</v>
      </c>
      <c r="AB655" s="2" t="s">
        <v>1011</v>
      </c>
      <c r="AC655" s="2"/>
      <c r="AD655" s="7" t="s">
        <v>2398</v>
      </c>
      <c r="AE655" s="2" t="s">
        <v>2283</v>
      </c>
      <c r="AF655" s="2" t="s">
        <v>2283</v>
      </c>
      <c r="AG655" s="7" t="s">
        <v>2398</v>
      </c>
      <c r="AH655" s="7"/>
      <c r="AI655" s="2" t="s">
        <v>2399</v>
      </c>
      <c r="AJ655" s="2">
        <v>2003</v>
      </c>
      <c r="AK655" s="4" t="s">
        <v>2400</v>
      </c>
      <c r="AL655" s="10" t="s">
        <v>2401</v>
      </c>
      <c r="AM655" s="4"/>
      <c r="AN655" s="4"/>
      <c r="AO655" s="2"/>
      <c r="AP655" s="2"/>
      <c r="AQ655" s="2"/>
      <c r="AR655" s="2"/>
      <c r="AS655" s="2"/>
      <c r="AT655" s="2"/>
      <c r="AU655" s="2"/>
      <c r="AV655" s="2"/>
      <c r="AW655" s="2"/>
      <c r="AX655" s="2"/>
      <c r="AY655" s="2"/>
      <c r="AZ655" s="2"/>
      <c r="BA655" s="2"/>
      <c r="BB655" s="2"/>
    </row>
    <row r="656" spans="1:54" x14ac:dyDescent="0.4">
      <c r="A656">
        <v>147521</v>
      </c>
      <c r="D656" t="s">
        <v>54</v>
      </c>
      <c r="G656">
        <v>10</v>
      </c>
      <c r="H656" t="s">
        <v>74</v>
      </c>
      <c r="I656" t="s">
        <v>57</v>
      </c>
      <c r="K656" t="s">
        <v>80</v>
      </c>
      <c r="L656" t="s">
        <v>81</v>
      </c>
      <c r="M656" t="s">
        <v>59</v>
      </c>
      <c r="P656" t="s">
        <v>82</v>
      </c>
      <c r="Q656" t="s">
        <v>83</v>
      </c>
      <c r="R656" t="s">
        <v>84</v>
      </c>
      <c r="S656" t="s">
        <v>61</v>
      </c>
      <c r="T656">
        <v>251.90199999999999</v>
      </c>
      <c r="U656">
        <v>246.7</v>
      </c>
      <c r="V656">
        <f>(T656+U656)/2</f>
        <v>249.30099999999999</v>
      </c>
      <c r="W656">
        <f>T656-U656</f>
        <v>5.2019999999999982</v>
      </c>
      <c r="X656">
        <v>26.509722</v>
      </c>
      <c r="Y656">
        <v>-32.106110000000001</v>
      </c>
      <c r="Z656" t="s">
        <v>85</v>
      </c>
      <c r="AA656" t="s">
        <v>86</v>
      </c>
      <c r="AB656" t="s">
        <v>87</v>
      </c>
      <c r="AC656" t="s">
        <v>88</v>
      </c>
      <c r="AD656" t="s">
        <v>89</v>
      </c>
      <c r="AE656" t="s">
        <v>90</v>
      </c>
      <c r="AH656" t="s">
        <v>65</v>
      </c>
      <c r="AI656" t="s">
        <v>91</v>
      </c>
      <c r="AJ656">
        <v>1905</v>
      </c>
      <c r="AK656" t="s">
        <v>92</v>
      </c>
      <c r="AM656" t="s">
        <v>93</v>
      </c>
      <c r="AN656" t="s">
        <v>94</v>
      </c>
      <c r="AO656" t="s">
        <v>68</v>
      </c>
      <c r="AP656" t="s">
        <v>95</v>
      </c>
      <c r="AQ656" t="s">
        <v>96</v>
      </c>
      <c r="AR656" t="s">
        <v>70</v>
      </c>
      <c r="AS656">
        <v>701</v>
      </c>
      <c r="AT656" t="s">
        <v>71</v>
      </c>
      <c r="AU656">
        <v>-11.67</v>
      </c>
      <c r="AV656">
        <v>-51.38</v>
      </c>
      <c r="AW656" t="s">
        <v>72</v>
      </c>
      <c r="AX656">
        <v>701</v>
      </c>
      <c r="AY656" t="s">
        <v>71</v>
      </c>
      <c r="AZ656">
        <v>-21.79</v>
      </c>
      <c r="BA656">
        <v>-65.5</v>
      </c>
      <c r="BB656" t="s">
        <v>73</v>
      </c>
    </row>
    <row r="657" spans="1:54" x14ac:dyDescent="0.4">
      <c r="A657">
        <v>285753</v>
      </c>
      <c r="D657" t="s">
        <v>54</v>
      </c>
      <c r="G657">
        <v>1</v>
      </c>
      <c r="H657" t="s">
        <v>56</v>
      </c>
      <c r="I657" t="s">
        <v>57</v>
      </c>
      <c r="K657" t="s">
        <v>80</v>
      </c>
      <c r="L657" t="s">
        <v>199</v>
      </c>
      <c r="M657" t="s">
        <v>59</v>
      </c>
      <c r="P657" t="s">
        <v>82</v>
      </c>
      <c r="Q657" t="s">
        <v>83</v>
      </c>
      <c r="R657" t="s">
        <v>84</v>
      </c>
      <c r="S657" t="s">
        <v>61</v>
      </c>
      <c r="T657">
        <v>251.90199999999999</v>
      </c>
      <c r="U657">
        <v>246.7</v>
      </c>
      <c r="V657">
        <f>(T657+U657)/2</f>
        <v>249.30099999999999</v>
      </c>
      <c r="W657">
        <f>T657-U657</f>
        <v>5.2019999999999982</v>
      </c>
      <c r="X657">
        <v>110</v>
      </c>
      <c r="Y657">
        <v>39.8125</v>
      </c>
      <c r="Z657" t="s">
        <v>99</v>
      </c>
      <c r="AA657" t="s">
        <v>186</v>
      </c>
      <c r="AB657" t="s">
        <v>187</v>
      </c>
      <c r="AD657" t="s">
        <v>200</v>
      </c>
      <c r="AH657" t="s">
        <v>65</v>
      </c>
      <c r="AI657" t="s">
        <v>190</v>
      </c>
      <c r="AJ657">
        <v>1983</v>
      </c>
      <c r="AK657" t="s">
        <v>201</v>
      </c>
      <c r="AM657" t="s">
        <v>202</v>
      </c>
      <c r="AN657" t="s">
        <v>94</v>
      </c>
      <c r="AO657" t="s">
        <v>68</v>
      </c>
      <c r="AQ657" t="s">
        <v>203</v>
      </c>
      <c r="AR657" t="s">
        <v>70</v>
      </c>
      <c r="AS657">
        <v>604</v>
      </c>
      <c r="AT657" t="s">
        <v>71</v>
      </c>
      <c r="AU657">
        <v>117.4</v>
      </c>
      <c r="AV657">
        <v>15.81</v>
      </c>
      <c r="AW657" t="s">
        <v>72</v>
      </c>
      <c r="AX657">
        <v>604</v>
      </c>
      <c r="AY657" t="s">
        <v>71</v>
      </c>
      <c r="AZ657">
        <v>90.38</v>
      </c>
      <c r="BA657">
        <v>36.17</v>
      </c>
      <c r="BB657" t="s">
        <v>73</v>
      </c>
    </row>
    <row r="658" spans="1:54" x14ac:dyDescent="0.4">
      <c r="A658">
        <v>387517</v>
      </c>
      <c r="D658" t="s">
        <v>54</v>
      </c>
      <c r="G658">
        <v>1</v>
      </c>
      <c r="H658" t="s">
        <v>74</v>
      </c>
      <c r="I658" t="s">
        <v>57</v>
      </c>
      <c r="K658" t="s">
        <v>102</v>
      </c>
      <c r="L658" t="s">
        <v>307</v>
      </c>
      <c r="M658" t="s">
        <v>59</v>
      </c>
      <c r="P658" t="s">
        <v>82</v>
      </c>
      <c r="Q658" t="s">
        <v>83</v>
      </c>
      <c r="R658" t="s">
        <v>84</v>
      </c>
      <c r="S658" t="s">
        <v>61</v>
      </c>
      <c r="T658">
        <v>251.90199999999999</v>
      </c>
      <c r="U658">
        <v>246.7</v>
      </c>
      <c r="V658">
        <f>(T658+U658)/2</f>
        <v>249.30099999999999</v>
      </c>
      <c r="W658">
        <f>T658-U658</f>
        <v>5.2019999999999982</v>
      </c>
      <c r="X658">
        <v>53.266666000000001</v>
      </c>
      <c r="Y658">
        <v>53.716667000000001</v>
      </c>
      <c r="Z658" t="s">
        <v>99</v>
      </c>
      <c r="AA658" t="s">
        <v>139</v>
      </c>
      <c r="AB658" t="s">
        <v>316</v>
      </c>
      <c r="AC658" t="s">
        <v>317</v>
      </c>
      <c r="AH658" t="s">
        <v>11</v>
      </c>
      <c r="AI658" t="s">
        <v>311</v>
      </c>
      <c r="AJ658">
        <v>1978</v>
      </c>
      <c r="AK658" t="s">
        <v>322</v>
      </c>
      <c r="AM658" t="s">
        <v>323</v>
      </c>
      <c r="AN658" t="s">
        <v>94</v>
      </c>
      <c r="AO658" t="s">
        <v>106</v>
      </c>
      <c r="AP658" t="s">
        <v>69</v>
      </c>
      <c r="AQ658" t="s">
        <v>324</v>
      </c>
      <c r="AR658" t="s">
        <v>70</v>
      </c>
      <c r="AS658">
        <v>302</v>
      </c>
      <c r="AT658" t="s">
        <v>71</v>
      </c>
      <c r="AU658">
        <v>58.11</v>
      </c>
      <c r="AV658">
        <v>40.75</v>
      </c>
      <c r="AW658" t="s">
        <v>72</v>
      </c>
      <c r="AX658">
        <v>301</v>
      </c>
      <c r="AY658" t="s">
        <v>71</v>
      </c>
      <c r="AZ658">
        <v>43.4</v>
      </c>
      <c r="BA658">
        <v>32.79</v>
      </c>
      <c r="BB658" t="s">
        <v>73</v>
      </c>
    </row>
    <row r="659" spans="1:54" x14ac:dyDescent="0.4">
      <c r="A659">
        <v>387518</v>
      </c>
      <c r="D659" t="s">
        <v>54</v>
      </c>
      <c r="I659" t="s">
        <v>57</v>
      </c>
      <c r="K659" t="s">
        <v>102</v>
      </c>
      <c r="L659" t="s">
        <v>307</v>
      </c>
      <c r="M659" t="s">
        <v>59</v>
      </c>
      <c r="P659" t="s">
        <v>82</v>
      </c>
      <c r="Q659" t="s">
        <v>83</v>
      </c>
      <c r="R659" t="s">
        <v>84</v>
      </c>
      <c r="S659" t="s">
        <v>61</v>
      </c>
      <c r="T659">
        <v>251.90199999999999</v>
      </c>
      <c r="U659">
        <v>246.7</v>
      </c>
      <c r="V659">
        <f>(T659+U659)/2</f>
        <v>249.30099999999999</v>
      </c>
      <c r="W659">
        <f>T659-U659</f>
        <v>5.2019999999999982</v>
      </c>
      <c r="X659">
        <v>52.041668000000001</v>
      </c>
      <c r="Y659">
        <v>52.291668000000001</v>
      </c>
      <c r="Z659" t="s">
        <v>99</v>
      </c>
      <c r="AA659" t="s">
        <v>139</v>
      </c>
      <c r="AB659" t="s">
        <v>316</v>
      </c>
      <c r="AC659" t="s">
        <v>325</v>
      </c>
      <c r="AH659" t="s">
        <v>11</v>
      </c>
      <c r="AI659" t="s">
        <v>311</v>
      </c>
      <c r="AJ659">
        <v>1978</v>
      </c>
      <c r="AK659" t="s">
        <v>326</v>
      </c>
      <c r="AM659" t="s">
        <v>327</v>
      </c>
      <c r="AN659" t="s">
        <v>94</v>
      </c>
      <c r="AO659" t="s">
        <v>68</v>
      </c>
      <c r="AP659" t="s">
        <v>69</v>
      </c>
      <c r="AQ659" t="s">
        <v>328</v>
      </c>
      <c r="AR659" t="s">
        <v>70</v>
      </c>
      <c r="AS659">
        <v>302</v>
      </c>
      <c r="AT659" t="s">
        <v>71</v>
      </c>
      <c r="AU659">
        <v>58.2</v>
      </c>
      <c r="AV659">
        <v>39.15</v>
      </c>
      <c r="AW659" t="s">
        <v>72</v>
      </c>
      <c r="AX659">
        <v>301</v>
      </c>
      <c r="AY659" t="s">
        <v>71</v>
      </c>
      <c r="AZ659">
        <v>43.97</v>
      </c>
      <c r="BA659">
        <v>31.26</v>
      </c>
      <c r="BB659" t="s">
        <v>73</v>
      </c>
    </row>
    <row r="660" spans="1:54" x14ac:dyDescent="0.4">
      <c r="A660">
        <v>792593</v>
      </c>
      <c r="D660" t="s">
        <v>54</v>
      </c>
      <c r="E660" t="s">
        <v>55</v>
      </c>
      <c r="G660">
        <v>1</v>
      </c>
      <c r="H660" t="s">
        <v>56</v>
      </c>
      <c r="I660" t="s">
        <v>57</v>
      </c>
      <c r="K660" t="s">
        <v>80</v>
      </c>
      <c r="L660" t="s">
        <v>785</v>
      </c>
      <c r="M660" t="s">
        <v>59</v>
      </c>
      <c r="P660" t="s">
        <v>82</v>
      </c>
      <c r="Q660" t="s">
        <v>83</v>
      </c>
      <c r="R660" t="s">
        <v>84</v>
      </c>
      <c r="S660" t="s">
        <v>61</v>
      </c>
      <c r="T660">
        <v>251.90199999999999</v>
      </c>
      <c r="U660">
        <v>246.7</v>
      </c>
      <c r="V660">
        <f>(T660+U660)/2</f>
        <v>249.30099999999999</v>
      </c>
      <c r="W660">
        <f>T660-U660</f>
        <v>5.2019999999999982</v>
      </c>
      <c r="X660">
        <v>24.983333999999999</v>
      </c>
      <c r="Y660">
        <v>-31.716667000000001</v>
      </c>
      <c r="Z660" t="s">
        <v>99</v>
      </c>
      <c r="AA660" t="s">
        <v>86</v>
      </c>
      <c r="AB660" t="s">
        <v>87</v>
      </c>
      <c r="AC660" t="s">
        <v>496</v>
      </c>
      <c r="AD660" t="s">
        <v>540</v>
      </c>
      <c r="AE660" t="s">
        <v>90</v>
      </c>
      <c r="AF660" t="s">
        <v>541</v>
      </c>
      <c r="AG660" t="s">
        <v>497</v>
      </c>
      <c r="AH660" t="s">
        <v>65</v>
      </c>
      <c r="AI660" t="s">
        <v>498</v>
      </c>
      <c r="AJ660">
        <v>2001</v>
      </c>
      <c r="AK660" t="s">
        <v>786</v>
      </c>
      <c r="AN660" t="s">
        <v>177</v>
      </c>
      <c r="AO660" t="s">
        <v>106</v>
      </c>
      <c r="AP660" t="s">
        <v>182</v>
      </c>
      <c r="AQ660" t="s">
        <v>787</v>
      </c>
      <c r="AR660" t="s">
        <v>70</v>
      </c>
      <c r="AS660">
        <v>701</v>
      </c>
      <c r="AT660" t="s">
        <v>71</v>
      </c>
      <c r="AU660">
        <v>-12.37</v>
      </c>
      <c r="AV660">
        <v>-50.1</v>
      </c>
      <c r="AW660" t="s">
        <v>72</v>
      </c>
      <c r="AX660">
        <v>701</v>
      </c>
      <c r="AY660" t="s">
        <v>71</v>
      </c>
      <c r="AZ660">
        <v>-22.56</v>
      </c>
      <c r="BA660">
        <v>-64.19</v>
      </c>
      <c r="BB660" t="s">
        <v>73</v>
      </c>
    </row>
    <row r="661" spans="1:54" x14ac:dyDescent="0.4">
      <c r="A661">
        <v>792593</v>
      </c>
      <c r="D661" t="s">
        <v>54</v>
      </c>
      <c r="E661" t="s">
        <v>55</v>
      </c>
      <c r="G661">
        <v>1</v>
      </c>
      <c r="H661" t="s">
        <v>56</v>
      </c>
      <c r="I661" t="s">
        <v>57</v>
      </c>
      <c r="K661" t="s">
        <v>80</v>
      </c>
      <c r="L661" t="s">
        <v>785</v>
      </c>
      <c r="M661" t="s">
        <v>59</v>
      </c>
      <c r="P661" t="s">
        <v>82</v>
      </c>
      <c r="Q661" t="s">
        <v>83</v>
      </c>
      <c r="R661" t="s">
        <v>84</v>
      </c>
      <c r="S661" t="s">
        <v>61</v>
      </c>
      <c r="T661">
        <v>251.90199999999999</v>
      </c>
      <c r="U661">
        <v>246.7</v>
      </c>
      <c r="V661">
        <f>(T661+U661)/2</f>
        <v>249.30099999999999</v>
      </c>
      <c r="W661">
        <f>T661-U661</f>
        <v>5.2019999999999982</v>
      </c>
      <c r="X661">
        <v>24.983333999999999</v>
      </c>
      <c r="Y661">
        <v>-31.716667000000001</v>
      </c>
      <c r="Z661" t="s">
        <v>99</v>
      </c>
      <c r="AA661" t="s">
        <v>86</v>
      </c>
      <c r="AB661" t="s">
        <v>87</v>
      </c>
      <c r="AC661" t="s">
        <v>496</v>
      </c>
      <c r="AD661" t="s">
        <v>540</v>
      </c>
      <c r="AE661" t="s">
        <v>90</v>
      </c>
      <c r="AF661" t="s">
        <v>541</v>
      </c>
      <c r="AG661" t="s">
        <v>497</v>
      </c>
      <c r="AH661" t="s">
        <v>65</v>
      </c>
      <c r="AI661" t="s">
        <v>498</v>
      </c>
      <c r="AJ661">
        <v>2001</v>
      </c>
      <c r="AK661" t="s">
        <v>786</v>
      </c>
      <c r="AN661" t="s">
        <v>177</v>
      </c>
      <c r="AO661" t="s">
        <v>106</v>
      </c>
      <c r="AP661" t="s">
        <v>182</v>
      </c>
      <c r="AQ661" t="s">
        <v>787</v>
      </c>
      <c r="AR661" t="s">
        <v>70</v>
      </c>
      <c r="AS661">
        <v>701</v>
      </c>
      <c r="AT661" t="s">
        <v>71</v>
      </c>
      <c r="AU661">
        <v>-12.37</v>
      </c>
      <c r="AV661">
        <v>-50.1</v>
      </c>
      <c r="AW661" t="s">
        <v>72</v>
      </c>
      <c r="AX661">
        <v>701</v>
      </c>
      <c r="AY661" t="s">
        <v>71</v>
      </c>
      <c r="AZ661">
        <v>-22.56</v>
      </c>
      <c r="BA661">
        <v>-64.19</v>
      </c>
      <c r="BB661" t="s">
        <v>73</v>
      </c>
    </row>
    <row r="662" spans="1:54" x14ac:dyDescent="0.4">
      <c r="A662">
        <v>801922</v>
      </c>
      <c r="D662" t="s">
        <v>855</v>
      </c>
      <c r="E662" t="s">
        <v>55</v>
      </c>
      <c r="G662">
        <v>1</v>
      </c>
      <c r="H662" t="s">
        <v>56</v>
      </c>
      <c r="I662" t="s">
        <v>57</v>
      </c>
      <c r="K662" t="s">
        <v>856</v>
      </c>
      <c r="L662" t="s">
        <v>857</v>
      </c>
      <c r="M662" t="s">
        <v>59</v>
      </c>
      <c r="P662" t="s">
        <v>82</v>
      </c>
      <c r="Q662" t="s">
        <v>83</v>
      </c>
      <c r="R662" t="s">
        <v>84</v>
      </c>
      <c r="S662" t="s">
        <v>61</v>
      </c>
      <c r="T662">
        <v>251.90199999999999</v>
      </c>
      <c r="U662">
        <v>246.7</v>
      </c>
      <c r="V662">
        <f>(T662+U662)/2</f>
        <v>249.30099999999999</v>
      </c>
      <c r="W662">
        <f>T662-U662</f>
        <v>5.2019999999999982</v>
      </c>
      <c r="X662">
        <v>39.474997999999999</v>
      </c>
      <c r="Y662">
        <v>-3.858333</v>
      </c>
      <c r="Z662" t="s">
        <v>428</v>
      </c>
      <c r="AA662" t="s">
        <v>858</v>
      </c>
      <c r="AB662" t="s">
        <v>859</v>
      </c>
      <c r="AC662" t="s">
        <v>860</v>
      </c>
      <c r="AD662" t="s">
        <v>861</v>
      </c>
      <c r="AE662" t="s">
        <v>862</v>
      </c>
      <c r="AH662" t="s">
        <v>65</v>
      </c>
      <c r="AI662" t="s">
        <v>863</v>
      </c>
      <c r="AJ662">
        <v>1977</v>
      </c>
      <c r="AK662" t="s">
        <v>864</v>
      </c>
      <c r="AN662" t="s">
        <v>121</v>
      </c>
      <c r="AO662" t="s">
        <v>68</v>
      </c>
      <c r="AP662" t="s">
        <v>95</v>
      </c>
      <c r="AQ662" t="s">
        <v>865</v>
      </c>
      <c r="AR662" t="s">
        <v>70</v>
      </c>
      <c r="AS662">
        <v>709</v>
      </c>
      <c r="AT662" t="s">
        <v>71</v>
      </c>
      <c r="AU662">
        <v>26.18</v>
      </c>
      <c r="AV662">
        <v>-37.200000000000003</v>
      </c>
      <c r="AW662" t="s">
        <v>72</v>
      </c>
      <c r="AX662">
        <v>709</v>
      </c>
      <c r="AY662" t="s">
        <v>71</v>
      </c>
      <c r="AZ662">
        <v>28.83</v>
      </c>
      <c r="BA662">
        <v>-49.32</v>
      </c>
      <c r="BB662" t="s">
        <v>73</v>
      </c>
    </row>
    <row r="663" spans="1:54" x14ac:dyDescent="0.4">
      <c r="A663">
        <v>803135</v>
      </c>
      <c r="D663" t="s">
        <v>763</v>
      </c>
      <c r="E663" t="s">
        <v>105</v>
      </c>
      <c r="G663">
        <v>7</v>
      </c>
      <c r="H663" t="s">
        <v>74</v>
      </c>
      <c r="I663" t="s">
        <v>57</v>
      </c>
      <c r="K663" t="s">
        <v>80</v>
      </c>
      <c r="L663" t="s">
        <v>81</v>
      </c>
      <c r="M663" t="s">
        <v>59</v>
      </c>
      <c r="P663" t="s">
        <v>82</v>
      </c>
      <c r="Q663" t="s">
        <v>83</v>
      </c>
      <c r="R663" t="s">
        <v>84</v>
      </c>
      <c r="S663" t="s">
        <v>61</v>
      </c>
      <c r="T663">
        <v>251.90199999999999</v>
      </c>
      <c r="U663">
        <v>246.7</v>
      </c>
      <c r="V663">
        <f>(T663+U663)/2</f>
        <v>249.30099999999999</v>
      </c>
      <c r="W663">
        <f>T663-U663</f>
        <v>5.2019999999999982</v>
      </c>
      <c r="X663">
        <v>-177</v>
      </c>
      <c r="Y663">
        <v>-85.216667000000001</v>
      </c>
      <c r="Z663" t="s">
        <v>85</v>
      </c>
      <c r="AA663" t="s">
        <v>866</v>
      </c>
      <c r="AD663" t="s">
        <v>867</v>
      </c>
      <c r="AE663" t="s">
        <v>868</v>
      </c>
      <c r="AF663" t="s">
        <v>305</v>
      </c>
      <c r="AH663" t="s">
        <v>65</v>
      </c>
      <c r="AI663" t="s">
        <v>869</v>
      </c>
      <c r="AJ663">
        <v>1975</v>
      </c>
      <c r="AK663" t="s">
        <v>870</v>
      </c>
      <c r="AM663" t="s">
        <v>871</v>
      </c>
      <c r="AN663" t="s">
        <v>67</v>
      </c>
      <c r="AO663" t="s">
        <v>68</v>
      </c>
      <c r="AP663" t="s">
        <v>69</v>
      </c>
      <c r="AQ663" t="s">
        <v>872</v>
      </c>
      <c r="AR663" t="s">
        <v>70</v>
      </c>
      <c r="AS663">
        <v>802</v>
      </c>
      <c r="AT663" t="s">
        <v>71</v>
      </c>
      <c r="AU663">
        <v>20.67</v>
      </c>
      <c r="AV663">
        <v>-72.34</v>
      </c>
      <c r="AW663" t="s">
        <v>72</v>
      </c>
      <c r="AX663">
        <v>802</v>
      </c>
      <c r="AY663" t="s">
        <v>71</v>
      </c>
      <c r="AZ663">
        <v>73</v>
      </c>
      <c r="BA663">
        <v>-81.89</v>
      </c>
      <c r="BB663" t="s">
        <v>73</v>
      </c>
    </row>
    <row r="664" spans="1:54" x14ac:dyDescent="0.4">
      <c r="A664">
        <v>803158</v>
      </c>
      <c r="D664" t="s">
        <v>54</v>
      </c>
      <c r="E664" t="s">
        <v>105</v>
      </c>
      <c r="G664">
        <v>1</v>
      </c>
      <c r="H664" t="s">
        <v>56</v>
      </c>
      <c r="I664" t="s">
        <v>57</v>
      </c>
      <c r="K664" t="s">
        <v>80</v>
      </c>
      <c r="L664" t="s">
        <v>81</v>
      </c>
      <c r="M664" t="s">
        <v>59</v>
      </c>
      <c r="P664" t="s">
        <v>82</v>
      </c>
      <c r="Q664" t="s">
        <v>83</v>
      </c>
      <c r="R664" t="s">
        <v>84</v>
      </c>
      <c r="S664" t="s">
        <v>61</v>
      </c>
      <c r="T664">
        <v>251.90199999999999</v>
      </c>
      <c r="U664">
        <v>246.7</v>
      </c>
      <c r="V664">
        <f>(T664+U664)/2</f>
        <v>249.30099999999999</v>
      </c>
      <c r="W664">
        <f>T664-U664</f>
        <v>5.2019999999999982</v>
      </c>
      <c r="X664">
        <v>-175.5</v>
      </c>
      <c r="Y664">
        <v>-85.216667000000001</v>
      </c>
      <c r="Z664" t="s">
        <v>85</v>
      </c>
      <c r="AA664" t="s">
        <v>866</v>
      </c>
      <c r="AD664" t="s">
        <v>867</v>
      </c>
      <c r="AE664" t="s">
        <v>868</v>
      </c>
      <c r="AH664" t="s">
        <v>65</v>
      </c>
      <c r="AI664" t="s">
        <v>869</v>
      </c>
      <c r="AJ664">
        <v>1975</v>
      </c>
      <c r="AK664" t="s">
        <v>873</v>
      </c>
      <c r="AM664" t="s">
        <v>874</v>
      </c>
      <c r="AN664" t="s">
        <v>121</v>
      </c>
      <c r="AO664" t="s">
        <v>68</v>
      </c>
      <c r="AP664" t="s">
        <v>95</v>
      </c>
      <c r="AQ664" t="s">
        <v>875</v>
      </c>
      <c r="AR664" t="s">
        <v>70</v>
      </c>
      <c r="AS664">
        <v>802</v>
      </c>
      <c r="AT664" t="s">
        <v>71</v>
      </c>
      <c r="AU664">
        <v>20.29</v>
      </c>
      <c r="AV664">
        <v>-72.39</v>
      </c>
      <c r="AW664" t="s">
        <v>72</v>
      </c>
      <c r="AX664">
        <v>802</v>
      </c>
      <c r="AY664" t="s">
        <v>71</v>
      </c>
      <c r="AZ664">
        <v>72.87</v>
      </c>
      <c r="BA664">
        <v>-82.02</v>
      </c>
      <c r="BB664" t="s">
        <v>73</v>
      </c>
    </row>
    <row r="665" spans="1:54" x14ac:dyDescent="0.4">
      <c r="A665">
        <v>803158</v>
      </c>
      <c r="D665" t="s">
        <v>54</v>
      </c>
      <c r="E665" t="s">
        <v>105</v>
      </c>
      <c r="G665">
        <v>1</v>
      </c>
      <c r="H665" t="s">
        <v>56</v>
      </c>
      <c r="I665" t="s">
        <v>57</v>
      </c>
      <c r="K665" t="s">
        <v>80</v>
      </c>
      <c r="L665" t="s">
        <v>81</v>
      </c>
      <c r="M665" t="s">
        <v>59</v>
      </c>
      <c r="P665" t="s">
        <v>82</v>
      </c>
      <c r="Q665" t="s">
        <v>83</v>
      </c>
      <c r="R665" t="s">
        <v>84</v>
      </c>
      <c r="S665" t="s">
        <v>61</v>
      </c>
      <c r="T665">
        <v>251.90199999999999</v>
      </c>
      <c r="U665">
        <v>246.7</v>
      </c>
      <c r="V665">
        <f>(T665+U665)/2</f>
        <v>249.30099999999999</v>
      </c>
      <c r="W665">
        <f>T665-U665</f>
        <v>5.2019999999999982</v>
      </c>
      <c r="X665">
        <v>-175.5</v>
      </c>
      <c r="Y665">
        <v>-85.216667000000001</v>
      </c>
      <c r="Z665" t="s">
        <v>85</v>
      </c>
      <c r="AA665" t="s">
        <v>866</v>
      </c>
      <c r="AD665" t="s">
        <v>867</v>
      </c>
      <c r="AE665" t="s">
        <v>868</v>
      </c>
      <c r="AH665" t="s">
        <v>65</v>
      </c>
      <c r="AI665" t="s">
        <v>869</v>
      </c>
      <c r="AJ665">
        <v>1975</v>
      </c>
      <c r="AK665" t="s">
        <v>873</v>
      </c>
      <c r="AM665" t="s">
        <v>874</v>
      </c>
      <c r="AN665" t="s">
        <v>121</v>
      </c>
      <c r="AO665" t="s">
        <v>68</v>
      </c>
      <c r="AP665" t="s">
        <v>95</v>
      </c>
      <c r="AQ665" t="s">
        <v>875</v>
      </c>
      <c r="AR665" t="s">
        <v>70</v>
      </c>
      <c r="AS665">
        <v>802</v>
      </c>
      <c r="AT665" t="s">
        <v>71</v>
      </c>
      <c r="AU665">
        <v>20.29</v>
      </c>
      <c r="AV665">
        <v>-72.39</v>
      </c>
      <c r="AW665" t="s">
        <v>72</v>
      </c>
      <c r="AX665">
        <v>802</v>
      </c>
      <c r="AY665" t="s">
        <v>71</v>
      </c>
      <c r="AZ665">
        <v>72.87</v>
      </c>
      <c r="BA665">
        <v>-82.02</v>
      </c>
      <c r="BB665" t="s">
        <v>73</v>
      </c>
    </row>
    <row r="666" spans="1:54" x14ac:dyDescent="0.4">
      <c r="A666">
        <v>803158</v>
      </c>
      <c r="D666" t="s">
        <v>54</v>
      </c>
      <c r="E666" t="s">
        <v>105</v>
      </c>
      <c r="G666">
        <v>1</v>
      </c>
      <c r="H666" t="s">
        <v>56</v>
      </c>
      <c r="I666" t="s">
        <v>57</v>
      </c>
      <c r="K666" t="s">
        <v>80</v>
      </c>
      <c r="L666" t="s">
        <v>81</v>
      </c>
      <c r="M666" t="s">
        <v>59</v>
      </c>
      <c r="P666" t="s">
        <v>82</v>
      </c>
      <c r="Q666" t="s">
        <v>83</v>
      </c>
      <c r="R666" t="s">
        <v>84</v>
      </c>
      <c r="S666" t="s">
        <v>61</v>
      </c>
      <c r="T666">
        <v>251.90199999999999</v>
      </c>
      <c r="U666">
        <v>246.7</v>
      </c>
      <c r="V666">
        <f>(T666+U666)/2</f>
        <v>249.30099999999999</v>
      </c>
      <c r="W666">
        <f>T666-U666</f>
        <v>5.2019999999999982</v>
      </c>
      <c r="X666">
        <v>-175.5</v>
      </c>
      <c r="Y666">
        <v>-85.216667000000001</v>
      </c>
      <c r="Z666" t="s">
        <v>85</v>
      </c>
      <c r="AA666" t="s">
        <v>866</v>
      </c>
      <c r="AD666" t="s">
        <v>867</v>
      </c>
      <c r="AE666" t="s">
        <v>868</v>
      </c>
      <c r="AH666" t="s">
        <v>65</v>
      </c>
      <c r="AI666" t="s">
        <v>869</v>
      </c>
      <c r="AJ666">
        <v>1975</v>
      </c>
      <c r="AK666" t="s">
        <v>873</v>
      </c>
      <c r="AM666" t="s">
        <v>874</v>
      </c>
      <c r="AN666" t="s">
        <v>121</v>
      </c>
      <c r="AO666" t="s">
        <v>68</v>
      </c>
      <c r="AP666" t="s">
        <v>95</v>
      </c>
      <c r="AQ666" t="s">
        <v>875</v>
      </c>
      <c r="AR666" t="s">
        <v>70</v>
      </c>
      <c r="AS666">
        <v>802</v>
      </c>
      <c r="AT666" t="s">
        <v>71</v>
      </c>
      <c r="AU666">
        <v>20.29</v>
      </c>
      <c r="AV666">
        <v>-72.39</v>
      </c>
      <c r="AW666" t="s">
        <v>72</v>
      </c>
      <c r="AX666">
        <v>802</v>
      </c>
      <c r="AY666" t="s">
        <v>71</v>
      </c>
      <c r="AZ666">
        <v>72.87</v>
      </c>
      <c r="BA666">
        <v>-82.02</v>
      </c>
      <c r="BB666" t="s">
        <v>73</v>
      </c>
    </row>
    <row r="667" spans="1:54" x14ac:dyDescent="0.4">
      <c r="A667">
        <v>806914</v>
      </c>
      <c r="D667" t="s">
        <v>54</v>
      </c>
      <c r="G667">
        <v>1</v>
      </c>
      <c r="H667" t="s">
        <v>56</v>
      </c>
      <c r="I667" t="s">
        <v>57</v>
      </c>
      <c r="K667" t="s">
        <v>80</v>
      </c>
      <c r="L667" t="s">
        <v>81</v>
      </c>
      <c r="M667" t="s">
        <v>59</v>
      </c>
      <c r="P667" t="s">
        <v>82</v>
      </c>
      <c r="Q667" t="s">
        <v>83</v>
      </c>
      <c r="R667" t="s">
        <v>84</v>
      </c>
      <c r="S667" t="s">
        <v>61</v>
      </c>
      <c r="T667">
        <v>251.90199999999999</v>
      </c>
      <c r="U667">
        <v>246.7</v>
      </c>
      <c r="V667">
        <f>(T667+U667)/2</f>
        <v>249.30099999999999</v>
      </c>
      <c r="W667">
        <f>T667-U667</f>
        <v>5.2019999999999982</v>
      </c>
      <c r="X667">
        <v>26.509722</v>
      </c>
      <c r="Y667">
        <v>-32.106110000000001</v>
      </c>
      <c r="Z667" t="s">
        <v>85</v>
      </c>
      <c r="AA667" t="s">
        <v>86</v>
      </c>
      <c r="AB667" t="s">
        <v>87</v>
      </c>
      <c r="AC667" t="s">
        <v>88</v>
      </c>
      <c r="AD667" t="s">
        <v>89</v>
      </c>
      <c r="AE667" t="s">
        <v>90</v>
      </c>
      <c r="AH667" t="s">
        <v>65</v>
      </c>
      <c r="AI667" t="s">
        <v>889</v>
      </c>
      <c r="AJ667">
        <v>1985</v>
      </c>
      <c r="AK667" t="s">
        <v>92</v>
      </c>
      <c r="AM667" t="s">
        <v>93</v>
      </c>
      <c r="AN667" t="s">
        <v>94</v>
      </c>
      <c r="AO667" t="s">
        <v>68</v>
      </c>
      <c r="AP667" t="s">
        <v>95</v>
      </c>
      <c r="AQ667" t="s">
        <v>96</v>
      </c>
      <c r="AR667" t="s">
        <v>70</v>
      </c>
      <c r="AS667">
        <v>701</v>
      </c>
      <c r="AT667" t="s">
        <v>71</v>
      </c>
      <c r="AU667">
        <v>-11.67</v>
      </c>
      <c r="AV667">
        <v>-51.38</v>
      </c>
      <c r="AW667" t="s">
        <v>72</v>
      </c>
      <c r="AX667">
        <v>701</v>
      </c>
      <c r="AY667" t="s">
        <v>71</v>
      </c>
      <c r="AZ667">
        <v>-21.79</v>
      </c>
      <c r="BA667">
        <v>-65.5</v>
      </c>
      <c r="BB667" t="s">
        <v>73</v>
      </c>
    </row>
    <row r="668" spans="1:54" x14ac:dyDescent="0.4">
      <c r="A668">
        <v>807183</v>
      </c>
      <c r="D668" t="s">
        <v>54</v>
      </c>
      <c r="G668">
        <v>1</v>
      </c>
      <c r="H668" t="s">
        <v>56</v>
      </c>
      <c r="I668" t="s">
        <v>57</v>
      </c>
      <c r="K668" t="s">
        <v>102</v>
      </c>
      <c r="L668" t="s">
        <v>890</v>
      </c>
      <c r="M668" t="s">
        <v>59</v>
      </c>
      <c r="P668" t="s">
        <v>82</v>
      </c>
      <c r="Q668" t="s">
        <v>83</v>
      </c>
      <c r="R668" t="s">
        <v>84</v>
      </c>
      <c r="S668" t="s">
        <v>61</v>
      </c>
      <c r="T668">
        <v>251.90199999999999</v>
      </c>
      <c r="U668">
        <v>246.7</v>
      </c>
      <c r="V668">
        <f>(T668+U668)/2</f>
        <v>249.30099999999999</v>
      </c>
      <c r="W668">
        <f>T668-U668</f>
        <v>5.2019999999999982</v>
      </c>
      <c r="X668">
        <v>26.509722</v>
      </c>
      <c r="Y668">
        <v>-32.106110000000001</v>
      </c>
      <c r="Z668" t="s">
        <v>85</v>
      </c>
      <c r="AA668" t="s">
        <v>86</v>
      </c>
      <c r="AB668" t="s">
        <v>87</v>
      </c>
      <c r="AC668" t="s">
        <v>88</v>
      </c>
      <c r="AD668" t="s">
        <v>89</v>
      </c>
      <c r="AE668" t="s">
        <v>90</v>
      </c>
      <c r="AH668" t="s">
        <v>65</v>
      </c>
      <c r="AI668" t="s">
        <v>91</v>
      </c>
      <c r="AJ668">
        <v>1903</v>
      </c>
      <c r="AK668" t="s">
        <v>92</v>
      </c>
      <c r="AM668" t="s">
        <v>93</v>
      </c>
      <c r="AN668" t="s">
        <v>94</v>
      </c>
      <c r="AO668" t="s">
        <v>68</v>
      </c>
      <c r="AP668" t="s">
        <v>95</v>
      </c>
      <c r="AQ668" t="s">
        <v>96</v>
      </c>
      <c r="AR668" t="s">
        <v>70</v>
      </c>
      <c r="AS668">
        <v>701</v>
      </c>
      <c r="AT668" t="s">
        <v>71</v>
      </c>
      <c r="AU668">
        <v>-11.67</v>
      </c>
      <c r="AV668">
        <v>-51.38</v>
      </c>
      <c r="AW668" t="s">
        <v>72</v>
      </c>
      <c r="AX668">
        <v>701</v>
      </c>
      <c r="AY668" t="s">
        <v>71</v>
      </c>
      <c r="AZ668">
        <v>-21.79</v>
      </c>
      <c r="BA668">
        <v>-65.5</v>
      </c>
      <c r="BB668" t="s">
        <v>73</v>
      </c>
    </row>
    <row r="669" spans="1:54" x14ac:dyDescent="0.4">
      <c r="A669">
        <v>807184</v>
      </c>
      <c r="D669" t="s">
        <v>763</v>
      </c>
      <c r="E669" t="s">
        <v>104</v>
      </c>
      <c r="G669">
        <v>1</v>
      </c>
      <c r="H669" t="s">
        <v>56</v>
      </c>
      <c r="I669" t="s">
        <v>57</v>
      </c>
      <c r="K669" t="s">
        <v>80</v>
      </c>
      <c r="L669" t="s">
        <v>81</v>
      </c>
      <c r="M669" t="s">
        <v>59</v>
      </c>
      <c r="P669" t="s">
        <v>82</v>
      </c>
      <c r="Q669" t="s">
        <v>83</v>
      </c>
      <c r="R669" t="s">
        <v>84</v>
      </c>
      <c r="S669" t="s">
        <v>61</v>
      </c>
      <c r="T669">
        <v>251.90199999999999</v>
      </c>
      <c r="U669">
        <v>246.7</v>
      </c>
      <c r="V669">
        <f>(T669+U669)/2</f>
        <v>249.30099999999999</v>
      </c>
      <c r="W669">
        <f>T669-U669</f>
        <v>5.2019999999999982</v>
      </c>
      <c r="X669">
        <v>-174.83332799999999</v>
      </c>
      <c r="Y669">
        <v>-85.133330999999998</v>
      </c>
      <c r="Z669" t="s">
        <v>85</v>
      </c>
      <c r="AA669" t="s">
        <v>866</v>
      </c>
      <c r="AD669" t="s">
        <v>867</v>
      </c>
      <c r="AE669" t="s">
        <v>868</v>
      </c>
      <c r="AG669" t="s">
        <v>891</v>
      </c>
      <c r="AH669" t="s">
        <v>65</v>
      </c>
      <c r="AI669" t="s">
        <v>869</v>
      </c>
      <c r="AJ669">
        <v>1975</v>
      </c>
      <c r="AK669" t="s">
        <v>892</v>
      </c>
      <c r="AM669" t="s">
        <v>893</v>
      </c>
      <c r="AN669" t="s">
        <v>67</v>
      </c>
      <c r="AO669" t="s">
        <v>106</v>
      </c>
      <c r="AP669" t="s">
        <v>182</v>
      </c>
      <c r="AQ669" t="s">
        <v>894</v>
      </c>
      <c r="AR669" t="s">
        <v>70</v>
      </c>
      <c r="AS669">
        <v>802</v>
      </c>
      <c r="AT669" t="s">
        <v>71</v>
      </c>
      <c r="AU669">
        <v>20.22</v>
      </c>
      <c r="AV669">
        <v>-72.48</v>
      </c>
      <c r="AW669" t="s">
        <v>72</v>
      </c>
      <c r="AX669">
        <v>802</v>
      </c>
      <c r="AY669" t="s">
        <v>71</v>
      </c>
      <c r="AZ669">
        <v>73.41</v>
      </c>
      <c r="BA669">
        <v>-82.09</v>
      </c>
      <c r="BB669" t="s">
        <v>73</v>
      </c>
    </row>
    <row r="670" spans="1:54" x14ac:dyDescent="0.4">
      <c r="A670">
        <v>843491</v>
      </c>
      <c r="D670" t="s">
        <v>54</v>
      </c>
      <c r="F670" t="s">
        <v>1249</v>
      </c>
      <c r="G670">
        <v>1</v>
      </c>
      <c r="H670" t="s">
        <v>56</v>
      </c>
      <c r="I670" t="s">
        <v>57</v>
      </c>
      <c r="K670" t="s">
        <v>80</v>
      </c>
      <c r="L670" t="s">
        <v>81</v>
      </c>
      <c r="M670" t="s">
        <v>59</v>
      </c>
      <c r="P670" t="s">
        <v>82</v>
      </c>
      <c r="Q670" t="s">
        <v>83</v>
      </c>
      <c r="R670" t="s">
        <v>84</v>
      </c>
      <c r="S670" t="s">
        <v>61</v>
      </c>
      <c r="T670">
        <v>251.90199999999999</v>
      </c>
      <c r="U670">
        <v>246.7</v>
      </c>
      <c r="V670">
        <f>(T670+U670)/2</f>
        <v>249.30099999999999</v>
      </c>
      <c r="W670">
        <f>T670-U670</f>
        <v>5.2019999999999982</v>
      </c>
      <c r="X670">
        <v>-54.390278000000002</v>
      </c>
      <c r="Y670">
        <v>-29.623611</v>
      </c>
      <c r="Z670" t="s">
        <v>85</v>
      </c>
      <c r="AA670" t="s">
        <v>367</v>
      </c>
      <c r="AB670" t="s">
        <v>368</v>
      </c>
      <c r="AC670" t="s">
        <v>1250</v>
      </c>
      <c r="AD670" t="s">
        <v>1251</v>
      </c>
      <c r="AE670" t="s">
        <v>369</v>
      </c>
      <c r="AH670" t="s">
        <v>65</v>
      </c>
      <c r="AI670" t="s">
        <v>963</v>
      </c>
      <c r="AJ670">
        <v>2002</v>
      </c>
      <c r="AK670" t="s">
        <v>1252</v>
      </c>
      <c r="AM670" t="s">
        <v>1253</v>
      </c>
      <c r="AN670" t="s">
        <v>121</v>
      </c>
      <c r="AO670" t="s">
        <v>68</v>
      </c>
      <c r="AP670" t="s">
        <v>95</v>
      </c>
      <c r="AQ670" t="s">
        <v>1254</v>
      </c>
      <c r="AR670" t="s">
        <v>70</v>
      </c>
      <c r="AS670">
        <v>201</v>
      </c>
      <c r="AT670" t="s">
        <v>71</v>
      </c>
      <c r="AU670">
        <v>-15.9</v>
      </c>
      <c r="AV670">
        <v>-34.479999999999997</v>
      </c>
      <c r="AW670" t="s">
        <v>72</v>
      </c>
      <c r="AX670">
        <v>202</v>
      </c>
      <c r="AY670" t="s">
        <v>71</v>
      </c>
      <c r="AZ670">
        <v>-24.33</v>
      </c>
      <c r="BA670">
        <v>-48.16</v>
      </c>
      <c r="BB670" t="s">
        <v>73</v>
      </c>
    </row>
    <row r="671" spans="1:54" x14ac:dyDescent="0.4">
      <c r="A671">
        <v>843492</v>
      </c>
      <c r="D671" t="s">
        <v>54</v>
      </c>
      <c r="F671" t="s">
        <v>1249</v>
      </c>
      <c r="G671">
        <v>4</v>
      </c>
      <c r="H671" t="s">
        <v>74</v>
      </c>
      <c r="I671" t="s">
        <v>57</v>
      </c>
      <c r="K671" t="s">
        <v>80</v>
      </c>
      <c r="L671" t="s">
        <v>81</v>
      </c>
      <c r="M671" t="s">
        <v>59</v>
      </c>
      <c r="P671" t="s">
        <v>82</v>
      </c>
      <c r="Q671" t="s">
        <v>83</v>
      </c>
      <c r="R671" t="s">
        <v>84</v>
      </c>
      <c r="S671" t="s">
        <v>61</v>
      </c>
      <c r="T671">
        <v>251.90199999999999</v>
      </c>
      <c r="U671">
        <v>246.7</v>
      </c>
      <c r="V671">
        <f>(T671+U671)/2</f>
        <v>249.30099999999999</v>
      </c>
      <c r="W671">
        <f>T671-U671</f>
        <v>5.2019999999999982</v>
      </c>
      <c r="X671">
        <v>-54.390278000000002</v>
      </c>
      <c r="Y671">
        <v>-29.623611</v>
      </c>
      <c r="Z671" t="s">
        <v>85</v>
      </c>
      <c r="AA671" t="s">
        <v>367</v>
      </c>
      <c r="AB671" t="s">
        <v>368</v>
      </c>
      <c r="AC671" t="s">
        <v>1250</v>
      </c>
      <c r="AD671" t="s">
        <v>1251</v>
      </c>
      <c r="AE671" t="s">
        <v>369</v>
      </c>
      <c r="AH671" t="s">
        <v>11</v>
      </c>
      <c r="AI671" t="s">
        <v>1255</v>
      </c>
      <c r="AJ671">
        <v>2006</v>
      </c>
      <c r="AK671" t="s">
        <v>1252</v>
      </c>
      <c r="AM671" t="s">
        <v>1253</v>
      </c>
      <c r="AN671" t="s">
        <v>121</v>
      </c>
      <c r="AO671" t="s">
        <v>68</v>
      </c>
      <c r="AP671" t="s">
        <v>95</v>
      </c>
      <c r="AQ671" t="s">
        <v>1254</v>
      </c>
      <c r="AR671" t="s">
        <v>70</v>
      </c>
      <c r="AS671">
        <v>201</v>
      </c>
      <c r="AT671" t="s">
        <v>71</v>
      </c>
      <c r="AU671">
        <v>-15.9</v>
      </c>
      <c r="AV671">
        <v>-34.479999999999997</v>
      </c>
      <c r="AW671" t="s">
        <v>72</v>
      </c>
      <c r="AX671">
        <v>202</v>
      </c>
      <c r="AY671" t="s">
        <v>71</v>
      </c>
      <c r="AZ671">
        <v>-24.33</v>
      </c>
      <c r="BA671">
        <v>-48.16</v>
      </c>
      <c r="BB671" t="s">
        <v>73</v>
      </c>
    </row>
    <row r="672" spans="1:54" x14ac:dyDescent="0.4">
      <c r="A672">
        <v>843780</v>
      </c>
      <c r="D672" t="s">
        <v>54</v>
      </c>
      <c r="G672">
        <v>1</v>
      </c>
      <c r="H672" t="s">
        <v>56</v>
      </c>
      <c r="I672" t="s">
        <v>57</v>
      </c>
      <c r="K672" t="s">
        <v>80</v>
      </c>
      <c r="L672" t="s">
        <v>81</v>
      </c>
      <c r="M672" t="s">
        <v>59</v>
      </c>
      <c r="P672" t="s">
        <v>82</v>
      </c>
      <c r="Q672" t="s">
        <v>83</v>
      </c>
      <c r="R672" t="s">
        <v>84</v>
      </c>
      <c r="S672" t="s">
        <v>61</v>
      </c>
      <c r="T672">
        <v>251.90199999999999</v>
      </c>
      <c r="U672">
        <v>246.7</v>
      </c>
      <c r="V672">
        <f>(T672+U672)/2</f>
        <v>249.30099999999999</v>
      </c>
      <c r="W672">
        <f>T672-U672</f>
        <v>5.2019999999999982</v>
      </c>
      <c r="X672">
        <v>26.509722</v>
      </c>
      <c r="Y672">
        <v>-32.106110000000001</v>
      </c>
      <c r="Z672" t="s">
        <v>85</v>
      </c>
      <c r="AA672" t="s">
        <v>86</v>
      </c>
      <c r="AB672" t="s">
        <v>87</v>
      </c>
      <c r="AC672" t="s">
        <v>88</v>
      </c>
      <c r="AD672" t="s">
        <v>89</v>
      </c>
      <c r="AE672" t="s">
        <v>90</v>
      </c>
      <c r="AH672" t="s">
        <v>65</v>
      </c>
      <c r="AI672" t="s">
        <v>1002</v>
      </c>
      <c r="AJ672">
        <v>1878</v>
      </c>
      <c r="AK672" t="s">
        <v>92</v>
      </c>
      <c r="AM672" t="s">
        <v>93</v>
      </c>
      <c r="AN672" t="s">
        <v>94</v>
      </c>
      <c r="AO672" t="s">
        <v>68</v>
      </c>
      <c r="AP672" t="s">
        <v>95</v>
      </c>
      <c r="AQ672" t="s">
        <v>96</v>
      </c>
      <c r="AR672" t="s">
        <v>70</v>
      </c>
      <c r="AS672">
        <v>701</v>
      </c>
      <c r="AT672" t="s">
        <v>71</v>
      </c>
      <c r="AU672">
        <v>-11.67</v>
      </c>
      <c r="AV672">
        <v>-51.38</v>
      </c>
      <c r="AW672" t="s">
        <v>72</v>
      </c>
      <c r="AX672">
        <v>701</v>
      </c>
      <c r="AY672" t="s">
        <v>71</v>
      </c>
      <c r="AZ672">
        <v>-21.79</v>
      </c>
      <c r="BA672">
        <v>-65.5</v>
      </c>
      <c r="BB672" t="s">
        <v>73</v>
      </c>
    </row>
    <row r="673" spans="1:54" x14ac:dyDescent="0.4">
      <c r="A673">
        <v>843781</v>
      </c>
      <c r="D673" t="s">
        <v>54</v>
      </c>
      <c r="G673">
        <v>1</v>
      </c>
      <c r="H673" t="s">
        <v>56</v>
      </c>
      <c r="I673" t="s">
        <v>57</v>
      </c>
      <c r="K673" t="s">
        <v>80</v>
      </c>
      <c r="L673" t="s">
        <v>81</v>
      </c>
      <c r="M673" t="s">
        <v>59</v>
      </c>
      <c r="P673" t="s">
        <v>82</v>
      </c>
      <c r="Q673" t="s">
        <v>83</v>
      </c>
      <c r="R673" t="s">
        <v>84</v>
      </c>
      <c r="S673" t="s">
        <v>61</v>
      </c>
      <c r="T673">
        <v>251.90199999999999</v>
      </c>
      <c r="U673">
        <v>246.7</v>
      </c>
      <c r="V673">
        <f>(T673+U673)/2</f>
        <v>249.30099999999999</v>
      </c>
      <c r="W673">
        <f>T673-U673</f>
        <v>5.2019999999999982</v>
      </c>
      <c r="X673">
        <v>26.509722</v>
      </c>
      <c r="Y673">
        <v>-32.106110000000001</v>
      </c>
      <c r="Z673" t="s">
        <v>85</v>
      </c>
      <c r="AA673" t="s">
        <v>86</v>
      </c>
      <c r="AB673" t="s">
        <v>87</v>
      </c>
      <c r="AC673" t="s">
        <v>88</v>
      </c>
      <c r="AD673" t="s">
        <v>89</v>
      </c>
      <c r="AE673" t="s">
        <v>90</v>
      </c>
      <c r="AH673" t="s">
        <v>65</v>
      </c>
      <c r="AI673" t="s">
        <v>1002</v>
      </c>
      <c r="AJ673">
        <v>1878</v>
      </c>
      <c r="AK673" t="s">
        <v>92</v>
      </c>
      <c r="AM673" t="s">
        <v>93</v>
      </c>
      <c r="AN673" t="s">
        <v>94</v>
      </c>
      <c r="AO673" t="s">
        <v>68</v>
      </c>
      <c r="AP673" t="s">
        <v>95</v>
      </c>
      <c r="AQ673" t="s">
        <v>96</v>
      </c>
      <c r="AR673" t="s">
        <v>70</v>
      </c>
      <c r="AS673">
        <v>701</v>
      </c>
      <c r="AT673" t="s">
        <v>71</v>
      </c>
      <c r="AU673">
        <v>-11.67</v>
      </c>
      <c r="AV673">
        <v>-51.38</v>
      </c>
      <c r="AW673" t="s">
        <v>72</v>
      </c>
      <c r="AX673">
        <v>701</v>
      </c>
      <c r="AY673" t="s">
        <v>71</v>
      </c>
      <c r="AZ673">
        <v>-21.79</v>
      </c>
      <c r="BA673">
        <v>-65.5</v>
      </c>
      <c r="BB673" t="s">
        <v>73</v>
      </c>
    </row>
    <row r="674" spans="1:54" x14ac:dyDescent="0.4">
      <c r="A674">
        <v>843782</v>
      </c>
      <c r="D674" t="s">
        <v>54</v>
      </c>
      <c r="G674">
        <v>1</v>
      </c>
      <c r="H674" t="s">
        <v>56</v>
      </c>
      <c r="I674" t="s">
        <v>57</v>
      </c>
      <c r="K674" t="s">
        <v>80</v>
      </c>
      <c r="L674" t="s">
        <v>81</v>
      </c>
      <c r="M674" t="s">
        <v>59</v>
      </c>
      <c r="P674" t="s">
        <v>82</v>
      </c>
      <c r="Q674" t="s">
        <v>83</v>
      </c>
      <c r="R674" t="s">
        <v>84</v>
      </c>
      <c r="S674" t="s">
        <v>61</v>
      </c>
      <c r="T674">
        <v>251.90199999999999</v>
      </c>
      <c r="U674">
        <v>246.7</v>
      </c>
      <c r="V674">
        <f>(T674+U674)/2</f>
        <v>249.30099999999999</v>
      </c>
      <c r="W674">
        <f>T674-U674</f>
        <v>5.2019999999999982</v>
      </c>
      <c r="X674">
        <v>26.509722</v>
      </c>
      <c r="Y674">
        <v>-32.106110000000001</v>
      </c>
      <c r="Z674" t="s">
        <v>85</v>
      </c>
      <c r="AA674" t="s">
        <v>86</v>
      </c>
      <c r="AB674" t="s">
        <v>87</v>
      </c>
      <c r="AC674" t="s">
        <v>88</v>
      </c>
      <c r="AD674" t="s">
        <v>89</v>
      </c>
      <c r="AE674" t="s">
        <v>90</v>
      </c>
      <c r="AH674" t="s">
        <v>65</v>
      </c>
      <c r="AI674" t="s">
        <v>1002</v>
      </c>
      <c r="AJ674">
        <v>1878</v>
      </c>
      <c r="AK674" t="s">
        <v>92</v>
      </c>
      <c r="AM674" t="s">
        <v>93</v>
      </c>
      <c r="AN674" t="s">
        <v>94</v>
      </c>
      <c r="AO674" t="s">
        <v>68</v>
      </c>
      <c r="AP674" t="s">
        <v>95</v>
      </c>
      <c r="AQ674" t="s">
        <v>96</v>
      </c>
      <c r="AR674" t="s">
        <v>70</v>
      </c>
      <c r="AS674">
        <v>701</v>
      </c>
      <c r="AT674" t="s">
        <v>71</v>
      </c>
      <c r="AU674">
        <v>-11.67</v>
      </c>
      <c r="AV674">
        <v>-51.38</v>
      </c>
      <c r="AW674" t="s">
        <v>72</v>
      </c>
      <c r="AX674">
        <v>701</v>
      </c>
      <c r="AY674" t="s">
        <v>71</v>
      </c>
      <c r="AZ674">
        <v>-21.79</v>
      </c>
      <c r="BA674">
        <v>-65.5</v>
      </c>
      <c r="BB674" t="s">
        <v>73</v>
      </c>
    </row>
    <row r="675" spans="1:54" x14ac:dyDescent="0.4">
      <c r="A675">
        <v>843782</v>
      </c>
      <c r="D675" t="s">
        <v>54</v>
      </c>
      <c r="G675">
        <v>1</v>
      </c>
      <c r="H675" t="s">
        <v>56</v>
      </c>
      <c r="I675" t="s">
        <v>57</v>
      </c>
      <c r="K675" t="s">
        <v>80</v>
      </c>
      <c r="L675" t="s">
        <v>81</v>
      </c>
      <c r="M675" t="s">
        <v>59</v>
      </c>
      <c r="P675" t="s">
        <v>82</v>
      </c>
      <c r="Q675" t="s">
        <v>83</v>
      </c>
      <c r="R675" t="s">
        <v>84</v>
      </c>
      <c r="S675" t="s">
        <v>61</v>
      </c>
      <c r="T675">
        <v>251.90199999999999</v>
      </c>
      <c r="U675">
        <v>246.7</v>
      </c>
      <c r="V675">
        <f>(T675+U675)/2</f>
        <v>249.30099999999999</v>
      </c>
      <c r="W675">
        <f>T675-U675</f>
        <v>5.2019999999999982</v>
      </c>
      <c r="X675">
        <v>26.509722</v>
      </c>
      <c r="Y675">
        <v>-32.106110000000001</v>
      </c>
      <c r="Z675" t="s">
        <v>85</v>
      </c>
      <c r="AA675" t="s">
        <v>86</v>
      </c>
      <c r="AB675" t="s">
        <v>87</v>
      </c>
      <c r="AC675" t="s">
        <v>88</v>
      </c>
      <c r="AD675" t="s">
        <v>89</v>
      </c>
      <c r="AE675" t="s">
        <v>90</v>
      </c>
      <c r="AH675" t="s">
        <v>65</v>
      </c>
      <c r="AI675" t="s">
        <v>1002</v>
      </c>
      <c r="AJ675">
        <v>1878</v>
      </c>
      <c r="AK675" t="s">
        <v>92</v>
      </c>
      <c r="AM675" t="s">
        <v>93</v>
      </c>
      <c r="AN675" t="s">
        <v>94</v>
      </c>
      <c r="AO675" t="s">
        <v>68</v>
      </c>
      <c r="AP675" t="s">
        <v>95</v>
      </c>
      <c r="AQ675" t="s">
        <v>96</v>
      </c>
      <c r="AR675" t="s">
        <v>70</v>
      </c>
      <c r="AS675">
        <v>701</v>
      </c>
      <c r="AT675" t="s">
        <v>71</v>
      </c>
      <c r="AU675">
        <v>-11.67</v>
      </c>
      <c r="AV675">
        <v>-51.38</v>
      </c>
      <c r="AW675" t="s">
        <v>72</v>
      </c>
      <c r="AX675">
        <v>701</v>
      </c>
      <c r="AY675" t="s">
        <v>71</v>
      </c>
      <c r="AZ675">
        <v>-21.79</v>
      </c>
      <c r="BA675">
        <v>-65.5</v>
      </c>
      <c r="BB675" t="s">
        <v>73</v>
      </c>
    </row>
    <row r="676" spans="1:54" x14ac:dyDescent="0.4">
      <c r="A676">
        <v>845945</v>
      </c>
      <c r="D676" t="s">
        <v>566</v>
      </c>
      <c r="E676" t="s">
        <v>105</v>
      </c>
      <c r="G676">
        <v>4</v>
      </c>
      <c r="H676" t="s">
        <v>74</v>
      </c>
      <c r="I676" t="s">
        <v>57</v>
      </c>
      <c r="K676" t="s">
        <v>80</v>
      </c>
      <c r="L676" t="s">
        <v>81</v>
      </c>
      <c r="M676" t="s">
        <v>59</v>
      </c>
      <c r="P676" t="s">
        <v>82</v>
      </c>
      <c r="Q676" t="s">
        <v>83</v>
      </c>
      <c r="R676" t="s">
        <v>84</v>
      </c>
      <c r="S676" t="s">
        <v>61</v>
      </c>
      <c r="T676">
        <v>251.90199999999999</v>
      </c>
      <c r="U676">
        <v>246.7</v>
      </c>
      <c r="V676">
        <f>(T676+U676)/2</f>
        <v>249.30099999999999</v>
      </c>
      <c r="W676">
        <f>T676-U676</f>
        <v>5.2019999999999982</v>
      </c>
      <c r="X676">
        <v>-54.231945000000003</v>
      </c>
      <c r="Y676">
        <v>-29.826944000000001</v>
      </c>
      <c r="Z676" t="s">
        <v>85</v>
      </c>
      <c r="AA676" t="s">
        <v>367</v>
      </c>
      <c r="AB676" t="s">
        <v>368</v>
      </c>
      <c r="AC676" t="s">
        <v>382</v>
      </c>
      <c r="AD676" t="s">
        <v>1251</v>
      </c>
      <c r="AE676" t="s">
        <v>369</v>
      </c>
      <c r="AH676" t="s">
        <v>65</v>
      </c>
      <c r="AI676" t="s">
        <v>1260</v>
      </c>
      <c r="AJ676">
        <v>1983</v>
      </c>
      <c r="AK676" t="s">
        <v>1261</v>
      </c>
      <c r="AM676" t="s">
        <v>1262</v>
      </c>
      <c r="AN676" t="s">
        <v>67</v>
      </c>
      <c r="AO676" t="s">
        <v>68</v>
      </c>
      <c r="AP676" t="s">
        <v>182</v>
      </c>
      <c r="AQ676" t="s">
        <v>1263</v>
      </c>
      <c r="AR676" t="s">
        <v>70</v>
      </c>
      <c r="AS676">
        <v>201</v>
      </c>
      <c r="AT676" t="s">
        <v>71</v>
      </c>
      <c r="AU676">
        <v>-15.76</v>
      </c>
      <c r="AV676">
        <v>-34.700000000000003</v>
      </c>
      <c r="AW676" t="s">
        <v>72</v>
      </c>
      <c r="AX676">
        <v>202</v>
      </c>
      <c r="AY676" t="s">
        <v>71</v>
      </c>
      <c r="AZ676">
        <v>-24.17</v>
      </c>
      <c r="BA676">
        <v>-48.38</v>
      </c>
      <c r="BB676" t="s">
        <v>73</v>
      </c>
    </row>
    <row r="677" spans="1:54" x14ac:dyDescent="0.4">
      <c r="A677">
        <v>847947</v>
      </c>
      <c r="D677" t="s">
        <v>1282</v>
      </c>
      <c r="E677" t="s">
        <v>105</v>
      </c>
      <c r="F677" t="s">
        <v>1283</v>
      </c>
      <c r="G677">
        <v>63</v>
      </c>
      <c r="H677" t="s">
        <v>74</v>
      </c>
      <c r="I677" t="s">
        <v>57</v>
      </c>
      <c r="K677" t="s">
        <v>80</v>
      </c>
      <c r="L677" t="s">
        <v>81</v>
      </c>
      <c r="M677" t="s">
        <v>59</v>
      </c>
      <c r="P677" t="s">
        <v>82</v>
      </c>
      <c r="Q677" t="s">
        <v>83</v>
      </c>
      <c r="R677" t="s">
        <v>84</v>
      </c>
      <c r="S677" t="s">
        <v>61</v>
      </c>
      <c r="T677">
        <v>251.90199999999999</v>
      </c>
      <c r="U677">
        <v>246.7</v>
      </c>
      <c r="V677">
        <f>(T677+U677)/2</f>
        <v>249.30099999999999</v>
      </c>
      <c r="W677">
        <f>T677-U677</f>
        <v>5.2019999999999982</v>
      </c>
      <c r="X677">
        <v>25.447222</v>
      </c>
      <c r="Y677">
        <v>-31.598611999999999</v>
      </c>
      <c r="Z677" t="s">
        <v>85</v>
      </c>
      <c r="AA677" t="s">
        <v>86</v>
      </c>
      <c r="AB677" t="s">
        <v>87</v>
      </c>
      <c r="AC677" t="s">
        <v>496</v>
      </c>
      <c r="AD677" t="s">
        <v>89</v>
      </c>
      <c r="AE677" t="s">
        <v>90</v>
      </c>
      <c r="AG677" t="s">
        <v>497</v>
      </c>
      <c r="AH677" t="s">
        <v>65</v>
      </c>
      <c r="AI677" t="s">
        <v>91</v>
      </c>
      <c r="AJ677">
        <v>1903</v>
      </c>
      <c r="AK677" t="s">
        <v>1284</v>
      </c>
      <c r="AM677" t="s">
        <v>1285</v>
      </c>
      <c r="AN677" t="s">
        <v>177</v>
      </c>
      <c r="AO677" t="s">
        <v>68</v>
      </c>
      <c r="AP677" t="s">
        <v>95</v>
      </c>
      <c r="AQ677" t="s">
        <v>1286</v>
      </c>
      <c r="AR677" t="s">
        <v>70</v>
      </c>
      <c r="AS677">
        <v>701</v>
      </c>
      <c r="AT677" t="s">
        <v>71</v>
      </c>
      <c r="AU677">
        <v>-11.85</v>
      </c>
      <c r="AV677">
        <v>-50.35</v>
      </c>
      <c r="AW677" t="s">
        <v>72</v>
      </c>
      <c r="AX677">
        <v>701</v>
      </c>
      <c r="AY677" t="s">
        <v>71</v>
      </c>
      <c r="AZ677">
        <v>-21.86</v>
      </c>
      <c r="BA677">
        <v>-64.459999999999994</v>
      </c>
      <c r="BB677" t="s">
        <v>73</v>
      </c>
    </row>
    <row r="678" spans="1:54" x14ac:dyDescent="0.4">
      <c r="A678">
        <v>847948</v>
      </c>
      <c r="D678" t="s">
        <v>1282</v>
      </c>
      <c r="E678" t="s">
        <v>105</v>
      </c>
      <c r="F678" t="s">
        <v>1283</v>
      </c>
      <c r="G678">
        <v>3</v>
      </c>
      <c r="H678" t="s">
        <v>74</v>
      </c>
      <c r="I678" t="s">
        <v>57</v>
      </c>
      <c r="K678" t="s">
        <v>80</v>
      </c>
      <c r="L678" t="s">
        <v>81</v>
      </c>
      <c r="M678" t="s">
        <v>59</v>
      </c>
      <c r="P678" t="s">
        <v>82</v>
      </c>
      <c r="Q678" t="s">
        <v>83</v>
      </c>
      <c r="R678" t="s">
        <v>84</v>
      </c>
      <c r="S678" t="s">
        <v>61</v>
      </c>
      <c r="T678">
        <v>251.90199999999999</v>
      </c>
      <c r="U678">
        <v>246.7</v>
      </c>
      <c r="V678">
        <f>(T678+U678)/2</f>
        <v>249.30099999999999</v>
      </c>
      <c r="W678">
        <f>T678-U678</f>
        <v>5.2019999999999982</v>
      </c>
      <c r="X678">
        <v>25.447222</v>
      </c>
      <c r="Y678">
        <v>-31.598611999999999</v>
      </c>
      <c r="Z678" t="s">
        <v>85</v>
      </c>
      <c r="AA678" t="s">
        <v>86</v>
      </c>
      <c r="AB678" t="s">
        <v>87</v>
      </c>
      <c r="AC678" t="s">
        <v>496</v>
      </c>
      <c r="AD678" t="s">
        <v>89</v>
      </c>
      <c r="AE678" t="s">
        <v>90</v>
      </c>
      <c r="AG678" t="s">
        <v>497</v>
      </c>
      <c r="AH678" t="s">
        <v>65</v>
      </c>
      <c r="AI678" t="s">
        <v>1002</v>
      </c>
      <c r="AJ678">
        <v>1905</v>
      </c>
      <c r="AK678" t="s">
        <v>1284</v>
      </c>
      <c r="AM678" t="s">
        <v>1285</v>
      </c>
      <c r="AN678" t="s">
        <v>177</v>
      </c>
      <c r="AO678" t="s">
        <v>68</v>
      </c>
      <c r="AP678" t="s">
        <v>95</v>
      </c>
      <c r="AQ678" t="s">
        <v>1286</v>
      </c>
      <c r="AR678" t="s">
        <v>70</v>
      </c>
      <c r="AS678">
        <v>701</v>
      </c>
      <c r="AT678" t="s">
        <v>71</v>
      </c>
      <c r="AU678">
        <v>-11.85</v>
      </c>
      <c r="AV678">
        <v>-50.35</v>
      </c>
      <c r="AW678" t="s">
        <v>72</v>
      </c>
      <c r="AX678">
        <v>701</v>
      </c>
      <c r="AY678" t="s">
        <v>71</v>
      </c>
      <c r="AZ678">
        <v>-21.86</v>
      </c>
      <c r="BA678">
        <v>-64.459999999999994</v>
      </c>
      <c r="BB678" t="s">
        <v>73</v>
      </c>
    </row>
    <row r="679" spans="1:54" x14ac:dyDescent="0.4">
      <c r="A679">
        <v>847949</v>
      </c>
      <c r="D679" t="s">
        <v>1282</v>
      </c>
      <c r="E679" t="s">
        <v>105</v>
      </c>
      <c r="F679" t="s">
        <v>1283</v>
      </c>
      <c r="G679">
        <v>1</v>
      </c>
      <c r="H679" t="s">
        <v>74</v>
      </c>
      <c r="I679" t="s">
        <v>57</v>
      </c>
      <c r="K679" t="s">
        <v>80</v>
      </c>
      <c r="L679" t="s">
        <v>81</v>
      </c>
      <c r="M679" t="s">
        <v>59</v>
      </c>
      <c r="P679" t="s">
        <v>82</v>
      </c>
      <c r="Q679" t="s">
        <v>83</v>
      </c>
      <c r="R679" t="s">
        <v>84</v>
      </c>
      <c r="S679" t="s">
        <v>61</v>
      </c>
      <c r="T679">
        <v>251.90199999999999</v>
      </c>
      <c r="U679">
        <v>246.7</v>
      </c>
      <c r="V679">
        <f>(T679+U679)/2</f>
        <v>249.30099999999999</v>
      </c>
      <c r="W679">
        <f>T679-U679</f>
        <v>5.2019999999999982</v>
      </c>
      <c r="X679">
        <v>25.447222</v>
      </c>
      <c r="Y679">
        <v>-31.598611999999999</v>
      </c>
      <c r="Z679" t="s">
        <v>85</v>
      </c>
      <c r="AA679" t="s">
        <v>86</v>
      </c>
      <c r="AB679" t="s">
        <v>87</v>
      </c>
      <c r="AC679" t="s">
        <v>496</v>
      </c>
      <c r="AD679" t="s">
        <v>89</v>
      </c>
      <c r="AE679" t="s">
        <v>90</v>
      </c>
      <c r="AG679" t="s">
        <v>497</v>
      </c>
      <c r="AH679" t="s">
        <v>65</v>
      </c>
      <c r="AI679" t="s">
        <v>1002</v>
      </c>
      <c r="AJ679">
        <v>1905</v>
      </c>
      <c r="AK679" t="s">
        <v>1284</v>
      </c>
      <c r="AM679" t="s">
        <v>1285</v>
      </c>
      <c r="AN679" t="s">
        <v>177</v>
      </c>
      <c r="AO679" t="s">
        <v>68</v>
      </c>
      <c r="AP679" t="s">
        <v>95</v>
      </c>
      <c r="AQ679" t="s">
        <v>1286</v>
      </c>
      <c r="AR679" t="s">
        <v>70</v>
      </c>
      <c r="AS679">
        <v>701</v>
      </c>
      <c r="AT679" t="s">
        <v>71</v>
      </c>
      <c r="AU679">
        <v>-11.85</v>
      </c>
      <c r="AV679">
        <v>-50.35</v>
      </c>
      <c r="AW679" t="s">
        <v>72</v>
      </c>
      <c r="AX679">
        <v>701</v>
      </c>
      <c r="AY679" t="s">
        <v>71</v>
      </c>
      <c r="AZ679">
        <v>-21.86</v>
      </c>
      <c r="BA679">
        <v>-64.459999999999994</v>
      </c>
      <c r="BB679" t="s">
        <v>73</v>
      </c>
    </row>
    <row r="680" spans="1:54" x14ac:dyDescent="0.4">
      <c r="A680">
        <v>848381</v>
      </c>
      <c r="D680" t="s">
        <v>54</v>
      </c>
      <c r="G680">
        <v>1</v>
      </c>
      <c r="H680" t="s">
        <v>228</v>
      </c>
      <c r="I680" t="s">
        <v>57</v>
      </c>
      <c r="K680" t="s">
        <v>80</v>
      </c>
      <c r="L680" t="s">
        <v>81</v>
      </c>
      <c r="M680" t="s">
        <v>59</v>
      </c>
      <c r="P680" t="s">
        <v>82</v>
      </c>
      <c r="Q680" t="s">
        <v>83</v>
      </c>
      <c r="R680" t="s">
        <v>84</v>
      </c>
      <c r="S680" t="s">
        <v>61</v>
      </c>
      <c r="T680">
        <v>251.90199999999999</v>
      </c>
      <c r="U680">
        <v>246.7</v>
      </c>
      <c r="V680">
        <f>(T680+U680)/2</f>
        <v>249.30099999999999</v>
      </c>
      <c r="W680">
        <f>T680-U680</f>
        <v>5.2019999999999982</v>
      </c>
      <c r="X680">
        <v>25.85</v>
      </c>
      <c r="Y680">
        <v>-30.304167</v>
      </c>
      <c r="Z680" t="s">
        <v>99</v>
      </c>
      <c r="AA680" t="s">
        <v>86</v>
      </c>
      <c r="AB680" t="s">
        <v>546</v>
      </c>
      <c r="AC680" t="s">
        <v>547</v>
      </c>
      <c r="AE680" t="s">
        <v>90</v>
      </c>
      <c r="AG680" t="s">
        <v>497</v>
      </c>
      <c r="AH680" t="s">
        <v>65</v>
      </c>
      <c r="AI680" t="s">
        <v>889</v>
      </c>
      <c r="AJ680">
        <v>1985</v>
      </c>
      <c r="AK680" t="s">
        <v>1287</v>
      </c>
      <c r="AN680" t="s">
        <v>177</v>
      </c>
      <c r="AO680" t="s">
        <v>68</v>
      </c>
      <c r="AP680" t="s">
        <v>314</v>
      </c>
      <c r="AQ680" t="s">
        <v>1288</v>
      </c>
      <c r="AR680" t="s">
        <v>70</v>
      </c>
      <c r="AS680">
        <v>701</v>
      </c>
      <c r="AT680" t="s">
        <v>71</v>
      </c>
      <c r="AU680">
        <v>-9.92</v>
      </c>
      <c r="AV680">
        <v>-49.85</v>
      </c>
      <c r="AW680" t="s">
        <v>72</v>
      </c>
      <c r="AX680">
        <v>701</v>
      </c>
      <c r="AY680" t="s">
        <v>71</v>
      </c>
      <c r="AZ680">
        <v>-18.91</v>
      </c>
      <c r="BA680">
        <v>-64.06</v>
      </c>
      <c r="BB680" t="s">
        <v>73</v>
      </c>
    </row>
    <row r="681" spans="1:54" x14ac:dyDescent="0.4">
      <c r="A681">
        <v>853631</v>
      </c>
      <c r="D681" t="s">
        <v>763</v>
      </c>
      <c r="E681" t="s">
        <v>105</v>
      </c>
      <c r="G681">
        <v>1</v>
      </c>
      <c r="H681" t="s">
        <v>74</v>
      </c>
      <c r="I681" t="s">
        <v>57</v>
      </c>
      <c r="K681" t="s">
        <v>102</v>
      </c>
      <c r="L681" t="s">
        <v>1297</v>
      </c>
      <c r="M681" t="s">
        <v>59</v>
      </c>
      <c r="P681" t="s">
        <v>82</v>
      </c>
      <c r="Q681" t="s">
        <v>83</v>
      </c>
      <c r="R681" t="s">
        <v>84</v>
      </c>
      <c r="S681" t="s">
        <v>61</v>
      </c>
      <c r="T681">
        <v>251.90199999999999</v>
      </c>
      <c r="U681">
        <v>246.7</v>
      </c>
      <c r="V681">
        <f>(T681+U681)/2</f>
        <v>249.30099999999999</v>
      </c>
      <c r="W681">
        <f>T681-U681</f>
        <v>5.2019999999999982</v>
      </c>
      <c r="X681">
        <v>-177</v>
      </c>
      <c r="Y681">
        <v>-85.216667000000001</v>
      </c>
      <c r="Z681" t="s">
        <v>85</v>
      </c>
      <c r="AA681" t="s">
        <v>866</v>
      </c>
      <c r="AD681" t="s">
        <v>867</v>
      </c>
      <c r="AE681" t="s">
        <v>868</v>
      </c>
      <c r="AF681" t="s">
        <v>305</v>
      </c>
      <c r="AH681" t="s">
        <v>65</v>
      </c>
      <c r="AI681" t="s">
        <v>554</v>
      </c>
      <c r="AJ681">
        <v>1992</v>
      </c>
      <c r="AK681" t="s">
        <v>870</v>
      </c>
      <c r="AM681" t="s">
        <v>871</v>
      </c>
      <c r="AN681" t="s">
        <v>67</v>
      </c>
      <c r="AO681" t="s">
        <v>68</v>
      </c>
      <c r="AP681" t="s">
        <v>69</v>
      </c>
      <c r="AQ681" t="s">
        <v>872</v>
      </c>
      <c r="AR681" t="s">
        <v>70</v>
      </c>
      <c r="AS681">
        <v>802</v>
      </c>
      <c r="AT681" t="s">
        <v>71</v>
      </c>
      <c r="AU681">
        <v>20.67</v>
      </c>
      <c r="AV681">
        <v>-72.34</v>
      </c>
      <c r="AW681" t="s">
        <v>72</v>
      </c>
      <c r="AX681">
        <v>802</v>
      </c>
      <c r="AY681" t="s">
        <v>71</v>
      </c>
      <c r="AZ681">
        <v>73</v>
      </c>
      <c r="BA681">
        <v>-81.89</v>
      </c>
      <c r="BB681" t="s">
        <v>73</v>
      </c>
    </row>
    <row r="682" spans="1:54" x14ac:dyDescent="0.4">
      <c r="A682">
        <v>895255</v>
      </c>
      <c r="D682" t="s">
        <v>54</v>
      </c>
      <c r="E682" t="s">
        <v>104</v>
      </c>
      <c r="I682" t="s">
        <v>57</v>
      </c>
      <c r="K682" t="s">
        <v>80</v>
      </c>
      <c r="L682" t="s">
        <v>81</v>
      </c>
      <c r="M682" t="s">
        <v>59</v>
      </c>
      <c r="P682" t="s">
        <v>82</v>
      </c>
      <c r="Q682" t="s">
        <v>83</v>
      </c>
      <c r="R682" t="s">
        <v>84</v>
      </c>
      <c r="S682" t="s">
        <v>61</v>
      </c>
      <c r="T682">
        <v>251.90199999999999</v>
      </c>
      <c r="U682">
        <v>246.7</v>
      </c>
      <c r="V682">
        <f>(T682+U682)/2</f>
        <v>249.30099999999999</v>
      </c>
      <c r="W682">
        <f>T682-U682</f>
        <v>5.2019999999999982</v>
      </c>
      <c r="X682">
        <v>-55.052776000000001</v>
      </c>
      <c r="Y682">
        <v>-29.615556999999999</v>
      </c>
      <c r="Z682" t="s">
        <v>99</v>
      </c>
      <c r="AA682" t="s">
        <v>367</v>
      </c>
      <c r="AB682" t="s">
        <v>368</v>
      </c>
      <c r="AD682" t="s">
        <v>1251</v>
      </c>
      <c r="AE682" t="s">
        <v>369</v>
      </c>
      <c r="AH682" t="s">
        <v>65</v>
      </c>
      <c r="AI682" t="s">
        <v>1394</v>
      </c>
      <c r="AJ682">
        <v>2009</v>
      </c>
      <c r="AK682" t="s">
        <v>1395</v>
      </c>
      <c r="AN682" t="s">
        <v>67</v>
      </c>
      <c r="AO682" t="s">
        <v>68</v>
      </c>
      <c r="AP682" t="s">
        <v>69</v>
      </c>
      <c r="AQ682" t="s">
        <v>1396</v>
      </c>
      <c r="AR682" t="s">
        <v>70</v>
      </c>
      <c r="AS682">
        <v>201</v>
      </c>
      <c r="AT682" t="s">
        <v>71</v>
      </c>
      <c r="AU682">
        <v>-16.59</v>
      </c>
      <c r="AV682">
        <v>-34.409999999999997</v>
      </c>
      <c r="AW682" t="s">
        <v>72</v>
      </c>
      <c r="AX682">
        <v>202</v>
      </c>
      <c r="AY682" t="s">
        <v>71</v>
      </c>
      <c r="AZ682">
        <v>-25.18</v>
      </c>
      <c r="BA682">
        <v>-48.06</v>
      </c>
      <c r="BB682" t="s">
        <v>73</v>
      </c>
    </row>
    <row r="683" spans="1:54" x14ac:dyDescent="0.4">
      <c r="A683">
        <v>895260</v>
      </c>
      <c r="D683" t="s">
        <v>54</v>
      </c>
      <c r="E683" t="s">
        <v>104</v>
      </c>
      <c r="I683" t="s">
        <v>57</v>
      </c>
      <c r="K683" t="s">
        <v>80</v>
      </c>
      <c r="L683" t="s">
        <v>81</v>
      </c>
      <c r="M683" t="s">
        <v>59</v>
      </c>
      <c r="P683" t="s">
        <v>82</v>
      </c>
      <c r="Q683" t="s">
        <v>83</v>
      </c>
      <c r="R683" t="s">
        <v>84</v>
      </c>
      <c r="S683" t="s">
        <v>61</v>
      </c>
      <c r="T683">
        <v>251.90199999999999</v>
      </c>
      <c r="U683">
        <v>246.7</v>
      </c>
      <c r="V683">
        <f>(T683+U683)/2</f>
        <v>249.30099999999999</v>
      </c>
      <c r="W683">
        <f>T683-U683</f>
        <v>5.2019999999999982</v>
      </c>
      <c r="X683">
        <v>-55.052776000000001</v>
      </c>
      <c r="Y683">
        <v>-29.615556999999999</v>
      </c>
      <c r="Z683" t="s">
        <v>99</v>
      </c>
      <c r="AA683" t="s">
        <v>367</v>
      </c>
      <c r="AB683" t="s">
        <v>368</v>
      </c>
      <c r="AD683" t="s">
        <v>1251</v>
      </c>
      <c r="AE683" t="s">
        <v>369</v>
      </c>
      <c r="AH683" t="s">
        <v>65</v>
      </c>
      <c r="AI683" t="s">
        <v>1394</v>
      </c>
      <c r="AJ683">
        <v>2009</v>
      </c>
      <c r="AK683" t="s">
        <v>1397</v>
      </c>
      <c r="AN683" t="s">
        <v>67</v>
      </c>
      <c r="AO683" t="s">
        <v>68</v>
      </c>
      <c r="AP683" t="s">
        <v>69</v>
      </c>
      <c r="AQ683" t="s">
        <v>1396</v>
      </c>
      <c r="AR683" t="s">
        <v>70</v>
      </c>
      <c r="AS683">
        <v>201</v>
      </c>
      <c r="AT683" t="s">
        <v>71</v>
      </c>
      <c r="AU683">
        <v>-16.59</v>
      </c>
      <c r="AV683">
        <v>-34.409999999999997</v>
      </c>
      <c r="AW683" t="s">
        <v>72</v>
      </c>
      <c r="AX683">
        <v>202</v>
      </c>
      <c r="AY683" t="s">
        <v>71</v>
      </c>
      <c r="AZ683">
        <v>-25.18</v>
      </c>
      <c r="BA683">
        <v>-48.06</v>
      </c>
      <c r="BB683" t="s">
        <v>73</v>
      </c>
    </row>
    <row r="684" spans="1:54" x14ac:dyDescent="0.4">
      <c r="A684">
        <v>895264</v>
      </c>
      <c r="D684" t="s">
        <v>54</v>
      </c>
      <c r="E684" t="s">
        <v>104</v>
      </c>
      <c r="I684" t="s">
        <v>57</v>
      </c>
      <c r="K684" t="s">
        <v>80</v>
      </c>
      <c r="L684" t="s">
        <v>81</v>
      </c>
      <c r="M684" t="s">
        <v>59</v>
      </c>
      <c r="P684" t="s">
        <v>82</v>
      </c>
      <c r="Q684" t="s">
        <v>83</v>
      </c>
      <c r="R684" t="s">
        <v>84</v>
      </c>
      <c r="S684" t="s">
        <v>61</v>
      </c>
      <c r="T684">
        <v>251.90199999999999</v>
      </c>
      <c r="U684">
        <v>246.7</v>
      </c>
      <c r="V684">
        <f>(T684+U684)/2</f>
        <v>249.30099999999999</v>
      </c>
      <c r="W684">
        <f>T684-U684</f>
        <v>5.2019999999999982</v>
      </c>
      <c r="X684">
        <v>-55.052776000000001</v>
      </c>
      <c r="Y684">
        <v>-29.615556999999999</v>
      </c>
      <c r="Z684" t="s">
        <v>99</v>
      </c>
      <c r="AA684" t="s">
        <v>367</v>
      </c>
      <c r="AB684" t="s">
        <v>368</v>
      </c>
      <c r="AD684" t="s">
        <v>1251</v>
      </c>
      <c r="AE684" t="s">
        <v>369</v>
      </c>
      <c r="AH684" t="s">
        <v>65</v>
      </c>
      <c r="AI684" t="s">
        <v>1394</v>
      </c>
      <c r="AJ684">
        <v>2009</v>
      </c>
      <c r="AK684" t="s">
        <v>1398</v>
      </c>
      <c r="AN684" t="s">
        <v>67</v>
      </c>
      <c r="AO684" t="s">
        <v>68</v>
      </c>
      <c r="AP684" t="s">
        <v>69</v>
      </c>
      <c r="AQ684" t="s">
        <v>1396</v>
      </c>
      <c r="AR684" t="s">
        <v>70</v>
      </c>
      <c r="AS684">
        <v>201</v>
      </c>
      <c r="AT684" t="s">
        <v>71</v>
      </c>
      <c r="AU684">
        <v>-16.59</v>
      </c>
      <c r="AV684">
        <v>-34.409999999999997</v>
      </c>
      <c r="AW684" t="s">
        <v>72</v>
      </c>
      <c r="AX684">
        <v>202</v>
      </c>
      <c r="AY684" t="s">
        <v>71</v>
      </c>
      <c r="AZ684">
        <v>-25.18</v>
      </c>
      <c r="BA684">
        <v>-48.06</v>
      </c>
      <c r="BB684" t="s">
        <v>73</v>
      </c>
    </row>
    <row r="685" spans="1:54" x14ac:dyDescent="0.4">
      <c r="A685">
        <v>922663</v>
      </c>
      <c r="D685" t="s">
        <v>54</v>
      </c>
      <c r="F685" t="s">
        <v>1509</v>
      </c>
      <c r="I685" t="s">
        <v>57</v>
      </c>
      <c r="K685" t="s">
        <v>80</v>
      </c>
      <c r="L685" t="s">
        <v>81</v>
      </c>
      <c r="M685" t="s">
        <v>59</v>
      </c>
      <c r="P685" t="s">
        <v>82</v>
      </c>
      <c r="Q685" t="s">
        <v>83</v>
      </c>
      <c r="R685" t="s">
        <v>84</v>
      </c>
      <c r="S685" t="s">
        <v>61</v>
      </c>
      <c r="T685">
        <v>251.90199999999999</v>
      </c>
      <c r="U685">
        <v>246.7</v>
      </c>
      <c r="V685">
        <f>(T685+U685)/2</f>
        <v>249.30099999999999</v>
      </c>
      <c r="W685">
        <f>T685-U685</f>
        <v>5.2019999999999982</v>
      </c>
      <c r="X685">
        <v>29.125</v>
      </c>
      <c r="Y685">
        <v>-28.274999999999999</v>
      </c>
      <c r="Z685" t="s">
        <v>99</v>
      </c>
      <c r="AA685" t="s">
        <v>86</v>
      </c>
      <c r="AB685" t="s">
        <v>546</v>
      </c>
      <c r="AC685" t="s">
        <v>1510</v>
      </c>
      <c r="AD685" t="s">
        <v>1511</v>
      </c>
      <c r="AE685" t="s">
        <v>90</v>
      </c>
      <c r="AF685" t="s">
        <v>1512</v>
      </c>
      <c r="AG685" t="s">
        <v>1513</v>
      </c>
      <c r="AH685" t="s">
        <v>65</v>
      </c>
      <c r="AI685" t="s">
        <v>1514</v>
      </c>
      <c r="AJ685">
        <v>1977</v>
      </c>
      <c r="AK685" t="s">
        <v>1515</v>
      </c>
      <c r="AM685" t="s">
        <v>1516</v>
      </c>
      <c r="AN685" t="s">
        <v>94</v>
      </c>
      <c r="AO685" t="s">
        <v>68</v>
      </c>
      <c r="AP685" t="s">
        <v>182</v>
      </c>
      <c r="AQ685" t="s">
        <v>1517</v>
      </c>
      <c r="AR685" t="s">
        <v>70</v>
      </c>
      <c r="AS685">
        <v>701</v>
      </c>
      <c r="AT685" t="s">
        <v>71</v>
      </c>
      <c r="AU685">
        <v>-4.6399999999999997</v>
      </c>
      <c r="AV685">
        <v>-50.81</v>
      </c>
      <c r="AW685" t="s">
        <v>72</v>
      </c>
      <c r="AX685">
        <v>701</v>
      </c>
      <c r="AY685" t="s">
        <v>71</v>
      </c>
      <c r="AZ685">
        <v>-11.15</v>
      </c>
      <c r="BA685">
        <v>-65.17</v>
      </c>
      <c r="BB685" t="s">
        <v>73</v>
      </c>
    </row>
    <row r="686" spans="1:54" x14ac:dyDescent="0.4">
      <c r="A686">
        <v>922664</v>
      </c>
      <c r="D686" t="s">
        <v>54</v>
      </c>
      <c r="F686" t="s">
        <v>1509</v>
      </c>
      <c r="G686">
        <v>1</v>
      </c>
      <c r="H686" t="s">
        <v>56</v>
      </c>
      <c r="I686" t="s">
        <v>57</v>
      </c>
      <c r="K686" t="s">
        <v>724</v>
      </c>
      <c r="L686" t="s">
        <v>1518</v>
      </c>
      <c r="M686" t="s">
        <v>59</v>
      </c>
      <c r="P686" t="s">
        <v>82</v>
      </c>
      <c r="Q686" t="s">
        <v>83</v>
      </c>
      <c r="R686" t="s">
        <v>84</v>
      </c>
      <c r="S686" t="s">
        <v>61</v>
      </c>
      <c r="T686">
        <v>251.90199999999999</v>
      </c>
      <c r="U686">
        <v>246.7</v>
      </c>
      <c r="V686">
        <f>(T686+U686)/2</f>
        <v>249.30099999999999</v>
      </c>
      <c r="W686">
        <f>T686-U686</f>
        <v>5.2019999999999982</v>
      </c>
      <c r="X686">
        <v>29.125</v>
      </c>
      <c r="Y686">
        <v>-28.274999999999999</v>
      </c>
      <c r="Z686" t="s">
        <v>99</v>
      </c>
      <c r="AA686" t="s">
        <v>86</v>
      </c>
      <c r="AB686" t="s">
        <v>546</v>
      </c>
      <c r="AC686" t="s">
        <v>1510</v>
      </c>
      <c r="AD686" t="s">
        <v>1511</v>
      </c>
      <c r="AE686" t="s">
        <v>90</v>
      </c>
      <c r="AF686" t="s">
        <v>1512</v>
      </c>
      <c r="AG686" t="s">
        <v>1513</v>
      </c>
      <c r="AH686" t="s">
        <v>65</v>
      </c>
      <c r="AI686" t="s">
        <v>1519</v>
      </c>
      <c r="AJ686">
        <v>2004</v>
      </c>
      <c r="AK686" t="s">
        <v>1515</v>
      </c>
      <c r="AM686" t="s">
        <v>1516</v>
      </c>
      <c r="AN686" t="s">
        <v>94</v>
      </c>
      <c r="AO686" t="s">
        <v>68</v>
      </c>
      <c r="AP686" t="s">
        <v>182</v>
      </c>
      <c r="AQ686" t="s">
        <v>1517</v>
      </c>
      <c r="AR686" t="s">
        <v>70</v>
      </c>
      <c r="AS686">
        <v>701</v>
      </c>
      <c r="AT686" t="s">
        <v>71</v>
      </c>
      <c r="AU686">
        <v>-4.6399999999999997</v>
      </c>
      <c r="AV686">
        <v>-50.81</v>
      </c>
      <c r="AW686" t="s">
        <v>72</v>
      </c>
      <c r="AX686">
        <v>701</v>
      </c>
      <c r="AY686" t="s">
        <v>71</v>
      </c>
      <c r="AZ686">
        <v>-11.15</v>
      </c>
      <c r="BA686">
        <v>-65.17</v>
      </c>
      <c r="BB686" t="s">
        <v>73</v>
      </c>
    </row>
    <row r="687" spans="1:54" x14ac:dyDescent="0.4">
      <c r="A687">
        <v>922664</v>
      </c>
      <c r="D687" t="s">
        <v>54</v>
      </c>
      <c r="F687" t="s">
        <v>1509</v>
      </c>
      <c r="G687">
        <v>1</v>
      </c>
      <c r="H687" t="s">
        <v>56</v>
      </c>
      <c r="I687" t="s">
        <v>57</v>
      </c>
      <c r="K687" t="s">
        <v>724</v>
      </c>
      <c r="L687" t="s">
        <v>1518</v>
      </c>
      <c r="M687" t="s">
        <v>59</v>
      </c>
      <c r="P687" t="s">
        <v>82</v>
      </c>
      <c r="Q687" t="s">
        <v>83</v>
      </c>
      <c r="R687" t="s">
        <v>84</v>
      </c>
      <c r="S687" t="s">
        <v>61</v>
      </c>
      <c r="T687">
        <v>251.90199999999999</v>
      </c>
      <c r="U687">
        <v>246.7</v>
      </c>
      <c r="V687">
        <f>(T687+U687)/2</f>
        <v>249.30099999999999</v>
      </c>
      <c r="W687">
        <f>T687-U687</f>
        <v>5.2019999999999982</v>
      </c>
      <c r="X687">
        <v>29.125</v>
      </c>
      <c r="Y687">
        <v>-28.274999999999999</v>
      </c>
      <c r="Z687" t="s">
        <v>99</v>
      </c>
      <c r="AA687" t="s">
        <v>86</v>
      </c>
      <c r="AB687" t="s">
        <v>546</v>
      </c>
      <c r="AC687" t="s">
        <v>1510</v>
      </c>
      <c r="AD687" t="s">
        <v>1511</v>
      </c>
      <c r="AE687" t="s">
        <v>90</v>
      </c>
      <c r="AF687" t="s">
        <v>1512</v>
      </c>
      <c r="AG687" t="s">
        <v>1513</v>
      </c>
      <c r="AH687" t="s">
        <v>65</v>
      </c>
      <c r="AI687" t="s">
        <v>1519</v>
      </c>
      <c r="AJ687">
        <v>2004</v>
      </c>
      <c r="AK687" t="s">
        <v>1515</v>
      </c>
      <c r="AM687" t="s">
        <v>1516</v>
      </c>
      <c r="AN687" t="s">
        <v>94</v>
      </c>
      <c r="AO687" t="s">
        <v>68</v>
      </c>
      <c r="AP687" t="s">
        <v>182</v>
      </c>
      <c r="AQ687" t="s">
        <v>1517</v>
      </c>
      <c r="AR687" t="s">
        <v>70</v>
      </c>
      <c r="AS687">
        <v>701</v>
      </c>
      <c r="AT687" t="s">
        <v>71</v>
      </c>
      <c r="AU687">
        <v>-4.6399999999999997</v>
      </c>
      <c r="AV687">
        <v>-50.81</v>
      </c>
      <c r="AW687" t="s">
        <v>72</v>
      </c>
      <c r="AX687">
        <v>701</v>
      </c>
      <c r="AY687" t="s">
        <v>71</v>
      </c>
      <c r="AZ687">
        <v>-11.15</v>
      </c>
      <c r="BA687">
        <v>-65.17</v>
      </c>
      <c r="BB687" t="s">
        <v>73</v>
      </c>
    </row>
    <row r="688" spans="1:54" x14ac:dyDescent="0.4">
      <c r="A688">
        <v>922665</v>
      </c>
      <c r="D688" t="s">
        <v>54</v>
      </c>
      <c r="F688" t="s">
        <v>1509</v>
      </c>
      <c r="G688">
        <v>1</v>
      </c>
      <c r="H688" t="s">
        <v>56</v>
      </c>
      <c r="I688" t="s">
        <v>57</v>
      </c>
      <c r="K688" t="s">
        <v>806</v>
      </c>
      <c r="L688" t="s">
        <v>1520</v>
      </c>
      <c r="M688" t="s">
        <v>59</v>
      </c>
      <c r="O688" t="s">
        <v>76</v>
      </c>
      <c r="P688" t="s">
        <v>82</v>
      </c>
      <c r="Q688" t="s">
        <v>83</v>
      </c>
      <c r="R688" t="s">
        <v>84</v>
      </c>
      <c r="S688" t="s">
        <v>61</v>
      </c>
      <c r="T688">
        <v>251.90199999999999</v>
      </c>
      <c r="U688">
        <v>246.7</v>
      </c>
      <c r="V688">
        <f>(T688+U688)/2</f>
        <v>249.30099999999999</v>
      </c>
      <c r="W688">
        <f>T688-U688</f>
        <v>5.2019999999999982</v>
      </c>
      <c r="X688">
        <v>29.125</v>
      </c>
      <c r="Y688">
        <v>-28.274999999999999</v>
      </c>
      <c r="Z688" t="s">
        <v>99</v>
      </c>
      <c r="AA688" t="s">
        <v>86</v>
      </c>
      <c r="AB688" t="s">
        <v>546</v>
      </c>
      <c r="AC688" t="s">
        <v>1510</v>
      </c>
      <c r="AD688" t="s">
        <v>1511</v>
      </c>
      <c r="AE688" t="s">
        <v>90</v>
      </c>
      <c r="AF688" t="s">
        <v>1512</v>
      </c>
      <c r="AG688" t="s">
        <v>1513</v>
      </c>
      <c r="AH688" t="s">
        <v>65</v>
      </c>
      <c r="AI688" t="s">
        <v>306</v>
      </c>
      <c r="AJ688">
        <v>1924</v>
      </c>
      <c r="AK688" t="s">
        <v>1515</v>
      </c>
      <c r="AM688" t="s">
        <v>1516</v>
      </c>
      <c r="AN688" t="s">
        <v>94</v>
      </c>
      <c r="AO688" t="s">
        <v>68</v>
      </c>
      <c r="AP688" t="s">
        <v>182</v>
      </c>
      <c r="AQ688" t="s">
        <v>1517</v>
      </c>
      <c r="AR688" t="s">
        <v>70</v>
      </c>
      <c r="AS688">
        <v>701</v>
      </c>
      <c r="AT688" t="s">
        <v>71</v>
      </c>
      <c r="AU688">
        <v>-4.6399999999999997</v>
      </c>
      <c r="AV688">
        <v>-50.81</v>
      </c>
      <c r="AW688" t="s">
        <v>72</v>
      </c>
      <c r="AX688">
        <v>701</v>
      </c>
      <c r="AY688" t="s">
        <v>71</v>
      </c>
      <c r="AZ688">
        <v>-11.15</v>
      </c>
      <c r="BA688">
        <v>-65.17</v>
      </c>
      <c r="BB688" t="s">
        <v>73</v>
      </c>
    </row>
    <row r="689" spans="1:54" x14ac:dyDescent="0.4">
      <c r="A689">
        <v>922666</v>
      </c>
      <c r="D689" t="s">
        <v>54</v>
      </c>
      <c r="F689" t="s">
        <v>1509</v>
      </c>
      <c r="I689" t="s">
        <v>57</v>
      </c>
      <c r="K689" t="s">
        <v>102</v>
      </c>
      <c r="L689" t="s">
        <v>1521</v>
      </c>
      <c r="M689" t="s">
        <v>59</v>
      </c>
      <c r="P689" t="s">
        <v>82</v>
      </c>
      <c r="Q689" t="s">
        <v>83</v>
      </c>
      <c r="R689" t="s">
        <v>84</v>
      </c>
      <c r="S689" t="s">
        <v>61</v>
      </c>
      <c r="T689">
        <v>251.90199999999999</v>
      </c>
      <c r="U689">
        <v>246.7</v>
      </c>
      <c r="V689">
        <f>(T689+U689)/2</f>
        <v>249.30099999999999</v>
      </c>
      <c r="W689">
        <f>T689-U689</f>
        <v>5.2019999999999982</v>
      </c>
      <c r="X689">
        <v>29.125</v>
      </c>
      <c r="Y689">
        <v>-28.274999999999999</v>
      </c>
      <c r="Z689" t="s">
        <v>99</v>
      </c>
      <c r="AA689" t="s">
        <v>86</v>
      </c>
      <c r="AB689" t="s">
        <v>546</v>
      </c>
      <c r="AC689" t="s">
        <v>1510</v>
      </c>
      <c r="AD689" t="s">
        <v>1511</v>
      </c>
      <c r="AE689" t="s">
        <v>90</v>
      </c>
      <c r="AF689" t="s">
        <v>1512</v>
      </c>
      <c r="AG689" t="s">
        <v>1513</v>
      </c>
      <c r="AH689" t="s">
        <v>65</v>
      </c>
      <c r="AI689" t="s">
        <v>1514</v>
      </c>
      <c r="AJ689">
        <v>1977</v>
      </c>
      <c r="AK689" t="s">
        <v>1515</v>
      </c>
      <c r="AM689" t="s">
        <v>1516</v>
      </c>
      <c r="AN689" t="s">
        <v>94</v>
      </c>
      <c r="AO689" t="s">
        <v>68</v>
      </c>
      <c r="AP689" t="s">
        <v>182</v>
      </c>
      <c r="AQ689" t="s">
        <v>1517</v>
      </c>
      <c r="AR689" t="s">
        <v>70</v>
      </c>
      <c r="AS689">
        <v>701</v>
      </c>
      <c r="AT689" t="s">
        <v>71</v>
      </c>
      <c r="AU689">
        <v>-4.6399999999999997</v>
      </c>
      <c r="AV689">
        <v>-50.81</v>
      </c>
      <c r="AW689" t="s">
        <v>72</v>
      </c>
      <c r="AX689">
        <v>701</v>
      </c>
      <c r="AY689" t="s">
        <v>71</v>
      </c>
      <c r="AZ689">
        <v>-11.15</v>
      </c>
      <c r="BA689">
        <v>-65.17</v>
      </c>
      <c r="BB689" t="s">
        <v>73</v>
      </c>
    </row>
    <row r="690" spans="1:54" x14ac:dyDescent="0.4">
      <c r="A690">
        <v>922675</v>
      </c>
      <c r="D690" t="s">
        <v>54</v>
      </c>
      <c r="F690" t="s">
        <v>1509</v>
      </c>
      <c r="I690" t="s">
        <v>57</v>
      </c>
      <c r="K690" t="s">
        <v>80</v>
      </c>
      <c r="L690" t="s">
        <v>81</v>
      </c>
      <c r="M690" t="s">
        <v>59</v>
      </c>
      <c r="P690" t="s">
        <v>82</v>
      </c>
      <c r="Q690" t="s">
        <v>83</v>
      </c>
      <c r="R690" t="s">
        <v>84</v>
      </c>
      <c r="S690" t="s">
        <v>61</v>
      </c>
      <c r="T690">
        <v>251.90199999999999</v>
      </c>
      <c r="U690">
        <v>246.7</v>
      </c>
      <c r="V690">
        <f>(T690+U690)/2</f>
        <v>249.30099999999999</v>
      </c>
      <c r="W690">
        <f>T690-U690</f>
        <v>5.2019999999999982</v>
      </c>
      <c r="X690">
        <v>25.966667000000001</v>
      </c>
      <c r="Y690">
        <v>-30.5</v>
      </c>
      <c r="Z690" t="s">
        <v>99</v>
      </c>
      <c r="AA690" t="s">
        <v>86</v>
      </c>
      <c r="AB690" t="s">
        <v>546</v>
      </c>
      <c r="AD690" t="s">
        <v>89</v>
      </c>
      <c r="AE690" t="s">
        <v>90</v>
      </c>
      <c r="AG690" t="s">
        <v>1513</v>
      </c>
      <c r="AH690" t="s">
        <v>65</v>
      </c>
      <c r="AI690" t="s">
        <v>1514</v>
      </c>
      <c r="AJ690">
        <v>1977</v>
      </c>
      <c r="AK690" t="s">
        <v>1522</v>
      </c>
      <c r="AN690" t="s">
        <v>94</v>
      </c>
      <c r="AO690" t="s">
        <v>106</v>
      </c>
      <c r="AP690" t="s">
        <v>182</v>
      </c>
      <c r="AQ690" t="s">
        <v>1523</v>
      </c>
      <c r="AR690" t="s">
        <v>70</v>
      </c>
      <c r="AS690">
        <v>701</v>
      </c>
      <c r="AT690" t="s">
        <v>71</v>
      </c>
      <c r="AU690">
        <v>-10.06</v>
      </c>
      <c r="AV690">
        <v>-50.05</v>
      </c>
      <c r="AW690" t="s">
        <v>72</v>
      </c>
      <c r="AX690">
        <v>701</v>
      </c>
      <c r="AY690" t="s">
        <v>71</v>
      </c>
      <c r="AZ690">
        <v>-19.16</v>
      </c>
      <c r="BA690">
        <v>-64.260000000000005</v>
      </c>
      <c r="BB690" t="s">
        <v>73</v>
      </c>
    </row>
    <row r="691" spans="1:54" x14ac:dyDescent="0.4">
      <c r="A691">
        <v>922676</v>
      </c>
      <c r="D691" t="s">
        <v>54</v>
      </c>
      <c r="F691" t="s">
        <v>1509</v>
      </c>
      <c r="G691">
        <v>1</v>
      </c>
      <c r="H691" t="s">
        <v>56</v>
      </c>
      <c r="I691" t="s">
        <v>57</v>
      </c>
      <c r="K691" t="s">
        <v>724</v>
      </c>
      <c r="L691" t="s">
        <v>1518</v>
      </c>
      <c r="M691" t="s">
        <v>59</v>
      </c>
      <c r="P691" t="s">
        <v>82</v>
      </c>
      <c r="Q691" t="s">
        <v>83</v>
      </c>
      <c r="R691" t="s">
        <v>84</v>
      </c>
      <c r="S691" t="s">
        <v>61</v>
      </c>
      <c r="T691">
        <v>251.90199999999999</v>
      </c>
      <c r="U691">
        <v>246.7</v>
      </c>
      <c r="V691">
        <f>(T691+U691)/2</f>
        <v>249.30099999999999</v>
      </c>
      <c r="W691">
        <f>T691-U691</f>
        <v>5.2019999999999982</v>
      </c>
      <c r="X691">
        <v>25.966667000000001</v>
      </c>
      <c r="Y691">
        <v>-30.5</v>
      </c>
      <c r="Z691" t="s">
        <v>99</v>
      </c>
      <c r="AA691" t="s">
        <v>86</v>
      </c>
      <c r="AB691" t="s">
        <v>546</v>
      </c>
      <c r="AD691" t="s">
        <v>89</v>
      </c>
      <c r="AE691" t="s">
        <v>90</v>
      </c>
      <c r="AG691" t="s">
        <v>1513</v>
      </c>
      <c r="AH691" t="s">
        <v>65</v>
      </c>
      <c r="AI691" t="s">
        <v>1519</v>
      </c>
      <c r="AJ691">
        <v>2004</v>
      </c>
      <c r="AK691" t="s">
        <v>1522</v>
      </c>
      <c r="AN691" t="s">
        <v>94</v>
      </c>
      <c r="AO691" t="s">
        <v>106</v>
      </c>
      <c r="AP691" t="s">
        <v>182</v>
      </c>
      <c r="AQ691" t="s">
        <v>1523</v>
      </c>
      <c r="AR691" t="s">
        <v>70</v>
      </c>
      <c r="AS691">
        <v>701</v>
      </c>
      <c r="AT691" t="s">
        <v>71</v>
      </c>
      <c r="AU691">
        <v>-10.06</v>
      </c>
      <c r="AV691">
        <v>-50.05</v>
      </c>
      <c r="AW691" t="s">
        <v>72</v>
      </c>
      <c r="AX691">
        <v>701</v>
      </c>
      <c r="AY691" t="s">
        <v>71</v>
      </c>
      <c r="AZ691">
        <v>-19.16</v>
      </c>
      <c r="BA691">
        <v>-64.260000000000005</v>
      </c>
      <c r="BB691" t="s">
        <v>73</v>
      </c>
    </row>
    <row r="692" spans="1:54" x14ac:dyDescent="0.4">
      <c r="A692">
        <v>922693</v>
      </c>
      <c r="D692" t="s">
        <v>763</v>
      </c>
      <c r="E692" t="s">
        <v>104</v>
      </c>
      <c r="G692">
        <v>3</v>
      </c>
      <c r="H692" t="s">
        <v>74</v>
      </c>
      <c r="I692" t="s">
        <v>57</v>
      </c>
      <c r="K692" t="s">
        <v>724</v>
      </c>
      <c r="L692" t="s">
        <v>1518</v>
      </c>
      <c r="M692" t="s">
        <v>59</v>
      </c>
      <c r="P692" t="s">
        <v>82</v>
      </c>
      <c r="Q692" t="s">
        <v>83</v>
      </c>
      <c r="R692" t="s">
        <v>84</v>
      </c>
      <c r="S692" t="s">
        <v>61</v>
      </c>
      <c r="T692">
        <v>251.90199999999999</v>
      </c>
      <c r="U692">
        <v>246.7</v>
      </c>
      <c r="V692">
        <f>(T692+U692)/2</f>
        <v>249.30099999999999</v>
      </c>
      <c r="W692">
        <f>T692-U692</f>
        <v>5.2019999999999982</v>
      </c>
      <c r="X692">
        <v>-174.83332799999999</v>
      </c>
      <c r="Y692">
        <v>-85.133330999999998</v>
      </c>
      <c r="Z692" t="s">
        <v>85</v>
      </c>
      <c r="AA692" t="s">
        <v>866</v>
      </c>
      <c r="AD692" t="s">
        <v>867</v>
      </c>
      <c r="AE692" t="s">
        <v>868</v>
      </c>
      <c r="AG692" t="s">
        <v>891</v>
      </c>
      <c r="AH692" t="s">
        <v>65</v>
      </c>
      <c r="AI692" t="s">
        <v>66</v>
      </c>
      <c r="AJ692">
        <v>1987</v>
      </c>
      <c r="AK692" t="s">
        <v>892</v>
      </c>
      <c r="AM692" t="s">
        <v>893</v>
      </c>
      <c r="AN692" t="s">
        <v>67</v>
      </c>
      <c r="AO692" t="s">
        <v>106</v>
      </c>
      <c r="AP692" t="s">
        <v>182</v>
      </c>
      <c r="AQ692" t="s">
        <v>894</v>
      </c>
      <c r="AR692" t="s">
        <v>70</v>
      </c>
      <c r="AS692">
        <v>802</v>
      </c>
      <c r="AT692" t="s">
        <v>71</v>
      </c>
      <c r="AU692">
        <v>20.22</v>
      </c>
      <c r="AV692">
        <v>-72.48</v>
      </c>
      <c r="AW692" t="s">
        <v>72</v>
      </c>
      <c r="AX692">
        <v>802</v>
      </c>
      <c r="AY692" t="s">
        <v>71</v>
      </c>
      <c r="AZ692">
        <v>73.41</v>
      </c>
      <c r="BA692">
        <v>-82.09</v>
      </c>
      <c r="BB692" t="s">
        <v>73</v>
      </c>
    </row>
    <row r="693" spans="1:54" x14ac:dyDescent="0.4">
      <c r="A693">
        <v>922694</v>
      </c>
      <c r="D693" t="s">
        <v>54</v>
      </c>
      <c r="E693" t="s">
        <v>105</v>
      </c>
      <c r="G693">
        <v>1</v>
      </c>
      <c r="H693" t="s">
        <v>56</v>
      </c>
      <c r="I693" t="s">
        <v>57</v>
      </c>
      <c r="K693" t="s">
        <v>724</v>
      </c>
      <c r="L693" t="s">
        <v>1518</v>
      </c>
      <c r="M693" t="s">
        <v>59</v>
      </c>
      <c r="P693" t="s">
        <v>82</v>
      </c>
      <c r="Q693" t="s">
        <v>83</v>
      </c>
      <c r="R693" t="s">
        <v>84</v>
      </c>
      <c r="S693" t="s">
        <v>61</v>
      </c>
      <c r="T693">
        <v>251.90199999999999</v>
      </c>
      <c r="U693">
        <v>246.7</v>
      </c>
      <c r="V693">
        <f>(T693+U693)/2</f>
        <v>249.30099999999999</v>
      </c>
      <c r="W693">
        <f>T693-U693</f>
        <v>5.2019999999999982</v>
      </c>
      <c r="X693">
        <v>172.5</v>
      </c>
      <c r="Y693">
        <v>-85.050003000000004</v>
      </c>
      <c r="Z693" t="s">
        <v>85</v>
      </c>
      <c r="AA693" t="s">
        <v>866</v>
      </c>
      <c r="AD693" t="s">
        <v>867</v>
      </c>
      <c r="AE693" t="s">
        <v>868</v>
      </c>
      <c r="AH693" t="s">
        <v>65</v>
      </c>
      <c r="AI693" t="s">
        <v>66</v>
      </c>
      <c r="AJ693">
        <v>1987</v>
      </c>
      <c r="AK693" t="s">
        <v>1528</v>
      </c>
      <c r="AN693" t="s">
        <v>121</v>
      </c>
      <c r="AO693" t="s">
        <v>68</v>
      </c>
      <c r="AP693" t="s">
        <v>95</v>
      </c>
      <c r="AQ693" t="s">
        <v>1529</v>
      </c>
      <c r="AR693" t="s">
        <v>70</v>
      </c>
      <c r="AS693">
        <v>802</v>
      </c>
      <c r="AT693" t="s">
        <v>71</v>
      </c>
      <c r="AU693">
        <v>23.46</v>
      </c>
      <c r="AV693">
        <v>-72.040000000000006</v>
      </c>
      <c r="AW693" t="s">
        <v>72</v>
      </c>
      <c r="AX693">
        <v>802</v>
      </c>
      <c r="AY693" t="s">
        <v>71</v>
      </c>
      <c r="AZ693">
        <v>74.23</v>
      </c>
      <c r="BA693">
        <v>-81.010000000000005</v>
      </c>
      <c r="BB693" t="s">
        <v>73</v>
      </c>
    </row>
    <row r="694" spans="1:54" x14ac:dyDescent="0.4">
      <c r="A694">
        <v>922695</v>
      </c>
      <c r="D694" t="s">
        <v>54</v>
      </c>
      <c r="E694" t="s">
        <v>105</v>
      </c>
      <c r="G694">
        <v>6</v>
      </c>
      <c r="H694" t="s">
        <v>74</v>
      </c>
      <c r="I694" t="s">
        <v>57</v>
      </c>
      <c r="K694" t="s">
        <v>724</v>
      </c>
      <c r="L694" t="s">
        <v>1518</v>
      </c>
      <c r="M694" t="s">
        <v>59</v>
      </c>
      <c r="P694" t="s">
        <v>82</v>
      </c>
      <c r="Q694" t="s">
        <v>83</v>
      </c>
      <c r="R694" t="s">
        <v>84</v>
      </c>
      <c r="S694" t="s">
        <v>61</v>
      </c>
      <c r="T694">
        <v>251.90199999999999</v>
      </c>
      <c r="U694">
        <v>246.7</v>
      </c>
      <c r="V694">
        <f>(T694+U694)/2</f>
        <v>249.30099999999999</v>
      </c>
      <c r="W694">
        <f>T694-U694</f>
        <v>5.2019999999999982</v>
      </c>
      <c r="X694">
        <v>-175.5</v>
      </c>
      <c r="Y694">
        <v>-85.216667000000001</v>
      </c>
      <c r="Z694" t="s">
        <v>85</v>
      </c>
      <c r="AA694" t="s">
        <v>866</v>
      </c>
      <c r="AD694" t="s">
        <v>867</v>
      </c>
      <c r="AE694" t="s">
        <v>868</v>
      </c>
      <c r="AH694" t="s">
        <v>65</v>
      </c>
      <c r="AI694" t="s">
        <v>66</v>
      </c>
      <c r="AJ694">
        <v>1987</v>
      </c>
      <c r="AK694" t="s">
        <v>873</v>
      </c>
      <c r="AM694" t="s">
        <v>874</v>
      </c>
      <c r="AN694" t="s">
        <v>121</v>
      </c>
      <c r="AO694" t="s">
        <v>68</v>
      </c>
      <c r="AP694" t="s">
        <v>95</v>
      </c>
      <c r="AQ694" t="s">
        <v>875</v>
      </c>
      <c r="AR694" t="s">
        <v>70</v>
      </c>
      <c r="AS694">
        <v>802</v>
      </c>
      <c r="AT694" t="s">
        <v>71</v>
      </c>
      <c r="AU694">
        <v>20.29</v>
      </c>
      <c r="AV694">
        <v>-72.39</v>
      </c>
      <c r="AW694" t="s">
        <v>72</v>
      </c>
      <c r="AX694">
        <v>802</v>
      </c>
      <c r="AY694" t="s">
        <v>71</v>
      </c>
      <c r="AZ694">
        <v>72.87</v>
      </c>
      <c r="BA694">
        <v>-82.02</v>
      </c>
      <c r="BB694" t="s">
        <v>73</v>
      </c>
    </row>
    <row r="695" spans="1:54" x14ac:dyDescent="0.4">
      <c r="A695">
        <v>922696</v>
      </c>
      <c r="D695" t="s">
        <v>763</v>
      </c>
      <c r="E695" t="s">
        <v>105</v>
      </c>
      <c r="G695">
        <v>6</v>
      </c>
      <c r="H695" t="s">
        <v>74</v>
      </c>
      <c r="I695" t="s">
        <v>57</v>
      </c>
      <c r="K695" t="s">
        <v>724</v>
      </c>
      <c r="L695" t="s">
        <v>1518</v>
      </c>
      <c r="M695" t="s">
        <v>59</v>
      </c>
      <c r="P695" t="s">
        <v>82</v>
      </c>
      <c r="Q695" t="s">
        <v>83</v>
      </c>
      <c r="R695" t="s">
        <v>84</v>
      </c>
      <c r="S695" t="s">
        <v>61</v>
      </c>
      <c r="T695">
        <v>251.90199999999999</v>
      </c>
      <c r="U695">
        <v>246.7</v>
      </c>
      <c r="V695">
        <f>(T695+U695)/2</f>
        <v>249.30099999999999</v>
      </c>
      <c r="W695">
        <f>T695-U695</f>
        <v>5.2019999999999982</v>
      </c>
      <c r="X695">
        <v>-177</v>
      </c>
      <c r="Y695">
        <v>-85.216667000000001</v>
      </c>
      <c r="Z695" t="s">
        <v>85</v>
      </c>
      <c r="AA695" t="s">
        <v>866</v>
      </c>
      <c r="AD695" t="s">
        <v>867</v>
      </c>
      <c r="AE695" t="s">
        <v>868</v>
      </c>
      <c r="AF695" t="s">
        <v>305</v>
      </c>
      <c r="AH695" t="s">
        <v>65</v>
      </c>
      <c r="AI695" t="s">
        <v>66</v>
      </c>
      <c r="AJ695">
        <v>1987</v>
      </c>
      <c r="AK695" t="s">
        <v>870</v>
      </c>
      <c r="AM695" t="s">
        <v>871</v>
      </c>
      <c r="AN695" t="s">
        <v>67</v>
      </c>
      <c r="AO695" t="s">
        <v>68</v>
      </c>
      <c r="AP695" t="s">
        <v>69</v>
      </c>
      <c r="AQ695" t="s">
        <v>872</v>
      </c>
      <c r="AR695" t="s">
        <v>70</v>
      </c>
      <c r="AS695">
        <v>802</v>
      </c>
      <c r="AT695" t="s">
        <v>71</v>
      </c>
      <c r="AU695">
        <v>20.67</v>
      </c>
      <c r="AV695">
        <v>-72.34</v>
      </c>
      <c r="AW695" t="s">
        <v>72</v>
      </c>
      <c r="AX695">
        <v>802</v>
      </c>
      <c r="AY695" t="s">
        <v>71</v>
      </c>
      <c r="AZ695">
        <v>73</v>
      </c>
      <c r="BA695">
        <v>-81.89</v>
      </c>
      <c r="BB695" t="s">
        <v>73</v>
      </c>
    </row>
    <row r="696" spans="1:54" x14ac:dyDescent="0.4">
      <c r="A696">
        <v>922697</v>
      </c>
      <c r="D696" t="s">
        <v>54</v>
      </c>
      <c r="G696">
        <v>1</v>
      </c>
      <c r="H696" t="s">
        <v>56</v>
      </c>
      <c r="I696" t="s">
        <v>57</v>
      </c>
      <c r="K696" t="s">
        <v>724</v>
      </c>
      <c r="L696" t="s">
        <v>1518</v>
      </c>
      <c r="M696" t="s">
        <v>59</v>
      </c>
      <c r="P696" t="s">
        <v>82</v>
      </c>
      <c r="Q696" t="s">
        <v>83</v>
      </c>
      <c r="R696" t="s">
        <v>84</v>
      </c>
      <c r="S696" t="s">
        <v>61</v>
      </c>
      <c r="T696">
        <v>251.90199999999999</v>
      </c>
      <c r="U696">
        <v>246.7</v>
      </c>
      <c r="V696">
        <f>(T696+U696)/2</f>
        <v>249.30099999999999</v>
      </c>
      <c r="W696">
        <f>T696-U696</f>
        <v>5.2019999999999982</v>
      </c>
      <c r="X696">
        <v>26.316668</v>
      </c>
      <c r="Y696">
        <v>-31</v>
      </c>
      <c r="Z696" t="s">
        <v>99</v>
      </c>
      <c r="AA696" t="s">
        <v>86</v>
      </c>
      <c r="AB696" t="s">
        <v>87</v>
      </c>
      <c r="AC696" t="s">
        <v>1530</v>
      </c>
      <c r="AE696" t="s">
        <v>90</v>
      </c>
      <c r="AG696" t="s">
        <v>891</v>
      </c>
      <c r="AH696" t="s">
        <v>65</v>
      </c>
      <c r="AI696" t="s">
        <v>1531</v>
      </c>
      <c r="AJ696">
        <v>1948</v>
      </c>
      <c r="AK696" t="s">
        <v>1532</v>
      </c>
      <c r="AM696" t="s">
        <v>1533</v>
      </c>
      <c r="AN696" t="s">
        <v>94</v>
      </c>
      <c r="AO696" t="s">
        <v>330</v>
      </c>
      <c r="AP696" t="s">
        <v>69</v>
      </c>
      <c r="AQ696" t="s">
        <v>1534</v>
      </c>
      <c r="AR696" t="s">
        <v>70</v>
      </c>
      <c r="AS696">
        <v>701</v>
      </c>
      <c r="AT696" t="s">
        <v>71</v>
      </c>
      <c r="AU696">
        <v>-10.4</v>
      </c>
      <c r="AV696">
        <v>-50.59</v>
      </c>
      <c r="AW696" t="s">
        <v>72</v>
      </c>
      <c r="AX696">
        <v>701</v>
      </c>
      <c r="AY696" t="s">
        <v>71</v>
      </c>
      <c r="AZ696">
        <v>-19.760000000000002</v>
      </c>
      <c r="BA696">
        <v>-64.78</v>
      </c>
      <c r="BB696" t="s">
        <v>73</v>
      </c>
    </row>
    <row r="697" spans="1:54" x14ac:dyDescent="0.4">
      <c r="A697">
        <v>922701</v>
      </c>
      <c r="D697" t="s">
        <v>54</v>
      </c>
      <c r="G697">
        <v>1</v>
      </c>
      <c r="H697" t="s">
        <v>56</v>
      </c>
      <c r="I697" t="s">
        <v>57</v>
      </c>
      <c r="K697" t="s">
        <v>724</v>
      </c>
      <c r="L697" t="s">
        <v>1518</v>
      </c>
      <c r="M697" t="s">
        <v>59</v>
      </c>
      <c r="P697" t="s">
        <v>82</v>
      </c>
      <c r="Q697" t="s">
        <v>83</v>
      </c>
      <c r="R697" t="s">
        <v>84</v>
      </c>
      <c r="S697" t="s">
        <v>61</v>
      </c>
      <c r="T697">
        <v>251.90199999999999</v>
      </c>
      <c r="U697">
        <v>246.7</v>
      </c>
      <c r="V697">
        <f>(T697+U697)/2</f>
        <v>249.30099999999999</v>
      </c>
      <c r="W697">
        <f>T697-U697</f>
        <v>5.2019999999999982</v>
      </c>
      <c r="X697">
        <v>29.133333</v>
      </c>
      <c r="Y697">
        <v>-28.283332999999999</v>
      </c>
      <c r="Z697" t="s">
        <v>99</v>
      </c>
      <c r="AA697" t="s">
        <v>86</v>
      </c>
      <c r="AB697" t="s">
        <v>546</v>
      </c>
      <c r="AE697" t="s">
        <v>90</v>
      </c>
      <c r="AG697" t="s">
        <v>1513</v>
      </c>
      <c r="AH697" t="s">
        <v>65</v>
      </c>
      <c r="AI697" t="s">
        <v>1519</v>
      </c>
      <c r="AJ697">
        <v>2004</v>
      </c>
      <c r="AK697" t="s">
        <v>1535</v>
      </c>
      <c r="AM697" t="s">
        <v>1536</v>
      </c>
      <c r="AN697" t="s">
        <v>94</v>
      </c>
      <c r="AO697" t="s">
        <v>106</v>
      </c>
      <c r="AP697" t="s">
        <v>69</v>
      </c>
      <c r="AQ697" t="s">
        <v>1537</v>
      </c>
      <c r="AR697" t="s">
        <v>70</v>
      </c>
      <c r="AS697">
        <v>701</v>
      </c>
      <c r="AT697" t="s">
        <v>71</v>
      </c>
      <c r="AU697">
        <v>-4.6399999999999997</v>
      </c>
      <c r="AV697">
        <v>-50.82</v>
      </c>
      <c r="AW697" t="s">
        <v>72</v>
      </c>
      <c r="AX697">
        <v>701</v>
      </c>
      <c r="AY697" t="s">
        <v>71</v>
      </c>
      <c r="AZ697">
        <v>-11.16</v>
      </c>
      <c r="BA697">
        <v>-65.180000000000007</v>
      </c>
      <c r="BB697" t="s">
        <v>73</v>
      </c>
    </row>
    <row r="698" spans="1:54" x14ac:dyDescent="0.4">
      <c r="A698">
        <v>922706</v>
      </c>
      <c r="D698" t="s">
        <v>54</v>
      </c>
      <c r="G698">
        <v>1</v>
      </c>
      <c r="H698" t="s">
        <v>56</v>
      </c>
      <c r="I698" t="s">
        <v>57</v>
      </c>
      <c r="K698" t="s">
        <v>724</v>
      </c>
      <c r="L698" t="s">
        <v>1518</v>
      </c>
      <c r="M698" t="s">
        <v>59</v>
      </c>
      <c r="P698" t="s">
        <v>82</v>
      </c>
      <c r="Q698" t="s">
        <v>83</v>
      </c>
      <c r="R698" t="s">
        <v>84</v>
      </c>
      <c r="S698" t="s">
        <v>61</v>
      </c>
      <c r="T698">
        <v>251.90199999999999</v>
      </c>
      <c r="U698">
        <v>246.7</v>
      </c>
      <c r="V698">
        <f>(T698+U698)/2</f>
        <v>249.30099999999999</v>
      </c>
      <c r="W698">
        <f>T698-U698</f>
        <v>5.2019999999999982</v>
      </c>
      <c r="X698">
        <v>26.666668000000001</v>
      </c>
      <c r="Y698">
        <v>-29.583331999999999</v>
      </c>
      <c r="Z698" t="s">
        <v>99</v>
      </c>
      <c r="AA698" t="s">
        <v>86</v>
      </c>
      <c r="AB698" t="s">
        <v>546</v>
      </c>
      <c r="AE698" t="s">
        <v>90</v>
      </c>
      <c r="AG698" t="s">
        <v>891</v>
      </c>
      <c r="AH698" t="s">
        <v>65</v>
      </c>
      <c r="AI698" t="s">
        <v>1519</v>
      </c>
      <c r="AJ698">
        <v>2004</v>
      </c>
      <c r="AK698" t="s">
        <v>1541</v>
      </c>
      <c r="AM698" t="s">
        <v>1542</v>
      </c>
      <c r="AN698" t="s">
        <v>94</v>
      </c>
      <c r="AO698" t="s">
        <v>106</v>
      </c>
      <c r="AP698" t="s">
        <v>95</v>
      </c>
      <c r="AQ698" t="s">
        <v>1543</v>
      </c>
      <c r="AR698" t="s">
        <v>70</v>
      </c>
      <c r="AS698">
        <v>701</v>
      </c>
      <c r="AT698" t="s">
        <v>71</v>
      </c>
      <c r="AU698">
        <v>-8.36</v>
      </c>
      <c r="AV698">
        <v>-49.97</v>
      </c>
      <c r="AW698" t="s">
        <v>72</v>
      </c>
      <c r="AX698">
        <v>701</v>
      </c>
      <c r="AY698" t="s">
        <v>71</v>
      </c>
      <c r="AZ698">
        <v>-16.63</v>
      </c>
      <c r="BA698">
        <v>-64.239999999999995</v>
      </c>
      <c r="BB698" t="s">
        <v>73</v>
      </c>
    </row>
    <row r="699" spans="1:54" x14ac:dyDescent="0.4">
      <c r="A699">
        <v>922716</v>
      </c>
      <c r="D699" t="s">
        <v>54</v>
      </c>
      <c r="E699" t="s">
        <v>55</v>
      </c>
      <c r="G699">
        <v>1</v>
      </c>
      <c r="H699" t="s">
        <v>56</v>
      </c>
      <c r="I699" t="s">
        <v>57</v>
      </c>
      <c r="K699" t="s">
        <v>806</v>
      </c>
      <c r="L699" t="s">
        <v>1520</v>
      </c>
      <c r="M699" t="s">
        <v>59</v>
      </c>
      <c r="O699" t="s">
        <v>76</v>
      </c>
      <c r="P699" t="s">
        <v>82</v>
      </c>
      <c r="Q699" t="s">
        <v>83</v>
      </c>
      <c r="R699" t="s">
        <v>84</v>
      </c>
      <c r="S699" t="s">
        <v>61</v>
      </c>
      <c r="T699">
        <v>251.90199999999999</v>
      </c>
      <c r="U699">
        <v>246.7</v>
      </c>
      <c r="V699">
        <f>(T699+U699)/2</f>
        <v>249.30099999999999</v>
      </c>
      <c r="W699">
        <f>T699-U699</f>
        <v>5.2019999999999982</v>
      </c>
      <c r="X699">
        <v>24.983333999999999</v>
      </c>
      <c r="Y699">
        <v>-31.716667000000001</v>
      </c>
      <c r="Z699" t="s">
        <v>99</v>
      </c>
      <c r="AA699" t="s">
        <v>86</v>
      </c>
      <c r="AB699" t="s">
        <v>87</v>
      </c>
      <c r="AC699" t="s">
        <v>496</v>
      </c>
      <c r="AD699" t="s">
        <v>540</v>
      </c>
      <c r="AE699" t="s">
        <v>90</v>
      </c>
      <c r="AF699" t="s">
        <v>541</v>
      </c>
      <c r="AG699" t="s">
        <v>497</v>
      </c>
      <c r="AH699" t="s">
        <v>65</v>
      </c>
      <c r="AI699" t="s">
        <v>91</v>
      </c>
      <c r="AJ699">
        <v>1946</v>
      </c>
      <c r="AK699" t="s">
        <v>786</v>
      </c>
      <c r="AN699" t="s">
        <v>177</v>
      </c>
      <c r="AO699" t="s">
        <v>106</v>
      </c>
      <c r="AP699" t="s">
        <v>182</v>
      </c>
      <c r="AQ699" t="s">
        <v>787</v>
      </c>
      <c r="AR699" t="s">
        <v>70</v>
      </c>
      <c r="AS699">
        <v>701</v>
      </c>
      <c r="AT699" t="s">
        <v>71</v>
      </c>
      <c r="AU699">
        <v>-12.37</v>
      </c>
      <c r="AV699">
        <v>-50.1</v>
      </c>
      <c r="AW699" t="s">
        <v>72</v>
      </c>
      <c r="AX699">
        <v>701</v>
      </c>
      <c r="AY699" t="s">
        <v>71</v>
      </c>
      <c r="AZ699">
        <v>-22.56</v>
      </c>
      <c r="BA699">
        <v>-64.19</v>
      </c>
      <c r="BB699" t="s">
        <v>73</v>
      </c>
    </row>
    <row r="700" spans="1:54" x14ac:dyDescent="0.4">
      <c r="A700">
        <v>922721</v>
      </c>
      <c r="D700" t="s">
        <v>54</v>
      </c>
      <c r="G700">
        <v>1</v>
      </c>
      <c r="H700" t="s">
        <v>56</v>
      </c>
      <c r="I700" t="s">
        <v>57</v>
      </c>
      <c r="K700" t="s">
        <v>806</v>
      </c>
      <c r="L700" t="s">
        <v>1520</v>
      </c>
      <c r="M700" t="s">
        <v>59</v>
      </c>
      <c r="O700" t="s">
        <v>76</v>
      </c>
      <c r="P700" t="s">
        <v>82</v>
      </c>
      <c r="Q700" t="s">
        <v>83</v>
      </c>
      <c r="R700" t="s">
        <v>84</v>
      </c>
      <c r="S700" t="s">
        <v>61</v>
      </c>
      <c r="T700">
        <v>251.90199999999999</v>
      </c>
      <c r="U700">
        <v>246.7</v>
      </c>
      <c r="V700">
        <f>(T700+U700)/2</f>
        <v>249.30099999999999</v>
      </c>
      <c r="W700">
        <f>T700-U700</f>
        <v>5.2019999999999982</v>
      </c>
      <c r="X700">
        <v>25.783332999999999</v>
      </c>
      <c r="Y700">
        <v>-30.766666000000001</v>
      </c>
      <c r="Z700" t="s">
        <v>99</v>
      </c>
      <c r="AA700" t="s">
        <v>86</v>
      </c>
      <c r="AB700" t="s">
        <v>87</v>
      </c>
      <c r="AE700" t="s">
        <v>90</v>
      </c>
      <c r="AG700" t="s">
        <v>891</v>
      </c>
      <c r="AH700" t="s">
        <v>65</v>
      </c>
      <c r="AI700" t="s">
        <v>1544</v>
      </c>
      <c r="AJ700">
        <v>1965</v>
      </c>
      <c r="AK700" t="s">
        <v>1545</v>
      </c>
      <c r="AN700" t="s">
        <v>94</v>
      </c>
      <c r="AO700" t="s">
        <v>106</v>
      </c>
      <c r="AP700" t="s">
        <v>182</v>
      </c>
      <c r="AQ700" t="s">
        <v>1546</v>
      </c>
      <c r="AR700" t="s">
        <v>70</v>
      </c>
      <c r="AS700">
        <v>701</v>
      </c>
      <c r="AT700" t="s">
        <v>71</v>
      </c>
      <c r="AU700">
        <v>-10.54</v>
      </c>
      <c r="AV700">
        <v>-50.08</v>
      </c>
      <c r="AW700" t="s">
        <v>72</v>
      </c>
      <c r="AX700">
        <v>701</v>
      </c>
      <c r="AY700" t="s">
        <v>71</v>
      </c>
      <c r="AZ700">
        <v>-19.87</v>
      </c>
      <c r="BA700">
        <v>-64.27</v>
      </c>
      <c r="BB700" t="s">
        <v>73</v>
      </c>
    </row>
    <row r="701" spans="1:54" x14ac:dyDescent="0.4">
      <c r="A701">
        <v>980035</v>
      </c>
      <c r="D701" t="s">
        <v>54</v>
      </c>
      <c r="E701" t="s">
        <v>150</v>
      </c>
      <c r="G701">
        <v>1</v>
      </c>
      <c r="H701" t="s">
        <v>56</v>
      </c>
      <c r="I701" t="s">
        <v>57</v>
      </c>
      <c r="K701" t="s">
        <v>806</v>
      </c>
      <c r="L701" t="s">
        <v>1520</v>
      </c>
      <c r="M701" t="s">
        <v>59</v>
      </c>
      <c r="O701" t="s">
        <v>76</v>
      </c>
      <c r="P701" t="s">
        <v>82</v>
      </c>
      <c r="Q701" t="s">
        <v>83</v>
      </c>
      <c r="R701" t="s">
        <v>84</v>
      </c>
      <c r="S701" t="s">
        <v>61</v>
      </c>
      <c r="T701">
        <v>251.90199999999999</v>
      </c>
      <c r="U701">
        <v>246.7</v>
      </c>
      <c r="V701">
        <f>(T701+U701)/2</f>
        <v>249.30099999999999</v>
      </c>
      <c r="W701">
        <f>T701-U701</f>
        <v>5.2019999999999982</v>
      </c>
      <c r="X701">
        <v>26.258333</v>
      </c>
      <c r="Y701">
        <v>-32</v>
      </c>
      <c r="Z701" t="s">
        <v>99</v>
      </c>
      <c r="AA701" t="s">
        <v>86</v>
      </c>
      <c r="AB701" t="s">
        <v>87</v>
      </c>
      <c r="AC701" t="s">
        <v>304</v>
      </c>
      <c r="AD701" t="s">
        <v>89</v>
      </c>
      <c r="AE701" t="s">
        <v>90</v>
      </c>
      <c r="AG701" t="s">
        <v>891</v>
      </c>
      <c r="AH701" t="s">
        <v>65</v>
      </c>
      <c r="AI701" t="s">
        <v>91</v>
      </c>
      <c r="AJ701">
        <v>1903</v>
      </c>
      <c r="AK701" t="s">
        <v>1654</v>
      </c>
      <c r="AM701" t="s">
        <v>1655</v>
      </c>
      <c r="AN701" t="s">
        <v>94</v>
      </c>
      <c r="AO701" t="s">
        <v>330</v>
      </c>
      <c r="AP701" t="s">
        <v>182</v>
      </c>
      <c r="AQ701" t="s">
        <v>1656</v>
      </c>
      <c r="AR701" t="s">
        <v>70</v>
      </c>
      <c r="AS701">
        <v>701</v>
      </c>
      <c r="AT701" t="s">
        <v>71</v>
      </c>
      <c r="AU701">
        <v>-11.73</v>
      </c>
      <c r="AV701">
        <v>-51.14</v>
      </c>
      <c r="AW701" t="s">
        <v>72</v>
      </c>
      <c r="AX701">
        <v>701</v>
      </c>
      <c r="AY701" t="s">
        <v>71</v>
      </c>
      <c r="AZ701">
        <v>-21.84</v>
      </c>
      <c r="BA701">
        <v>-65.260000000000005</v>
      </c>
      <c r="BB701" t="s">
        <v>73</v>
      </c>
    </row>
    <row r="702" spans="1:54" x14ac:dyDescent="0.4">
      <c r="A702">
        <v>980036</v>
      </c>
      <c r="D702" t="s">
        <v>54</v>
      </c>
      <c r="E702" t="s">
        <v>150</v>
      </c>
      <c r="I702" t="s">
        <v>57</v>
      </c>
      <c r="K702" t="s">
        <v>80</v>
      </c>
      <c r="L702" t="s">
        <v>81</v>
      </c>
      <c r="M702" t="s">
        <v>59</v>
      </c>
      <c r="P702" t="s">
        <v>82</v>
      </c>
      <c r="Q702" t="s">
        <v>83</v>
      </c>
      <c r="R702" t="s">
        <v>84</v>
      </c>
      <c r="S702" t="s">
        <v>61</v>
      </c>
      <c r="T702">
        <v>251.90199999999999</v>
      </c>
      <c r="U702">
        <v>246.7</v>
      </c>
      <c r="V702">
        <f>(T702+U702)/2</f>
        <v>249.30099999999999</v>
      </c>
      <c r="W702">
        <f>T702-U702</f>
        <v>5.2019999999999982</v>
      </c>
      <c r="X702">
        <v>26.258333</v>
      </c>
      <c r="Y702">
        <v>-32</v>
      </c>
      <c r="Z702" t="s">
        <v>99</v>
      </c>
      <c r="AA702" t="s">
        <v>86</v>
      </c>
      <c r="AB702" t="s">
        <v>87</v>
      </c>
      <c r="AC702" t="s">
        <v>304</v>
      </c>
      <c r="AD702" t="s">
        <v>89</v>
      </c>
      <c r="AE702" t="s">
        <v>90</v>
      </c>
      <c r="AG702" t="s">
        <v>891</v>
      </c>
      <c r="AH702" t="s">
        <v>11</v>
      </c>
      <c r="AI702" t="s">
        <v>1514</v>
      </c>
      <c r="AJ702">
        <v>1977</v>
      </c>
      <c r="AK702" t="s">
        <v>1654</v>
      </c>
      <c r="AM702" t="s">
        <v>1655</v>
      </c>
      <c r="AN702" t="s">
        <v>94</v>
      </c>
      <c r="AO702" t="s">
        <v>330</v>
      </c>
      <c r="AP702" t="s">
        <v>182</v>
      </c>
      <c r="AQ702" t="s">
        <v>1656</v>
      </c>
      <c r="AR702" t="s">
        <v>70</v>
      </c>
      <c r="AS702">
        <v>701</v>
      </c>
      <c r="AT702" t="s">
        <v>71</v>
      </c>
      <c r="AU702">
        <v>-11.73</v>
      </c>
      <c r="AV702">
        <v>-51.14</v>
      </c>
      <c r="AW702" t="s">
        <v>72</v>
      </c>
      <c r="AX702">
        <v>701</v>
      </c>
      <c r="AY702" t="s">
        <v>71</v>
      </c>
      <c r="AZ702">
        <v>-21.84</v>
      </c>
      <c r="BA702">
        <v>-65.260000000000005</v>
      </c>
      <c r="BB702" t="s">
        <v>73</v>
      </c>
    </row>
    <row r="703" spans="1:54" x14ac:dyDescent="0.4">
      <c r="A703">
        <v>980047</v>
      </c>
      <c r="D703" t="s">
        <v>54</v>
      </c>
      <c r="G703">
        <v>1</v>
      </c>
      <c r="H703" t="s">
        <v>56</v>
      </c>
      <c r="I703" t="s">
        <v>57</v>
      </c>
      <c r="K703" t="s">
        <v>806</v>
      </c>
      <c r="L703" t="s">
        <v>1520</v>
      </c>
      <c r="M703" t="s">
        <v>59</v>
      </c>
      <c r="O703" t="s">
        <v>76</v>
      </c>
      <c r="P703" t="s">
        <v>82</v>
      </c>
      <c r="Q703" t="s">
        <v>83</v>
      </c>
      <c r="R703" t="s">
        <v>84</v>
      </c>
      <c r="S703" t="s">
        <v>61</v>
      </c>
      <c r="T703">
        <v>251.90199999999999</v>
      </c>
      <c r="U703">
        <v>246.7</v>
      </c>
      <c r="V703">
        <f>(T703+U703)/2</f>
        <v>249.30099999999999</v>
      </c>
      <c r="W703">
        <f>T703-U703</f>
        <v>5.2019999999999982</v>
      </c>
      <c r="X703">
        <v>27.016666000000001</v>
      </c>
      <c r="Y703">
        <v>-28.516666000000001</v>
      </c>
      <c r="Z703" t="s">
        <v>99</v>
      </c>
      <c r="AA703" t="s">
        <v>86</v>
      </c>
      <c r="AB703" t="s">
        <v>546</v>
      </c>
      <c r="AC703" t="s">
        <v>1657</v>
      </c>
      <c r="AD703" t="s">
        <v>89</v>
      </c>
      <c r="AE703" t="s">
        <v>90</v>
      </c>
      <c r="AG703" t="s">
        <v>891</v>
      </c>
      <c r="AH703" t="s">
        <v>65</v>
      </c>
      <c r="AI703" t="s">
        <v>1658</v>
      </c>
      <c r="AJ703">
        <v>2015</v>
      </c>
      <c r="AK703" t="s">
        <v>1659</v>
      </c>
      <c r="AN703" t="s">
        <v>94</v>
      </c>
      <c r="AO703" t="s">
        <v>106</v>
      </c>
      <c r="AP703" t="s">
        <v>95</v>
      </c>
      <c r="AQ703" t="s">
        <v>1660</v>
      </c>
      <c r="AR703" t="s">
        <v>70</v>
      </c>
      <c r="AS703">
        <v>701</v>
      </c>
      <c r="AT703" t="s">
        <v>71</v>
      </c>
      <c r="AU703">
        <v>-6.77</v>
      </c>
      <c r="AV703">
        <v>-49.54</v>
      </c>
      <c r="AW703" t="s">
        <v>72</v>
      </c>
      <c r="AX703">
        <v>701</v>
      </c>
      <c r="AY703" t="s">
        <v>71</v>
      </c>
      <c r="AZ703">
        <v>-14.25</v>
      </c>
      <c r="BA703">
        <v>-63.86</v>
      </c>
      <c r="BB703" t="s">
        <v>73</v>
      </c>
    </row>
    <row r="704" spans="1:54" x14ac:dyDescent="0.4">
      <c r="A704">
        <v>980048</v>
      </c>
      <c r="D704" t="s">
        <v>54</v>
      </c>
      <c r="E704" t="s">
        <v>55</v>
      </c>
      <c r="G704">
        <v>1</v>
      </c>
      <c r="H704" t="s">
        <v>56</v>
      </c>
      <c r="I704" t="s">
        <v>57</v>
      </c>
      <c r="K704" t="s">
        <v>806</v>
      </c>
      <c r="L704" t="s">
        <v>1520</v>
      </c>
      <c r="M704" t="s">
        <v>59</v>
      </c>
      <c r="O704" t="s">
        <v>76</v>
      </c>
      <c r="P704" t="s">
        <v>82</v>
      </c>
      <c r="Q704" t="s">
        <v>83</v>
      </c>
      <c r="R704" t="s">
        <v>84</v>
      </c>
      <c r="S704" t="s">
        <v>61</v>
      </c>
      <c r="T704">
        <v>251.90199999999999</v>
      </c>
      <c r="U704">
        <v>246.7</v>
      </c>
      <c r="V704">
        <f>(T704+U704)/2</f>
        <v>249.30099999999999</v>
      </c>
      <c r="W704">
        <f>T704-U704</f>
        <v>5.2019999999999982</v>
      </c>
      <c r="X704">
        <v>26.333331999999999</v>
      </c>
      <c r="Y704">
        <v>-30.583331999999999</v>
      </c>
      <c r="Z704" t="s">
        <v>99</v>
      </c>
      <c r="AA704" t="s">
        <v>86</v>
      </c>
      <c r="AB704" t="s">
        <v>546</v>
      </c>
      <c r="AD704" t="s">
        <v>89</v>
      </c>
      <c r="AE704" t="s">
        <v>90</v>
      </c>
      <c r="AG704" t="s">
        <v>891</v>
      </c>
      <c r="AH704" t="s">
        <v>65</v>
      </c>
      <c r="AI704" t="s">
        <v>1661</v>
      </c>
      <c r="AJ704">
        <v>1934</v>
      </c>
      <c r="AK704" t="s">
        <v>1662</v>
      </c>
      <c r="AN704" t="s">
        <v>121</v>
      </c>
      <c r="AO704" t="s">
        <v>106</v>
      </c>
      <c r="AP704" t="s">
        <v>95</v>
      </c>
      <c r="AQ704" t="s">
        <v>1663</v>
      </c>
      <c r="AR704" t="s">
        <v>70</v>
      </c>
      <c r="AS704">
        <v>701</v>
      </c>
      <c r="AT704" t="s">
        <v>71</v>
      </c>
      <c r="AU704">
        <v>-9.8699999999999992</v>
      </c>
      <c r="AV704">
        <v>-50.35</v>
      </c>
      <c r="AW704" t="s">
        <v>72</v>
      </c>
      <c r="AX704">
        <v>701</v>
      </c>
      <c r="AY704" t="s">
        <v>71</v>
      </c>
      <c r="AZ704">
        <v>-18.920000000000002</v>
      </c>
      <c r="BA704">
        <v>-64.569999999999993</v>
      </c>
      <c r="BB704" t="s">
        <v>73</v>
      </c>
    </row>
    <row r="705" spans="1:54" x14ac:dyDescent="0.4">
      <c r="A705">
        <v>980055</v>
      </c>
      <c r="D705" t="s">
        <v>54</v>
      </c>
      <c r="G705">
        <v>1</v>
      </c>
      <c r="H705" t="s">
        <v>56</v>
      </c>
      <c r="I705" t="s">
        <v>57</v>
      </c>
      <c r="K705" t="s">
        <v>806</v>
      </c>
      <c r="L705" t="s">
        <v>1520</v>
      </c>
      <c r="M705" t="s">
        <v>59</v>
      </c>
      <c r="O705" t="s">
        <v>76</v>
      </c>
      <c r="P705" t="s">
        <v>82</v>
      </c>
      <c r="Q705" t="s">
        <v>83</v>
      </c>
      <c r="R705" t="s">
        <v>84</v>
      </c>
      <c r="S705" t="s">
        <v>61</v>
      </c>
      <c r="T705">
        <v>251.90199999999999</v>
      </c>
      <c r="U705">
        <v>246.7</v>
      </c>
      <c r="V705">
        <f>(T705+U705)/2</f>
        <v>249.30099999999999</v>
      </c>
      <c r="W705">
        <f>T705-U705</f>
        <v>5.2019999999999982</v>
      </c>
      <c r="X705">
        <v>26</v>
      </c>
      <c r="Y705">
        <v>-30.5</v>
      </c>
      <c r="Z705" t="s">
        <v>99</v>
      </c>
      <c r="AA705" t="s">
        <v>86</v>
      </c>
      <c r="AB705" t="s">
        <v>546</v>
      </c>
      <c r="AD705" t="s">
        <v>89</v>
      </c>
      <c r="AE705" t="s">
        <v>90</v>
      </c>
      <c r="AG705" t="s">
        <v>891</v>
      </c>
      <c r="AH705" t="s">
        <v>65</v>
      </c>
      <c r="AI705" t="s">
        <v>1664</v>
      </c>
      <c r="AJ705">
        <v>1972</v>
      </c>
      <c r="AK705" t="s">
        <v>1665</v>
      </c>
      <c r="AN705" t="s">
        <v>94</v>
      </c>
      <c r="AO705" t="s">
        <v>106</v>
      </c>
      <c r="AP705" t="s">
        <v>182</v>
      </c>
      <c r="AQ705" t="s">
        <v>1666</v>
      </c>
      <c r="AR705" t="s">
        <v>70</v>
      </c>
      <c r="AS705">
        <v>701</v>
      </c>
      <c r="AT705" t="s">
        <v>71</v>
      </c>
      <c r="AU705">
        <v>-10.039999999999999</v>
      </c>
      <c r="AV705">
        <v>-50.07</v>
      </c>
      <c r="AW705" t="s">
        <v>72</v>
      </c>
      <c r="AX705">
        <v>701</v>
      </c>
      <c r="AY705" t="s">
        <v>71</v>
      </c>
      <c r="AZ705">
        <v>-19.12</v>
      </c>
      <c r="BA705">
        <v>-64.28</v>
      </c>
      <c r="BB705" t="s">
        <v>73</v>
      </c>
    </row>
    <row r="706" spans="1:54" x14ac:dyDescent="0.4">
      <c r="A706">
        <v>980055</v>
      </c>
      <c r="D706" t="s">
        <v>54</v>
      </c>
      <c r="G706">
        <v>1</v>
      </c>
      <c r="H706" t="s">
        <v>56</v>
      </c>
      <c r="I706" t="s">
        <v>57</v>
      </c>
      <c r="K706" t="s">
        <v>806</v>
      </c>
      <c r="L706" t="s">
        <v>1520</v>
      </c>
      <c r="M706" t="s">
        <v>59</v>
      </c>
      <c r="O706" t="s">
        <v>76</v>
      </c>
      <c r="P706" t="s">
        <v>82</v>
      </c>
      <c r="Q706" t="s">
        <v>83</v>
      </c>
      <c r="R706" t="s">
        <v>84</v>
      </c>
      <c r="S706" t="s">
        <v>61</v>
      </c>
      <c r="T706">
        <v>251.90199999999999</v>
      </c>
      <c r="U706">
        <v>246.7</v>
      </c>
      <c r="V706">
        <f>(T706+U706)/2</f>
        <v>249.30099999999999</v>
      </c>
      <c r="W706">
        <f>T706-U706</f>
        <v>5.2019999999999982</v>
      </c>
      <c r="X706">
        <v>26</v>
      </c>
      <c r="Y706">
        <v>-30.5</v>
      </c>
      <c r="Z706" t="s">
        <v>99</v>
      </c>
      <c r="AA706" t="s">
        <v>86</v>
      </c>
      <c r="AB706" t="s">
        <v>546</v>
      </c>
      <c r="AD706" t="s">
        <v>89</v>
      </c>
      <c r="AE706" t="s">
        <v>90</v>
      </c>
      <c r="AG706" t="s">
        <v>891</v>
      </c>
      <c r="AH706" t="s">
        <v>65</v>
      </c>
      <c r="AI706" t="s">
        <v>1664</v>
      </c>
      <c r="AJ706">
        <v>1972</v>
      </c>
      <c r="AK706" t="s">
        <v>1665</v>
      </c>
      <c r="AN706" t="s">
        <v>94</v>
      </c>
      <c r="AO706" t="s">
        <v>106</v>
      </c>
      <c r="AP706" t="s">
        <v>182</v>
      </c>
      <c r="AQ706" t="s">
        <v>1666</v>
      </c>
      <c r="AR706" t="s">
        <v>70</v>
      </c>
      <c r="AS706">
        <v>701</v>
      </c>
      <c r="AT706" t="s">
        <v>71</v>
      </c>
      <c r="AU706">
        <v>-10.039999999999999</v>
      </c>
      <c r="AV706">
        <v>-50.07</v>
      </c>
      <c r="AW706" t="s">
        <v>72</v>
      </c>
      <c r="AX706">
        <v>701</v>
      </c>
      <c r="AY706" t="s">
        <v>71</v>
      </c>
      <c r="AZ706">
        <v>-19.12</v>
      </c>
      <c r="BA706">
        <v>-64.28</v>
      </c>
      <c r="BB706" t="s">
        <v>73</v>
      </c>
    </row>
    <row r="707" spans="1:54" x14ac:dyDescent="0.4">
      <c r="A707">
        <v>980061</v>
      </c>
      <c r="D707" t="s">
        <v>54</v>
      </c>
      <c r="G707">
        <v>1</v>
      </c>
      <c r="H707" t="s">
        <v>56</v>
      </c>
      <c r="I707" t="s">
        <v>57</v>
      </c>
      <c r="K707" t="s">
        <v>806</v>
      </c>
      <c r="L707" t="s">
        <v>1520</v>
      </c>
      <c r="M707" t="s">
        <v>59</v>
      </c>
      <c r="O707" t="s">
        <v>76</v>
      </c>
      <c r="P707" t="s">
        <v>82</v>
      </c>
      <c r="Q707" t="s">
        <v>83</v>
      </c>
      <c r="R707" t="s">
        <v>84</v>
      </c>
      <c r="S707" t="s">
        <v>61</v>
      </c>
      <c r="T707">
        <v>251.90199999999999</v>
      </c>
      <c r="U707">
        <v>246.7</v>
      </c>
      <c r="V707">
        <f>(T707+U707)/2</f>
        <v>249.30099999999999</v>
      </c>
      <c r="W707">
        <f>T707-U707</f>
        <v>5.2019999999999982</v>
      </c>
      <c r="X707">
        <v>25.299999</v>
      </c>
      <c r="Y707">
        <v>-31.733333999999999</v>
      </c>
      <c r="Z707" t="s">
        <v>99</v>
      </c>
      <c r="AA707" t="s">
        <v>86</v>
      </c>
      <c r="AB707" t="s">
        <v>87</v>
      </c>
      <c r="AD707" t="s">
        <v>89</v>
      </c>
      <c r="AE707" t="s">
        <v>90</v>
      </c>
      <c r="AG707" t="s">
        <v>891</v>
      </c>
      <c r="AH707" t="s">
        <v>65</v>
      </c>
      <c r="AI707" t="s">
        <v>1667</v>
      </c>
      <c r="AJ707">
        <v>1998</v>
      </c>
      <c r="AK707" t="s">
        <v>1668</v>
      </c>
      <c r="AN707" t="s">
        <v>94</v>
      </c>
      <c r="AO707" t="s">
        <v>106</v>
      </c>
      <c r="AP707" t="s">
        <v>182</v>
      </c>
      <c r="AQ707" t="s">
        <v>1669</v>
      </c>
      <c r="AR707" t="s">
        <v>70</v>
      </c>
      <c r="AS707">
        <v>701</v>
      </c>
      <c r="AT707" t="s">
        <v>71</v>
      </c>
      <c r="AU707">
        <v>-12.14</v>
      </c>
      <c r="AV707">
        <v>-50.33</v>
      </c>
      <c r="AW707" t="s">
        <v>72</v>
      </c>
      <c r="AX707">
        <v>701</v>
      </c>
      <c r="AY707" t="s">
        <v>71</v>
      </c>
      <c r="AZ707">
        <v>-22.27</v>
      </c>
      <c r="BA707">
        <v>-64.430000000000007</v>
      </c>
      <c r="BB707" t="s">
        <v>73</v>
      </c>
    </row>
    <row r="708" spans="1:54" x14ac:dyDescent="0.4">
      <c r="A708">
        <v>980064</v>
      </c>
      <c r="D708" t="s">
        <v>54</v>
      </c>
      <c r="G708">
        <v>1</v>
      </c>
      <c r="H708" t="s">
        <v>56</v>
      </c>
      <c r="I708" t="s">
        <v>57</v>
      </c>
      <c r="K708" t="s">
        <v>806</v>
      </c>
      <c r="L708" t="s">
        <v>1520</v>
      </c>
      <c r="M708" t="s">
        <v>59</v>
      </c>
      <c r="O708" t="s">
        <v>76</v>
      </c>
      <c r="P708" t="s">
        <v>82</v>
      </c>
      <c r="Q708" t="s">
        <v>83</v>
      </c>
      <c r="R708" t="s">
        <v>84</v>
      </c>
      <c r="S708" t="s">
        <v>61</v>
      </c>
      <c r="T708">
        <v>251.90199999999999</v>
      </c>
      <c r="U708">
        <v>246.7</v>
      </c>
      <c r="V708">
        <f>(T708+U708)/2</f>
        <v>249.30099999999999</v>
      </c>
      <c r="W708">
        <f>T708-U708</f>
        <v>5.2019999999999982</v>
      </c>
      <c r="X708">
        <v>25</v>
      </c>
      <c r="Y708">
        <v>-31.5</v>
      </c>
      <c r="Z708" t="s">
        <v>99</v>
      </c>
      <c r="AA708" t="s">
        <v>86</v>
      </c>
      <c r="AB708" t="s">
        <v>87</v>
      </c>
      <c r="AD708" t="s">
        <v>89</v>
      </c>
      <c r="AE708" t="s">
        <v>90</v>
      </c>
      <c r="AG708" t="s">
        <v>891</v>
      </c>
      <c r="AH708" t="s">
        <v>65</v>
      </c>
      <c r="AI708" t="s">
        <v>1667</v>
      </c>
      <c r="AJ708">
        <v>1998</v>
      </c>
      <c r="AK708" t="s">
        <v>1670</v>
      </c>
      <c r="AN708" t="s">
        <v>94</v>
      </c>
      <c r="AO708" t="s">
        <v>106</v>
      </c>
      <c r="AP708" t="s">
        <v>95</v>
      </c>
      <c r="AR708" t="s">
        <v>70</v>
      </c>
      <c r="AS708">
        <v>701</v>
      </c>
      <c r="AT708" t="s">
        <v>71</v>
      </c>
      <c r="AU708">
        <v>-12.08</v>
      </c>
      <c r="AV708">
        <v>-49.98</v>
      </c>
      <c r="AW708" t="s">
        <v>72</v>
      </c>
      <c r="AX708">
        <v>701</v>
      </c>
      <c r="AY708" t="s">
        <v>71</v>
      </c>
      <c r="AZ708">
        <v>-22.12</v>
      </c>
      <c r="BA708">
        <v>-64.09</v>
      </c>
      <c r="BB708" t="s">
        <v>73</v>
      </c>
    </row>
    <row r="709" spans="1:54" x14ac:dyDescent="0.4">
      <c r="A709">
        <v>1286068</v>
      </c>
      <c r="D709" t="s">
        <v>54</v>
      </c>
      <c r="G709">
        <v>1</v>
      </c>
      <c r="H709" t="s">
        <v>56</v>
      </c>
      <c r="I709" t="s">
        <v>57</v>
      </c>
      <c r="K709" t="s">
        <v>80</v>
      </c>
      <c r="L709" t="s">
        <v>785</v>
      </c>
      <c r="M709" t="s">
        <v>59</v>
      </c>
      <c r="P709" t="s">
        <v>82</v>
      </c>
      <c r="Q709" t="s">
        <v>83</v>
      </c>
      <c r="R709" t="s">
        <v>84</v>
      </c>
      <c r="S709" t="s">
        <v>61</v>
      </c>
      <c r="T709">
        <v>251.90199999999999</v>
      </c>
      <c r="U709">
        <v>246.7</v>
      </c>
      <c r="V709">
        <f>(T709+U709)/2</f>
        <v>249.30099999999999</v>
      </c>
      <c r="W709">
        <f>T709-U709</f>
        <v>5.2019999999999982</v>
      </c>
      <c r="X709">
        <v>25</v>
      </c>
      <c r="Y709">
        <v>-31.503889000000001</v>
      </c>
      <c r="Z709" t="s">
        <v>85</v>
      </c>
      <c r="AA709" t="s">
        <v>86</v>
      </c>
      <c r="AB709" t="s">
        <v>87</v>
      </c>
      <c r="AC709" t="s">
        <v>539</v>
      </c>
      <c r="AD709" t="s">
        <v>89</v>
      </c>
      <c r="AE709" t="s">
        <v>90</v>
      </c>
      <c r="AG709" t="s">
        <v>891</v>
      </c>
      <c r="AH709" t="s">
        <v>65</v>
      </c>
      <c r="AI709" t="s">
        <v>1834</v>
      </c>
      <c r="AJ709">
        <v>2007</v>
      </c>
      <c r="AK709" t="s">
        <v>1835</v>
      </c>
      <c r="AN709" t="s">
        <v>94</v>
      </c>
      <c r="AO709" t="s">
        <v>68</v>
      </c>
      <c r="AP709" t="s">
        <v>69</v>
      </c>
      <c r="AQ709" t="s">
        <v>1836</v>
      </c>
      <c r="AR709" t="s">
        <v>70</v>
      </c>
      <c r="AS709">
        <v>701</v>
      </c>
      <c r="AT709" t="s">
        <v>71</v>
      </c>
      <c r="AU709">
        <v>-12.09</v>
      </c>
      <c r="AV709">
        <v>-49.98</v>
      </c>
      <c r="AW709" t="s">
        <v>72</v>
      </c>
      <c r="AX709">
        <v>701</v>
      </c>
      <c r="AY709" t="s">
        <v>71</v>
      </c>
      <c r="AZ709">
        <v>-22.12</v>
      </c>
      <c r="BA709">
        <v>-64.09</v>
      </c>
      <c r="BB709" t="s">
        <v>73</v>
      </c>
    </row>
    <row r="710" spans="1:54" x14ac:dyDescent="0.4">
      <c r="A710">
        <v>1286068</v>
      </c>
      <c r="D710" t="s">
        <v>54</v>
      </c>
      <c r="G710">
        <v>1</v>
      </c>
      <c r="H710" t="s">
        <v>56</v>
      </c>
      <c r="I710" t="s">
        <v>57</v>
      </c>
      <c r="K710" t="s">
        <v>80</v>
      </c>
      <c r="L710" t="s">
        <v>785</v>
      </c>
      <c r="M710" t="s">
        <v>59</v>
      </c>
      <c r="P710" t="s">
        <v>82</v>
      </c>
      <c r="Q710" t="s">
        <v>83</v>
      </c>
      <c r="R710" t="s">
        <v>84</v>
      </c>
      <c r="S710" t="s">
        <v>61</v>
      </c>
      <c r="T710">
        <v>251.90199999999999</v>
      </c>
      <c r="U710">
        <v>246.7</v>
      </c>
      <c r="V710">
        <f>(T710+U710)/2</f>
        <v>249.30099999999999</v>
      </c>
      <c r="W710">
        <f>T710-U710</f>
        <v>5.2019999999999982</v>
      </c>
      <c r="X710">
        <v>25</v>
      </c>
      <c r="Y710">
        <v>-31.503889000000001</v>
      </c>
      <c r="Z710" t="s">
        <v>85</v>
      </c>
      <c r="AA710" t="s">
        <v>86</v>
      </c>
      <c r="AB710" t="s">
        <v>87</v>
      </c>
      <c r="AC710" t="s">
        <v>539</v>
      </c>
      <c r="AD710" t="s">
        <v>89</v>
      </c>
      <c r="AE710" t="s">
        <v>90</v>
      </c>
      <c r="AG710" t="s">
        <v>891</v>
      </c>
      <c r="AH710" t="s">
        <v>65</v>
      </c>
      <c r="AI710" t="s">
        <v>1834</v>
      </c>
      <c r="AJ710">
        <v>2007</v>
      </c>
      <c r="AK710" t="s">
        <v>1835</v>
      </c>
      <c r="AN710" t="s">
        <v>94</v>
      </c>
      <c r="AO710" t="s">
        <v>68</v>
      </c>
      <c r="AP710" t="s">
        <v>69</v>
      </c>
      <c r="AQ710" t="s">
        <v>1836</v>
      </c>
      <c r="AR710" t="s">
        <v>70</v>
      </c>
      <c r="AS710">
        <v>701</v>
      </c>
      <c r="AT710" t="s">
        <v>71</v>
      </c>
      <c r="AU710">
        <v>-12.09</v>
      </c>
      <c r="AV710">
        <v>-49.98</v>
      </c>
      <c r="AW710" t="s">
        <v>72</v>
      </c>
      <c r="AX710">
        <v>701</v>
      </c>
      <c r="AY710" t="s">
        <v>71</v>
      </c>
      <c r="AZ710">
        <v>-22.12</v>
      </c>
      <c r="BA710">
        <v>-64.09</v>
      </c>
      <c r="BB710" t="s">
        <v>73</v>
      </c>
    </row>
    <row r="711" spans="1:54" x14ac:dyDescent="0.4">
      <c r="A711">
        <v>1286068</v>
      </c>
      <c r="D711" t="s">
        <v>54</v>
      </c>
      <c r="G711">
        <v>1</v>
      </c>
      <c r="H711" t="s">
        <v>56</v>
      </c>
      <c r="I711" t="s">
        <v>57</v>
      </c>
      <c r="K711" t="s">
        <v>80</v>
      </c>
      <c r="L711" t="s">
        <v>785</v>
      </c>
      <c r="M711" t="s">
        <v>59</v>
      </c>
      <c r="P711" t="s">
        <v>82</v>
      </c>
      <c r="Q711" t="s">
        <v>83</v>
      </c>
      <c r="R711" t="s">
        <v>84</v>
      </c>
      <c r="S711" t="s">
        <v>61</v>
      </c>
      <c r="T711">
        <v>251.90199999999999</v>
      </c>
      <c r="U711">
        <v>246.7</v>
      </c>
      <c r="V711">
        <f>(T711+U711)/2</f>
        <v>249.30099999999999</v>
      </c>
      <c r="W711">
        <f>T711-U711</f>
        <v>5.2019999999999982</v>
      </c>
      <c r="X711">
        <v>25</v>
      </c>
      <c r="Y711">
        <v>-31.503889000000001</v>
      </c>
      <c r="Z711" t="s">
        <v>85</v>
      </c>
      <c r="AA711" t="s">
        <v>86</v>
      </c>
      <c r="AB711" t="s">
        <v>87</v>
      </c>
      <c r="AC711" t="s">
        <v>539</v>
      </c>
      <c r="AD711" t="s">
        <v>89</v>
      </c>
      <c r="AE711" t="s">
        <v>90</v>
      </c>
      <c r="AG711" t="s">
        <v>891</v>
      </c>
      <c r="AH711" t="s">
        <v>65</v>
      </c>
      <c r="AI711" t="s">
        <v>1834</v>
      </c>
      <c r="AJ711">
        <v>2007</v>
      </c>
      <c r="AK711" t="s">
        <v>1835</v>
      </c>
      <c r="AN711" t="s">
        <v>94</v>
      </c>
      <c r="AO711" t="s">
        <v>68</v>
      </c>
      <c r="AP711" t="s">
        <v>69</v>
      </c>
      <c r="AQ711" t="s">
        <v>1836</v>
      </c>
      <c r="AR711" t="s">
        <v>70</v>
      </c>
      <c r="AS711">
        <v>701</v>
      </c>
      <c r="AT711" t="s">
        <v>71</v>
      </c>
      <c r="AU711">
        <v>-12.09</v>
      </c>
      <c r="AV711">
        <v>-49.98</v>
      </c>
      <c r="AW711" t="s">
        <v>72</v>
      </c>
      <c r="AX711">
        <v>701</v>
      </c>
      <c r="AY711" t="s">
        <v>71</v>
      </c>
      <c r="AZ711">
        <v>-22.12</v>
      </c>
      <c r="BA711">
        <v>-64.09</v>
      </c>
      <c r="BB711" t="s">
        <v>73</v>
      </c>
    </row>
    <row r="712" spans="1:54" x14ac:dyDescent="0.4">
      <c r="A712">
        <v>1320336</v>
      </c>
      <c r="D712" t="s">
        <v>54</v>
      </c>
      <c r="G712">
        <v>1</v>
      </c>
      <c r="H712" t="s">
        <v>56</v>
      </c>
      <c r="I712" t="s">
        <v>57</v>
      </c>
      <c r="K712" t="s">
        <v>806</v>
      </c>
      <c r="L712" t="s">
        <v>1520</v>
      </c>
      <c r="M712" t="s">
        <v>59</v>
      </c>
      <c r="O712" t="s">
        <v>76</v>
      </c>
      <c r="P712" t="s">
        <v>82</v>
      </c>
      <c r="Q712" t="s">
        <v>83</v>
      </c>
      <c r="R712" t="s">
        <v>84</v>
      </c>
      <c r="S712" t="s">
        <v>61</v>
      </c>
      <c r="T712">
        <v>251.90199999999999</v>
      </c>
      <c r="U712">
        <v>246.7</v>
      </c>
      <c r="V712">
        <f>(T712+U712)/2</f>
        <v>249.30099999999999</v>
      </c>
      <c r="W712">
        <f>T712-U712</f>
        <v>5.2019999999999982</v>
      </c>
      <c r="X712">
        <v>25.997778</v>
      </c>
      <c r="Y712">
        <v>-30.508057000000001</v>
      </c>
      <c r="Z712" t="s">
        <v>99</v>
      </c>
      <c r="AA712" t="s">
        <v>86</v>
      </c>
      <c r="AB712" t="s">
        <v>546</v>
      </c>
      <c r="AC712" t="s">
        <v>1022</v>
      </c>
      <c r="AD712" t="s">
        <v>89</v>
      </c>
      <c r="AE712" t="s">
        <v>90</v>
      </c>
      <c r="AG712" t="s">
        <v>1513</v>
      </c>
      <c r="AH712" t="s">
        <v>65</v>
      </c>
      <c r="AI712" t="s">
        <v>1514</v>
      </c>
      <c r="AJ712">
        <v>1977</v>
      </c>
      <c r="AK712" t="s">
        <v>1896</v>
      </c>
      <c r="AN712" t="s">
        <v>94</v>
      </c>
      <c r="AO712" t="s">
        <v>68</v>
      </c>
      <c r="AP712" t="s">
        <v>95</v>
      </c>
      <c r="AQ712" t="s">
        <v>1897</v>
      </c>
      <c r="AR712" t="s">
        <v>70</v>
      </c>
      <c r="AS712">
        <v>701</v>
      </c>
      <c r="AT712" t="s">
        <v>71</v>
      </c>
      <c r="AU712">
        <v>-10.050000000000001</v>
      </c>
      <c r="AV712">
        <v>-50.07</v>
      </c>
      <c r="AW712" t="s">
        <v>72</v>
      </c>
      <c r="AX712">
        <v>701</v>
      </c>
      <c r="AY712" t="s">
        <v>71</v>
      </c>
      <c r="AZ712">
        <v>-19.14</v>
      </c>
      <c r="BA712">
        <v>-64.28</v>
      </c>
      <c r="BB712" t="s">
        <v>73</v>
      </c>
    </row>
    <row r="713" spans="1:54" x14ac:dyDescent="0.4">
      <c r="A713">
        <v>1343000</v>
      </c>
      <c r="D713" t="s">
        <v>54</v>
      </c>
      <c r="I713" t="s">
        <v>57</v>
      </c>
      <c r="K713" t="s">
        <v>537</v>
      </c>
      <c r="L713" t="s">
        <v>1077</v>
      </c>
      <c r="M713" t="s">
        <v>59</v>
      </c>
      <c r="P713" t="s">
        <v>82</v>
      </c>
      <c r="Q713" t="s">
        <v>83</v>
      </c>
      <c r="R713" t="s">
        <v>84</v>
      </c>
      <c r="S713" t="s">
        <v>61</v>
      </c>
      <c r="T713">
        <v>251.90199999999999</v>
      </c>
      <c r="U713">
        <v>246.7</v>
      </c>
      <c r="V713">
        <f>(T713+U713)/2</f>
        <v>249.30099999999999</v>
      </c>
      <c r="W713">
        <f>T713-U713</f>
        <v>5.2019999999999982</v>
      </c>
      <c r="X713">
        <v>25.950001</v>
      </c>
      <c r="Y713">
        <v>-31.016666000000001</v>
      </c>
      <c r="Z713" t="s">
        <v>99</v>
      </c>
      <c r="AA713" t="s">
        <v>86</v>
      </c>
      <c r="AB713" t="s">
        <v>87</v>
      </c>
      <c r="AE713" t="s">
        <v>90</v>
      </c>
      <c r="AG713" t="s">
        <v>1513</v>
      </c>
      <c r="AH713" t="s">
        <v>11</v>
      </c>
      <c r="AI713" t="s">
        <v>1514</v>
      </c>
      <c r="AJ713">
        <v>1977</v>
      </c>
      <c r="AK713" t="s">
        <v>1930</v>
      </c>
      <c r="AM713" t="s">
        <v>1931</v>
      </c>
      <c r="AN713" t="s">
        <v>94</v>
      </c>
      <c r="AO713">
        <v>6</v>
      </c>
      <c r="AP713" t="s">
        <v>69</v>
      </c>
      <c r="AR713" t="s">
        <v>70</v>
      </c>
      <c r="AS713">
        <v>701</v>
      </c>
      <c r="AT713" t="s">
        <v>71</v>
      </c>
      <c r="AU713">
        <v>-10.72</v>
      </c>
      <c r="AV713">
        <v>-50.35</v>
      </c>
      <c r="AW713" t="s">
        <v>72</v>
      </c>
      <c r="AX713">
        <v>701</v>
      </c>
      <c r="AY713" t="s">
        <v>71</v>
      </c>
      <c r="AZ713">
        <v>-20.18</v>
      </c>
      <c r="BA713">
        <v>-64.52</v>
      </c>
      <c r="BB713" t="s">
        <v>73</v>
      </c>
    </row>
    <row r="714" spans="1:54" x14ac:dyDescent="0.4">
      <c r="A714">
        <v>1343001</v>
      </c>
      <c r="D714" t="s">
        <v>54</v>
      </c>
      <c r="I714" t="s">
        <v>57</v>
      </c>
      <c r="K714" t="s">
        <v>724</v>
      </c>
      <c r="L714" t="s">
        <v>1518</v>
      </c>
      <c r="M714" t="s">
        <v>59</v>
      </c>
      <c r="P714" t="s">
        <v>82</v>
      </c>
      <c r="Q714" t="s">
        <v>83</v>
      </c>
      <c r="R714" t="s">
        <v>84</v>
      </c>
      <c r="S714" t="s">
        <v>61</v>
      </c>
      <c r="T714">
        <v>251.90199999999999</v>
      </c>
      <c r="U714">
        <v>246.7</v>
      </c>
      <c r="V714">
        <f>(T714+U714)/2</f>
        <v>249.30099999999999</v>
      </c>
      <c r="W714">
        <f>T714-U714</f>
        <v>5.2019999999999982</v>
      </c>
      <c r="X714">
        <v>25.950001</v>
      </c>
      <c r="Y714">
        <v>-31.016666000000001</v>
      </c>
      <c r="Z714" t="s">
        <v>99</v>
      </c>
      <c r="AA714" t="s">
        <v>86</v>
      </c>
      <c r="AB714" t="s">
        <v>87</v>
      </c>
      <c r="AE714" t="s">
        <v>90</v>
      </c>
      <c r="AG714" t="s">
        <v>1513</v>
      </c>
      <c r="AH714" t="s">
        <v>11</v>
      </c>
      <c r="AI714" t="s">
        <v>1514</v>
      </c>
      <c r="AJ714">
        <v>1977</v>
      </c>
      <c r="AK714" t="s">
        <v>1930</v>
      </c>
      <c r="AM714" t="s">
        <v>1931</v>
      </c>
      <c r="AN714" t="s">
        <v>94</v>
      </c>
      <c r="AO714">
        <v>6</v>
      </c>
      <c r="AP714" t="s">
        <v>69</v>
      </c>
      <c r="AR714" t="s">
        <v>70</v>
      </c>
      <c r="AS714">
        <v>701</v>
      </c>
      <c r="AT714" t="s">
        <v>71</v>
      </c>
      <c r="AU714">
        <v>-10.72</v>
      </c>
      <c r="AV714">
        <v>-50.35</v>
      </c>
      <c r="AW714" t="s">
        <v>72</v>
      </c>
      <c r="AX714">
        <v>701</v>
      </c>
      <c r="AY714" t="s">
        <v>71</v>
      </c>
      <c r="AZ714">
        <v>-20.18</v>
      </c>
      <c r="BA714">
        <v>-64.52</v>
      </c>
      <c r="BB714" t="s">
        <v>73</v>
      </c>
    </row>
    <row r="715" spans="1:54" x14ac:dyDescent="0.4">
      <c r="A715">
        <v>1347612</v>
      </c>
      <c r="D715" t="s">
        <v>54</v>
      </c>
      <c r="E715" t="s">
        <v>104</v>
      </c>
      <c r="G715">
        <v>1</v>
      </c>
      <c r="H715" t="s">
        <v>56</v>
      </c>
      <c r="I715" t="s">
        <v>57</v>
      </c>
      <c r="K715" t="s">
        <v>102</v>
      </c>
      <c r="L715" t="s">
        <v>1937</v>
      </c>
      <c r="M715" t="s">
        <v>59</v>
      </c>
      <c r="P715" t="s">
        <v>82</v>
      </c>
      <c r="Q715" t="s">
        <v>83</v>
      </c>
      <c r="R715" t="s">
        <v>84</v>
      </c>
      <c r="S715" t="s">
        <v>61</v>
      </c>
      <c r="T715">
        <v>251.90199999999999</v>
      </c>
      <c r="U715">
        <v>246.7</v>
      </c>
      <c r="V715">
        <f>(T715+U715)/2</f>
        <v>249.30099999999999</v>
      </c>
      <c r="W715">
        <f>T715-U715</f>
        <v>5.2019999999999982</v>
      </c>
      <c r="X715">
        <v>-55.052776000000001</v>
      </c>
      <c r="Y715">
        <v>-29.615556999999999</v>
      </c>
      <c r="Z715" t="s">
        <v>99</v>
      </c>
      <c r="AA715" t="s">
        <v>367</v>
      </c>
      <c r="AB715" t="s">
        <v>368</v>
      </c>
      <c r="AD715" t="s">
        <v>1251</v>
      </c>
      <c r="AE715" t="s">
        <v>369</v>
      </c>
      <c r="AH715" t="s">
        <v>65</v>
      </c>
      <c r="AI715" t="s">
        <v>1938</v>
      </c>
      <c r="AJ715">
        <v>2016</v>
      </c>
      <c r="AK715" t="s">
        <v>1398</v>
      </c>
      <c r="AN715" t="s">
        <v>67</v>
      </c>
      <c r="AO715" t="s">
        <v>68</v>
      </c>
      <c r="AP715" t="s">
        <v>69</v>
      </c>
      <c r="AQ715" t="s">
        <v>1396</v>
      </c>
      <c r="AR715" t="s">
        <v>70</v>
      </c>
      <c r="AS715">
        <v>201</v>
      </c>
      <c r="AT715" t="s">
        <v>71</v>
      </c>
      <c r="AU715">
        <v>-16.59</v>
      </c>
      <c r="AV715">
        <v>-34.409999999999997</v>
      </c>
      <c r="AW715" t="s">
        <v>72</v>
      </c>
      <c r="AX715">
        <v>202</v>
      </c>
      <c r="AY715" t="s">
        <v>71</v>
      </c>
      <c r="AZ715">
        <v>-25.18</v>
      </c>
      <c r="BA715">
        <v>-48.06</v>
      </c>
      <c r="BB715" t="s">
        <v>73</v>
      </c>
    </row>
    <row r="716" spans="1:54" x14ac:dyDescent="0.4">
      <c r="A716">
        <v>1347615</v>
      </c>
      <c r="D716" t="s">
        <v>54</v>
      </c>
      <c r="G716">
        <v>1</v>
      </c>
      <c r="H716" t="s">
        <v>56</v>
      </c>
      <c r="I716" t="s">
        <v>57</v>
      </c>
      <c r="K716" t="s">
        <v>806</v>
      </c>
      <c r="L716" t="s">
        <v>1520</v>
      </c>
      <c r="M716" t="s">
        <v>59</v>
      </c>
      <c r="O716" t="s">
        <v>76</v>
      </c>
      <c r="P716" t="s">
        <v>82</v>
      </c>
      <c r="Q716" t="s">
        <v>83</v>
      </c>
      <c r="R716" t="s">
        <v>84</v>
      </c>
      <c r="S716" t="s">
        <v>61</v>
      </c>
      <c r="T716">
        <v>251.90199999999999</v>
      </c>
      <c r="U716">
        <v>246.7</v>
      </c>
      <c r="V716">
        <f>(T716+U716)/2</f>
        <v>249.30099999999999</v>
      </c>
      <c r="W716">
        <f>T716-U716</f>
        <v>5.2019999999999982</v>
      </c>
      <c r="X716">
        <v>26.127776999999998</v>
      </c>
      <c r="Y716">
        <v>-32.200279000000002</v>
      </c>
      <c r="Z716" t="s">
        <v>99</v>
      </c>
      <c r="AA716" t="s">
        <v>86</v>
      </c>
      <c r="AB716" t="s">
        <v>87</v>
      </c>
      <c r="AC716" t="s">
        <v>496</v>
      </c>
      <c r="AD716" t="s">
        <v>89</v>
      </c>
      <c r="AE716" t="s">
        <v>90</v>
      </c>
      <c r="AG716" t="s">
        <v>497</v>
      </c>
      <c r="AH716" t="s">
        <v>65</v>
      </c>
      <c r="AI716" t="s">
        <v>1658</v>
      </c>
      <c r="AJ716">
        <v>2015</v>
      </c>
      <c r="AK716" t="s">
        <v>1939</v>
      </c>
      <c r="AN716" t="s">
        <v>67</v>
      </c>
      <c r="AO716" t="s">
        <v>68</v>
      </c>
      <c r="AP716" t="s">
        <v>69</v>
      </c>
      <c r="AR716" t="s">
        <v>70</v>
      </c>
      <c r="AS716">
        <v>701</v>
      </c>
      <c r="AT716" t="s">
        <v>71</v>
      </c>
      <c r="AU716">
        <v>-12.09</v>
      </c>
      <c r="AV716">
        <v>-51.17</v>
      </c>
      <c r="AW716" t="s">
        <v>72</v>
      </c>
      <c r="AX716">
        <v>701</v>
      </c>
      <c r="AY716" t="s">
        <v>71</v>
      </c>
      <c r="AZ716">
        <v>-22.38</v>
      </c>
      <c r="BA716">
        <v>-65.27</v>
      </c>
      <c r="BB716" t="s">
        <v>73</v>
      </c>
    </row>
    <row r="717" spans="1:54" x14ac:dyDescent="0.4">
      <c r="A717">
        <v>1347617</v>
      </c>
      <c r="D717" t="s">
        <v>54</v>
      </c>
      <c r="E717" t="s">
        <v>55</v>
      </c>
      <c r="G717">
        <v>1</v>
      </c>
      <c r="H717" t="s">
        <v>56</v>
      </c>
      <c r="I717" t="s">
        <v>57</v>
      </c>
      <c r="K717" t="s">
        <v>806</v>
      </c>
      <c r="L717" t="s">
        <v>1520</v>
      </c>
      <c r="M717" t="s">
        <v>59</v>
      </c>
      <c r="O717" t="s">
        <v>76</v>
      </c>
      <c r="P717" t="s">
        <v>82</v>
      </c>
      <c r="Q717" t="s">
        <v>83</v>
      </c>
      <c r="R717" t="s">
        <v>84</v>
      </c>
      <c r="S717" t="s">
        <v>61</v>
      </c>
      <c r="T717">
        <v>251.90199999999999</v>
      </c>
      <c r="U717">
        <v>246.7</v>
      </c>
      <c r="V717">
        <f>(T717+U717)/2</f>
        <v>249.30099999999999</v>
      </c>
      <c r="W717">
        <f>T717-U717</f>
        <v>5.2019999999999982</v>
      </c>
      <c r="X717">
        <v>24.983333999999999</v>
      </c>
      <c r="Y717">
        <v>-31.716667000000001</v>
      </c>
      <c r="Z717" t="s">
        <v>99</v>
      </c>
      <c r="AA717" t="s">
        <v>86</v>
      </c>
      <c r="AB717" t="s">
        <v>87</v>
      </c>
      <c r="AC717" t="s">
        <v>496</v>
      </c>
      <c r="AD717" t="s">
        <v>540</v>
      </c>
      <c r="AE717" t="s">
        <v>90</v>
      </c>
      <c r="AF717" t="s">
        <v>541</v>
      </c>
      <c r="AG717" t="s">
        <v>497</v>
      </c>
      <c r="AH717" t="s">
        <v>65</v>
      </c>
      <c r="AI717" t="s">
        <v>1658</v>
      </c>
      <c r="AJ717">
        <v>2015</v>
      </c>
      <c r="AK717" t="s">
        <v>786</v>
      </c>
      <c r="AN717" t="s">
        <v>177</v>
      </c>
      <c r="AO717" t="s">
        <v>106</v>
      </c>
      <c r="AP717" t="s">
        <v>182</v>
      </c>
      <c r="AQ717" t="s">
        <v>787</v>
      </c>
      <c r="AR717" t="s">
        <v>70</v>
      </c>
      <c r="AS717">
        <v>701</v>
      </c>
      <c r="AT717" t="s">
        <v>71</v>
      </c>
      <c r="AU717">
        <v>-12.37</v>
      </c>
      <c r="AV717">
        <v>-50.1</v>
      </c>
      <c r="AW717" t="s">
        <v>72</v>
      </c>
      <c r="AX717">
        <v>701</v>
      </c>
      <c r="AY717" t="s">
        <v>71</v>
      </c>
      <c r="AZ717">
        <v>-22.56</v>
      </c>
      <c r="BA717">
        <v>-64.19</v>
      </c>
      <c r="BB717" t="s">
        <v>73</v>
      </c>
    </row>
    <row r="718" spans="1:54" x14ac:dyDescent="0.4">
      <c r="A718">
        <v>1347619</v>
      </c>
      <c r="D718" t="s">
        <v>54</v>
      </c>
      <c r="G718">
        <v>1</v>
      </c>
      <c r="H718" t="s">
        <v>56</v>
      </c>
      <c r="I718" t="s">
        <v>57</v>
      </c>
      <c r="K718" t="s">
        <v>806</v>
      </c>
      <c r="L718" t="s">
        <v>1520</v>
      </c>
      <c r="M718" t="s">
        <v>59</v>
      </c>
      <c r="O718" t="s">
        <v>76</v>
      </c>
      <c r="P718" t="s">
        <v>82</v>
      </c>
      <c r="Q718" t="s">
        <v>83</v>
      </c>
      <c r="R718" t="s">
        <v>84</v>
      </c>
      <c r="S718" t="s">
        <v>61</v>
      </c>
      <c r="T718">
        <v>251.90199999999999</v>
      </c>
      <c r="U718">
        <v>246.7</v>
      </c>
      <c r="V718">
        <f>(T718+U718)/2</f>
        <v>249.30099999999999</v>
      </c>
      <c r="W718">
        <f>T718-U718</f>
        <v>5.2019999999999982</v>
      </c>
      <c r="X718">
        <v>25.029722</v>
      </c>
      <c r="Y718">
        <v>-31.762222000000001</v>
      </c>
      <c r="Z718" t="s">
        <v>99</v>
      </c>
      <c r="AA718" t="s">
        <v>86</v>
      </c>
      <c r="AB718" t="s">
        <v>87</v>
      </c>
      <c r="AC718" t="s">
        <v>88</v>
      </c>
      <c r="AE718" t="s">
        <v>90</v>
      </c>
      <c r="AG718" t="s">
        <v>1513</v>
      </c>
      <c r="AH718" t="s">
        <v>65</v>
      </c>
      <c r="AI718" t="s">
        <v>1658</v>
      </c>
      <c r="AJ718">
        <v>2015</v>
      </c>
      <c r="AK718" t="s">
        <v>1940</v>
      </c>
      <c r="AN718" t="s">
        <v>67</v>
      </c>
      <c r="AO718" t="s">
        <v>68</v>
      </c>
      <c r="AP718" t="s">
        <v>69</v>
      </c>
      <c r="AR718" t="s">
        <v>70</v>
      </c>
      <c r="AS718">
        <v>701</v>
      </c>
      <c r="AT718" t="s">
        <v>71</v>
      </c>
      <c r="AU718">
        <v>-12.39</v>
      </c>
      <c r="AV718">
        <v>-50.16</v>
      </c>
      <c r="AW718" t="s">
        <v>72</v>
      </c>
      <c r="AX718">
        <v>701</v>
      </c>
      <c r="AY718" t="s">
        <v>71</v>
      </c>
      <c r="AZ718">
        <v>-22.6</v>
      </c>
      <c r="BA718">
        <v>-64.239999999999995</v>
      </c>
      <c r="BB718" t="s">
        <v>73</v>
      </c>
    </row>
    <row r="719" spans="1:54" x14ac:dyDescent="0.4">
      <c r="A719">
        <v>1347620</v>
      </c>
      <c r="D719" t="s">
        <v>54</v>
      </c>
      <c r="G719">
        <v>1</v>
      </c>
      <c r="H719" t="s">
        <v>56</v>
      </c>
      <c r="I719" t="s">
        <v>57</v>
      </c>
      <c r="K719" t="s">
        <v>806</v>
      </c>
      <c r="L719" t="s">
        <v>1520</v>
      </c>
      <c r="M719" t="s">
        <v>59</v>
      </c>
      <c r="O719" t="s">
        <v>76</v>
      </c>
      <c r="P719" t="s">
        <v>82</v>
      </c>
      <c r="Q719" t="s">
        <v>83</v>
      </c>
      <c r="R719" t="s">
        <v>84</v>
      </c>
      <c r="S719" t="s">
        <v>61</v>
      </c>
      <c r="T719">
        <v>251.90199999999999</v>
      </c>
      <c r="U719">
        <v>246.7</v>
      </c>
      <c r="V719">
        <f>(T719+U719)/2</f>
        <v>249.30099999999999</v>
      </c>
      <c r="W719">
        <f>T719-U719</f>
        <v>5.2019999999999982</v>
      </c>
      <c r="X719">
        <v>26.531389000000001</v>
      </c>
      <c r="Y719">
        <v>-30.212499999999999</v>
      </c>
      <c r="Z719" t="s">
        <v>99</v>
      </c>
      <c r="AA719" t="s">
        <v>86</v>
      </c>
      <c r="AB719" t="s">
        <v>546</v>
      </c>
      <c r="AC719" t="s">
        <v>1022</v>
      </c>
      <c r="AE719" t="s">
        <v>90</v>
      </c>
      <c r="AG719" t="s">
        <v>1513</v>
      </c>
      <c r="AH719" t="s">
        <v>65</v>
      </c>
      <c r="AI719" t="s">
        <v>1658</v>
      </c>
      <c r="AJ719">
        <v>2015</v>
      </c>
      <c r="AK719" t="s">
        <v>1941</v>
      </c>
      <c r="AN719" t="s">
        <v>94</v>
      </c>
      <c r="AO719" t="s">
        <v>68</v>
      </c>
      <c r="AP719" t="s">
        <v>69</v>
      </c>
      <c r="AR719" t="s">
        <v>70</v>
      </c>
      <c r="AS719">
        <v>701</v>
      </c>
      <c r="AT719" t="s">
        <v>71</v>
      </c>
      <c r="AU719">
        <v>-9.24</v>
      </c>
      <c r="AV719">
        <v>-50.26</v>
      </c>
      <c r="AW719" t="s">
        <v>72</v>
      </c>
      <c r="AX719">
        <v>701</v>
      </c>
      <c r="AY719" t="s">
        <v>71</v>
      </c>
      <c r="AZ719">
        <v>-17.98</v>
      </c>
      <c r="BA719">
        <v>-64.5</v>
      </c>
      <c r="BB719" t="s">
        <v>73</v>
      </c>
    </row>
    <row r="720" spans="1:54" x14ac:dyDescent="0.4">
      <c r="A720">
        <v>1380554</v>
      </c>
      <c r="D720" t="s">
        <v>54</v>
      </c>
      <c r="F720" t="s">
        <v>352</v>
      </c>
      <c r="I720" t="s">
        <v>57</v>
      </c>
      <c r="K720" t="s">
        <v>806</v>
      </c>
      <c r="L720" t="s">
        <v>1520</v>
      </c>
      <c r="M720" t="s">
        <v>59</v>
      </c>
      <c r="O720" t="s">
        <v>76</v>
      </c>
      <c r="P720" t="s">
        <v>82</v>
      </c>
      <c r="Q720" t="s">
        <v>83</v>
      </c>
      <c r="R720" t="s">
        <v>84</v>
      </c>
      <c r="S720" t="s">
        <v>61</v>
      </c>
      <c r="T720">
        <v>251.90199999999999</v>
      </c>
      <c r="U720">
        <v>246.7</v>
      </c>
      <c r="V720">
        <f>(T720+U720)/2</f>
        <v>249.30099999999999</v>
      </c>
      <c r="W720">
        <f>T720-U720</f>
        <v>5.2019999999999982</v>
      </c>
      <c r="X720">
        <v>20.449656999999998</v>
      </c>
      <c r="Y720">
        <v>-32.999755999999998</v>
      </c>
      <c r="Z720" t="s">
        <v>126</v>
      </c>
      <c r="AA720" t="s">
        <v>86</v>
      </c>
      <c r="AB720" t="s">
        <v>1982</v>
      </c>
      <c r="AC720" t="s">
        <v>539</v>
      </c>
      <c r="AD720" t="s">
        <v>540</v>
      </c>
      <c r="AF720" t="s">
        <v>541</v>
      </c>
      <c r="AH720" t="s">
        <v>65</v>
      </c>
      <c r="AI720" t="s">
        <v>1781</v>
      </c>
      <c r="AJ720">
        <v>2003</v>
      </c>
      <c r="AK720" t="s">
        <v>1983</v>
      </c>
      <c r="AO720">
        <v>6</v>
      </c>
      <c r="AR720" t="s">
        <v>70</v>
      </c>
      <c r="AS720">
        <v>701</v>
      </c>
      <c r="AT720" t="s">
        <v>71</v>
      </c>
      <c r="AU720">
        <v>-17.329999999999998</v>
      </c>
      <c r="AV720">
        <v>-47.71</v>
      </c>
      <c r="AW720" t="s">
        <v>72</v>
      </c>
      <c r="AX720">
        <v>701</v>
      </c>
      <c r="AY720" t="s">
        <v>71</v>
      </c>
      <c r="AZ720">
        <v>-29.08</v>
      </c>
      <c r="BA720">
        <v>-61.45</v>
      </c>
      <c r="BB720" t="s">
        <v>73</v>
      </c>
    </row>
    <row r="721" spans="1:54" x14ac:dyDescent="0.4">
      <c r="A721">
        <v>1380555</v>
      </c>
      <c r="D721" t="s">
        <v>54</v>
      </c>
      <c r="F721" t="s">
        <v>352</v>
      </c>
      <c r="I721" t="s">
        <v>57</v>
      </c>
      <c r="K721" t="s">
        <v>724</v>
      </c>
      <c r="L721" t="s">
        <v>1518</v>
      </c>
      <c r="M721" t="s">
        <v>59</v>
      </c>
      <c r="P721" t="s">
        <v>82</v>
      </c>
      <c r="Q721" t="s">
        <v>83</v>
      </c>
      <c r="R721" t="s">
        <v>84</v>
      </c>
      <c r="S721" t="s">
        <v>61</v>
      </c>
      <c r="T721">
        <v>251.90199999999999</v>
      </c>
      <c r="U721">
        <v>246.7</v>
      </c>
      <c r="V721">
        <f>(T721+U721)/2</f>
        <v>249.30099999999999</v>
      </c>
      <c r="W721">
        <f>T721-U721</f>
        <v>5.2019999999999982</v>
      </c>
      <c r="X721">
        <v>20.449656999999998</v>
      </c>
      <c r="Y721">
        <v>-32.999755999999998</v>
      </c>
      <c r="Z721" t="s">
        <v>126</v>
      </c>
      <c r="AA721" t="s">
        <v>86</v>
      </c>
      <c r="AB721" t="s">
        <v>1982</v>
      </c>
      <c r="AC721" t="s">
        <v>539</v>
      </c>
      <c r="AD721" t="s">
        <v>540</v>
      </c>
      <c r="AF721" t="s">
        <v>541</v>
      </c>
      <c r="AH721" t="s">
        <v>65</v>
      </c>
      <c r="AI721" t="s">
        <v>1781</v>
      </c>
      <c r="AJ721">
        <v>2003</v>
      </c>
      <c r="AK721" t="s">
        <v>1983</v>
      </c>
      <c r="AO721">
        <v>6</v>
      </c>
      <c r="AR721" t="s">
        <v>70</v>
      </c>
      <c r="AS721">
        <v>701</v>
      </c>
      <c r="AT721" t="s">
        <v>71</v>
      </c>
      <c r="AU721">
        <v>-17.329999999999998</v>
      </c>
      <c r="AV721">
        <v>-47.71</v>
      </c>
      <c r="AW721" t="s">
        <v>72</v>
      </c>
      <c r="AX721">
        <v>701</v>
      </c>
      <c r="AY721" t="s">
        <v>71</v>
      </c>
      <c r="AZ721">
        <v>-29.08</v>
      </c>
      <c r="BA721">
        <v>-61.45</v>
      </c>
      <c r="BB721" t="s">
        <v>73</v>
      </c>
    </row>
    <row r="722" spans="1:54" x14ac:dyDescent="0.4">
      <c r="A722">
        <v>1380556</v>
      </c>
      <c r="D722" t="s">
        <v>54</v>
      </c>
      <c r="F722" t="s">
        <v>352</v>
      </c>
      <c r="I722" t="s">
        <v>57</v>
      </c>
      <c r="K722" t="s">
        <v>80</v>
      </c>
      <c r="L722" t="s">
        <v>785</v>
      </c>
      <c r="M722" t="s">
        <v>59</v>
      </c>
      <c r="P722" t="s">
        <v>82</v>
      </c>
      <c r="Q722" t="s">
        <v>83</v>
      </c>
      <c r="R722" t="s">
        <v>84</v>
      </c>
      <c r="S722" t="s">
        <v>61</v>
      </c>
      <c r="T722">
        <v>251.90199999999999</v>
      </c>
      <c r="U722">
        <v>246.7</v>
      </c>
      <c r="V722">
        <f>(T722+U722)/2</f>
        <v>249.30099999999999</v>
      </c>
      <c r="W722">
        <f>T722-U722</f>
        <v>5.2019999999999982</v>
      </c>
      <c r="X722">
        <v>20.449656999999998</v>
      </c>
      <c r="Y722">
        <v>-32.999755999999998</v>
      </c>
      <c r="Z722" t="s">
        <v>126</v>
      </c>
      <c r="AA722" t="s">
        <v>86</v>
      </c>
      <c r="AB722" t="s">
        <v>1982</v>
      </c>
      <c r="AC722" t="s">
        <v>539</v>
      </c>
      <c r="AD722" t="s">
        <v>540</v>
      </c>
      <c r="AF722" t="s">
        <v>541</v>
      </c>
      <c r="AH722" t="s">
        <v>65</v>
      </c>
      <c r="AI722" t="s">
        <v>1781</v>
      </c>
      <c r="AJ722">
        <v>2003</v>
      </c>
      <c r="AK722" t="s">
        <v>1983</v>
      </c>
      <c r="AO722">
        <v>6</v>
      </c>
      <c r="AR722" t="s">
        <v>70</v>
      </c>
      <c r="AS722">
        <v>701</v>
      </c>
      <c r="AT722" t="s">
        <v>71</v>
      </c>
      <c r="AU722">
        <v>-17.329999999999998</v>
      </c>
      <c r="AV722">
        <v>-47.71</v>
      </c>
      <c r="AW722" t="s">
        <v>72</v>
      </c>
      <c r="AX722">
        <v>701</v>
      </c>
      <c r="AY722" t="s">
        <v>71</v>
      </c>
      <c r="AZ722">
        <v>-29.08</v>
      </c>
      <c r="BA722">
        <v>-61.45</v>
      </c>
      <c r="BB722" t="s">
        <v>73</v>
      </c>
    </row>
    <row r="723" spans="1:54" x14ac:dyDescent="0.4">
      <c r="A723">
        <v>1380557</v>
      </c>
      <c r="D723" t="s">
        <v>54</v>
      </c>
      <c r="F723" t="s">
        <v>352</v>
      </c>
      <c r="I723" t="s">
        <v>57</v>
      </c>
      <c r="K723" t="s">
        <v>537</v>
      </c>
      <c r="L723" t="s">
        <v>538</v>
      </c>
      <c r="M723" t="s">
        <v>59</v>
      </c>
      <c r="P723" t="s">
        <v>82</v>
      </c>
      <c r="Q723" t="s">
        <v>83</v>
      </c>
      <c r="R723" t="s">
        <v>84</v>
      </c>
      <c r="S723" t="s">
        <v>61</v>
      </c>
      <c r="T723">
        <v>251.90199999999999</v>
      </c>
      <c r="U723">
        <v>246.7</v>
      </c>
      <c r="V723">
        <f>(T723+U723)/2</f>
        <v>249.30099999999999</v>
      </c>
      <c r="W723">
        <f>T723-U723</f>
        <v>5.2019999999999982</v>
      </c>
      <c r="X723">
        <v>20.449656999999998</v>
      </c>
      <c r="Y723">
        <v>-32.999755999999998</v>
      </c>
      <c r="Z723" t="s">
        <v>126</v>
      </c>
      <c r="AA723" t="s">
        <v>86</v>
      </c>
      <c r="AB723" t="s">
        <v>1982</v>
      </c>
      <c r="AC723" t="s">
        <v>539</v>
      </c>
      <c r="AD723" t="s">
        <v>540</v>
      </c>
      <c r="AF723" t="s">
        <v>541</v>
      </c>
      <c r="AH723" t="s">
        <v>65</v>
      </c>
      <c r="AI723" t="s">
        <v>1781</v>
      </c>
      <c r="AJ723">
        <v>2003</v>
      </c>
      <c r="AK723" t="s">
        <v>1983</v>
      </c>
      <c r="AO723">
        <v>6</v>
      </c>
      <c r="AR723" t="s">
        <v>70</v>
      </c>
      <c r="AS723">
        <v>701</v>
      </c>
      <c r="AT723" t="s">
        <v>71</v>
      </c>
      <c r="AU723">
        <v>-17.329999999999998</v>
      </c>
      <c r="AV723">
        <v>-47.71</v>
      </c>
      <c r="AW723" t="s">
        <v>72</v>
      </c>
      <c r="AX723">
        <v>701</v>
      </c>
      <c r="AY723" t="s">
        <v>71</v>
      </c>
      <c r="AZ723">
        <v>-29.08</v>
      </c>
      <c r="BA723">
        <v>-61.45</v>
      </c>
      <c r="BB723" t="s">
        <v>73</v>
      </c>
    </row>
    <row r="724" spans="1:54" x14ac:dyDescent="0.4">
      <c r="A724">
        <v>1431220</v>
      </c>
      <c r="D724" t="s">
        <v>54</v>
      </c>
      <c r="E724" t="s">
        <v>105</v>
      </c>
      <c r="G724">
        <v>1</v>
      </c>
      <c r="H724" t="s">
        <v>74</v>
      </c>
      <c r="I724" t="s">
        <v>57</v>
      </c>
      <c r="K724" t="s">
        <v>102</v>
      </c>
      <c r="L724" t="s">
        <v>2196</v>
      </c>
      <c r="M724" t="s">
        <v>59</v>
      </c>
      <c r="P724" t="s">
        <v>82</v>
      </c>
      <c r="Q724" t="s">
        <v>83</v>
      </c>
      <c r="R724" t="s">
        <v>84</v>
      </c>
      <c r="S724" t="s">
        <v>61</v>
      </c>
      <c r="T724">
        <v>251.90199999999999</v>
      </c>
      <c r="U724">
        <v>246.7</v>
      </c>
      <c r="V724">
        <f>(T724+U724)/2</f>
        <v>249.30099999999999</v>
      </c>
      <c r="W724">
        <f>T724-U724</f>
        <v>5.2019999999999982</v>
      </c>
      <c r="X724">
        <v>172.5</v>
      </c>
      <c r="Y724">
        <v>-85.050003000000004</v>
      </c>
      <c r="Z724" t="s">
        <v>85</v>
      </c>
      <c r="AA724" t="s">
        <v>866</v>
      </c>
      <c r="AD724" t="s">
        <v>867</v>
      </c>
      <c r="AE724" t="s">
        <v>868</v>
      </c>
      <c r="AH724" t="s">
        <v>65</v>
      </c>
      <c r="AI724" t="s">
        <v>2197</v>
      </c>
      <c r="AJ724">
        <v>2019</v>
      </c>
      <c r="AK724" t="s">
        <v>1528</v>
      </c>
      <c r="AN724" t="s">
        <v>121</v>
      </c>
      <c r="AO724" t="s">
        <v>68</v>
      </c>
      <c r="AP724" t="s">
        <v>95</v>
      </c>
      <c r="AQ724" t="s">
        <v>1529</v>
      </c>
      <c r="AR724" t="s">
        <v>70</v>
      </c>
      <c r="AS724">
        <v>802</v>
      </c>
      <c r="AT724" t="s">
        <v>71</v>
      </c>
      <c r="AU724">
        <v>23.46</v>
      </c>
      <c r="AV724">
        <v>-72.040000000000006</v>
      </c>
      <c r="AW724" t="s">
        <v>72</v>
      </c>
      <c r="AX724">
        <v>802</v>
      </c>
      <c r="AY724" t="s">
        <v>71</v>
      </c>
      <c r="AZ724">
        <v>74.23</v>
      </c>
      <c r="BA724">
        <v>-81.010000000000005</v>
      </c>
      <c r="BB724" t="s">
        <v>73</v>
      </c>
    </row>
    <row r="725" spans="1:54" x14ac:dyDescent="0.4">
      <c r="A725">
        <v>1500171</v>
      </c>
      <c r="D725" t="s">
        <v>54</v>
      </c>
      <c r="E725" t="s">
        <v>104</v>
      </c>
      <c r="G725">
        <v>1</v>
      </c>
      <c r="H725" t="s">
        <v>74</v>
      </c>
      <c r="I725" t="s">
        <v>57</v>
      </c>
      <c r="K725" t="s">
        <v>102</v>
      </c>
      <c r="L725" t="s">
        <v>2207</v>
      </c>
      <c r="M725" t="s">
        <v>59</v>
      </c>
      <c r="P725" t="s">
        <v>82</v>
      </c>
      <c r="Q725" t="s">
        <v>83</v>
      </c>
      <c r="R725" t="s">
        <v>84</v>
      </c>
      <c r="S725" t="s">
        <v>61</v>
      </c>
      <c r="T725">
        <v>251.90199999999999</v>
      </c>
      <c r="U725">
        <v>246.7</v>
      </c>
      <c r="V725">
        <f>(T725+U725)/2</f>
        <v>249.30099999999999</v>
      </c>
      <c r="W725">
        <f>T725-U725</f>
        <v>5.2019999999999982</v>
      </c>
      <c r="X725">
        <v>-55.052776000000001</v>
      </c>
      <c r="Y725">
        <v>-29.615556999999999</v>
      </c>
      <c r="Z725" t="s">
        <v>99</v>
      </c>
      <c r="AA725" t="s">
        <v>367</v>
      </c>
      <c r="AB725" t="s">
        <v>368</v>
      </c>
      <c r="AD725" t="s">
        <v>1251</v>
      </c>
      <c r="AE725" t="s">
        <v>369</v>
      </c>
      <c r="AH725" t="s">
        <v>65</v>
      </c>
      <c r="AI725" t="s">
        <v>2208</v>
      </c>
      <c r="AJ725">
        <v>2020</v>
      </c>
      <c r="AK725" t="s">
        <v>1398</v>
      </c>
      <c r="AN725" t="s">
        <v>67</v>
      </c>
      <c r="AO725" t="s">
        <v>68</v>
      </c>
      <c r="AP725" t="s">
        <v>69</v>
      </c>
      <c r="AQ725" t="s">
        <v>1396</v>
      </c>
      <c r="AR725" t="s">
        <v>70</v>
      </c>
      <c r="AS725">
        <v>201</v>
      </c>
      <c r="AT725" t="s">
        <v>71</v>
      </c>
      <c r="AU725">
        <v>-16.59</v>
      </c>
      <c r="AV725">
        <v>-34.409999999999997</v>
      </c>
      <c r="AW725" t="s">
        <v>72</v>
      </c>
      <c r="AX725">
        <v>202</v>
      </c>
      <c r="AY725" t="s">
        <v>71</v>
      </c>
      <c r="AZ725">
        <v>-25.18</v>
      </c>
      <c r="BA725">
        <v>-48.06</v>
      </c>
      <c r="BB725" t="s">
        <v>73</v>
      </c>
    </row>
    <row r="726" spans="1:54" x14ac:dyDescent="0.4">
      <c r="A726">
        <v>1549175</v>
      </c>
      <c r="D726" t="s">
        <v>54</v>
      </c>
      <c r="E726" t="s">
        <v>104</v>
      </c>
      <c r="I726" t="s">
        <v>57</v>
      </c>
      <c r="K726" t="s">
        <v>80</v>
      </c>
      <c r="L726" t="s">
        <v>2216</v>
      </c>
      <c r="M726" t="s">
        <v>59</v>
      </c>
      <c r="P726" t="s">
        <v>82</v>
      </c>
      <c r="Q726" t="s">
        <v>83</v>
      </c>
      <c r="R726" t="s">
        <v>84</v>
      </c>
      <c r="S726" t="s">
        <v>61</v>
      </c>
      <c r="T726">
        <v>251.90199999999999</v>
      </c>
      <c r="U726">
        <v>246.7</v>
      </c>
      <c r="V726">
        <f>(T726+U726)/2</f>
        <v>249.30099999999999</v>
      </c>
      <c r="W726">
        <f>T726-U726</f>
        <v>5.2019999999999982</v>
      </c>
      <c r="X726">
        <v>-55.052776000000001</v>
      </c>
      <c r="Y726">
        <v>-29.615556999999999</v>
      </c>
      <c r="Z726" t="s">
        <v>99</v>
      </c>
      <c r="AA726" t="s">
        <v>367</v>
      </c>
      <c r="AB726" t="s">
        <v>368</v>
      </c>
      <c r="AD726" t="s">
        <v>1251</v>
      </c>
      <c r="AE726" t="s">
        <v>369</v>
      </c>
      <c r="AH726" t="s">
        <v>65</v>
      </c>
      <c r="AI726" t="s">
        <v>1938</v>
      </c>
      <c r="AJ726">
        <v>2021</v>
      </c>
      <c r="AK726" t="s">
        <v>1398</v>
      </c>
      <c r="AN726" t="s">
        <v>67</v>
      </c>
      <c r="AO726" t="s">
        <v>68</v>
      </c>
      <c r="AP726" t="s">
        <v>69</v>
      </c>
      <c r="AQ726" t="s">
        <v>1396</v>
      </c>
      <c r="AR726" t="s">
        <v>70</v>
      </c>
      <c r="AS726">
        <v>201</v>
      </c>
      <c r="AT726" t="s">
        <v>71</v>
      </c>
      <c r="AU726">
        <v>-16.59</v>
      </c>
      <c r="AV726">
        <v>-34.409999999999997</v>
      </c>
      <c r="AW726" t="s">
        <v>72</v>
      </c>
      <c r="AX726">
        <v>202</v>
      </c>
      <c r="AY726" t="s">
        <v>71</v>
      </c>
      <c r="AZ726">
        <v>-25.18</v>
      </c>
      <c r="BA726">
        <v>-48.06</v>
      </c>
      <c r="BB726" t="s">
        <v>73</v>
      </c>
    </row>
    <row r="727" spans="1:54" x14ac:dyDescent="0.4">
      <c r="A727">
        <v>1549176</v>
      </c>
      <c r="D727" t="s">
        <v>54</v>
      </c>
      <c r="E727" t="s">
        <v>104</v>
      </c>
      <c r="I727" t="s">
        <v>57</v>
      </c>
      <c r="K727" t="s">
        <v>80</v>
      </c>
      <c r="L727" t="s">
        <v>2216</v>
      </c>
      <c r="M727" t="s">
        <v>59</v>
      </c>
      <c r="P727" t="s">
        <v>82</v>
      </c>
      <c r="Q727" t="s">
        <v>83</v>
      </c>
      <c r="R727" t="s">
        <v>84</v>
      </c>
      <c r="S727" t="s">
        <v>61</v>
      </c>
      <c r="T727">
        <v>251.90199999999999</v>
      </c>
      <c r="U727">
        <v>246.7</v>
      </c>
      <c r="V727">
        <f>(T727+U727)/2</f>
        <v>249.30099999999999</v>
      </c>
      <c r="W727">
        <f>T727-U727</f>
        <v>5.2019999999999982</v>
      </c>
      <c r="X727">
        <v>-55.052776000000001</v>
      </c>
      <c r="Y727">
        <v>-29.615556999999999</v>
      </c>
      <c r="Z727" t="s">
        <v>99</v>
      </c>
      <c r="AA727" t="s">
        <v>367</v>
      </c>
      <c r="AB727" t="s">
        <v>368</v>
      </c>
      <c r="AD727" t="s">
        <v>1251</v>
      </c>
      <c r="AE727" t="s">
        <v>369</v>
      </c>
      <c r="AH727" t="s">
        <v>65</v>
      </c>
      <c r="AI727" t="s">
        <v>1938</v>
      </c>
      <c r="AJ727">
        <v>2021</v>
      </c>
      <c r="AK727" t="s">
        <v>1398</v>
      </c>
      <c r="AN727" t="s">
        <v>67</v>
      </c>
      <c r="AO727" t="s">
        <v>68</v>
      </c>
      <c r="AP727" t="s">
        <v>69</v>
      </c>
      <c r="AQ727" t="s">
        <v>1396</v>
      </c>
      <c r="AR727" t="s">
        <v>70</v>
      </c>
      <c r="AS727">
        <v>201</v>
      </c>
      <c r="AT727" t="s">
        <v>71</v>
      </c>
      <c r="AU727">
        <v>-16.59</v>
      </c>
      <c r="AV727">
        <v>-34.409999999999997</v>
      </c>
      <c r="AW727" t="s">
        <v>72</v>
      </c>
      <c r="AX727">
        <v>202</v>
      </c>
      <c r="AY727" t="s">
        <v>71</v>
      </c>
      <c r="AZ727">
        <v>-25.18</v>
      </c>
      <c r="BA727">
        <v>-48.06</v>
      </c>
      <c r="BB727" t="s">
        <v>73</v>
      </c>
    </row>
    <row r="728" spans="1:54" x14ac:dyDescent="0.4">
      <c r="A728">
        <v>1587698</v>
      </c>
      <c r="D728" t="s">
        <v>54</v>
      </c>
      <c r="E728" t="s">
        <v>105</v>
      </c>
      <c r="G728">
        <v>1</v>
      </c>
      <c r="H728" t="s">
        <v>74</v>
      </c>
      <c r="I728" t="s">
        <v>57</v>
      </c>
      <c r="K728" t="s">
        <v>80</v>
      </c>
      <c r="L728" t="s">
        <v>81</v>
      </c>
      <c r="M728" t="s">
        <v>59</v>
      </c>
      <c r="P728" t="s">
        <v>82</v>
      </c>
      <c r="Q728" t="s">
        <v>83</v>
      </c>
      <c r="R728" t="s">
        <v>84</v>
      </c>
      <c r="S728" t="s">
        <v>61</v>
      </c>
      <c r="T728">
        <v>251.90199999999999</v>
      </c>
      <c r="U728">
        <v>246.7</v>
      </c>
      <c r="V728">
        <f>(T728+U728)/2</f>
        <v>249.30099999999999</v>
      </c>
      <c r="W728">
        <f>T728-U728</f>
        <v>5.2019999999999982</v>
      </c>
      <c r="X728">
        <v>172.5</v>
      </c>
      <c r="Y728">
        <v>-85.050003000000004</v>
      </c>
      <c r="Z728" t="s">
        <v>85</v>
      </c>
      <c r="AA728" t="s">
        <v>866</v>
      </c>
      <c r="AD728" t="s">
        <v>867</v>
      </c>
      <c r="AE728" t="s">
        <v>868</v>
      </c>
      <c r="AH728" t="s">
        <v>11</v>
      </c>
      <c r="AI728" t="s">
        <v>2197</v>
      </c>
      <c r="AJ728">
        <v>2019</v>
      </c>
      <c r="AK728" t="s">
        <v>1528</v>
      </c>
      <c r="AN728" t="s">
        <v>121</v>
      </c>
      <c r="AO728" t="s">
        <v>68</v>
      </c>
      <c r="AP728" t="s">
        <v>95</v>
      </c>
      <c r="AQ728" t="s">
        <v>1529</v>
      </c>
      <c r="AR728" t="s">
        <v>70</v>
      </c>
      <c r="AS728">
        <v>802</v>
      </c>
      <c r="AT728" t="s">
        <v>71</v>
      </c>
      <c r="AU728">
        <v>23.46</v>
      </c>
      <c r="AV728">
        <v>-72.040000000000006</v>
      </c>
      <c r="AW728" t="s">
        <v>72</v>
      </c>
      <c r="AX728">
        <v>802</v>
      </c>
      <c r="AY728" t="s">
        <v>71</v>
      </c>
      <c r="AZ728">
        <v>74.23</v>
      </c>
      <c r="BA728">
        <v>-81.010000000000005</v>
      </c>
      <c r="BB728" t="s">
        <v>73</v>
      </c>
    </row>
    <row r="729" spans="1:54" x14ac:dyDescent="0.4">
      <c r="A729">
        <v>1589167</v>
      </c>
      <c r="D729" t="s">
        <v>54</v>
      </c>
      <c r="F729" t="s">
        <v>352</v>
      </c>
      <c r="I729" t="s">
        <v>57</v>
      </c>
      <c r="K729" t="s">
        <v>102</v>
      </c>
      <c r="L729" t="s">
        <v>2233</v>
      </c>
      <c r="M729" t="s">
        <v>59</v>
      </c>
      <c r="P729" t="s">
        <v>82</v>
      </c>
      <c r="Q729" t="s">
        <v>83</v>
      </c>
      <c r="R729" t="s">
        <v>84</v>
      </c>
      <c r="S729" t="s">
        <v>61</v>
      </c>
      <c r="T729">
        <v>251.90199999999999</v>
      </c>
      <c r="U729">
        <v>246.7</v>
      </c>
      <c r="V729">
        <f>(T729+U729)/2</f>
        <v>249.30099999999999</v>
      </c>
      <c r="W729">
        <f>T729-U729</f>
        <v>5.2019999999999982</v>
      </c>
      <c r="X729">
        <v>20.449656999999998</v>
      </c>
      <c r="Y729">
        <v>-32.999755999999998</v>
      </c>
      <c r="Z729" t="s">
        <v>126</v>
      </c>
      <c r="AA729" t="s">
        <v>86</v>
      </c>
      <c r="AB729" t="s">
        <v>1982</v>
      </c>
      <c r="AC729" t="s">
        <v>539</v>
      </c>
      <c r="AD729" t="s">
        <v>540</v>
      </c>
      <c r="AF729" t="s">
        <v>541</v>
      </c>
      <c r="AH729" t="s">
        <v>65</v>
      </c>
      <c r="AI729" t="s">
        <v>2234</v>
      </c>
      <c r="AJ729">
        <v>2019</v>
      </c>
      <c r="AK729" t="s">
        <v>1983</v>
      </c>
      <c r="AO729">
        <v>6</v>
      </c>
      <c r="AR729" t="s">
        <v>70</v>
      </c>
      <c r="AS729">
        <v>701</v>
      </c>
      <c r="AT729" t="s">
        <v>71</v>
      </c>
      <c r="AU729">
        <v>-17.329999999999998</v>
      </c>
      <c r="AV729">
        <v>-47.71</v>
      </c>
      <c r="AW729" t="s">
        <v>72</v>
      </c>
      <c r="AX729">
        <v>701</v>
      </c>
      <c r="AY729" t="s">
        <v>71</v>
      </c>
      <c r="AZ729">
        <v>-29.08</v>
      </c>
      <c r="BA729">
        <v>-61.45</v>
      </c>
      <c r="BB729" t="s">
        <v>73</v>
      </c>
    </row>
    <row r="730" spans="1:54" x14ac:dyDescent="0.4">
      <c r="A730">
        <v>833484</v>
      </c>
      <c r="D730" t="s">
        <v>246</v>
      </c>
      <c r="E730" t="s">
        <v>55</v>
      </c>
      <c r="G730">
        <v>4</v>
      </c>
      <c r="H730" t="s">
        <v>74</v>
      </c>
      <c r="I730" t="s">
        <v>57</v>
      </c>
      <c r="K730" t="s">
        <v>537</v>
      </c>
      <c r="L730" t="s">
        <v>1062</v>
      </c>
      <c r="M730" t="s">
        <v>59</v>
      </c>
      <c r="P730" t="s">
        <v>82</v>
      </c>
      <c r="Q730" t="s">
        <v>83</v>
      </c>
      <c r="R730" t="s">
        <v>84</v>
      </c>
      <c r="S730" t="s">
        <v>61</v>
      </c>
      <c r="T730">
        <v>251.90199999999999</v>
      </c>
      <c r="U730">
        <v>246.7</v>
      </c>
      <c r="V730">
        <f>(T730+U730)/2</f>
        <v>249.30099999999999</v>
      </c>
      <c r="W730">
        <f>T730-U730</f>
        <v>5.2019999999999982</v>
      </c>
      <c r="X730">
        <v>49.333331999999999</v>
      </c>
      <c r="Y730">
        <v>-13</v>
      </c>
      <c r="Z730" t="s">
        <v>428</v>
      </c>
      <c r="AA730" t="s">
        <v>692</v>
      </c>
      <c r="AB730" t="s">
        <v>1067</v>
      </c>
      <c r="AC730" t="s">
        <v>1068</v>
      </c>
      <c r="AD730" t="s">
        <v>1069</v>
      </c>
      <c r="AE730" t="s">
        <v>695</v>
      </c>
      <c r="AF730" t="s">
        <v>1070</v>
      </c>
      <c r="AH730" t="s">
        <v>65</v>
      </c>
      <c r="AI730" t="s">
        <v>1071</v>
      </c>
      <c r="AJ730">
        <v>2004</v>
      </c>
      <c r="AK730" t="s">
        <v>1072</v>
      </c>
      <c r="AN730" t="s">
        <v>121</v>
      </c>
      <c r="AO730" t="s">
        <v>330</v>
      </c>
      <c r="AP730" t="s">
        <v>69</v>
      </c>
      <c r="AQ730" t="s">
        <v>1073</v>
      </c>
      <c r="AR730" t="s">
        <v>70</v>
      </c>
      <c r="AS730">
        <v>702</v>
      </c>
      <c r="AT730" t="s">
        <v>71</v>
      </c>
      <c r="AU730">
        <v>38.25</v>
      </c>
      <c r="AV730">
        <v>-34.35</v>
      </c>
      <c r="AW730" t="s">
        <v>72</v>
      </c>
      <c r="AX730">
        <v>702</v>
      </c>
      <c r="AY730" t="s">
        <v>71</v>
      </c>
      <c r="AZ730">
        <v>41.72</v>
      </c>
      <c r="BA730">
        <v>-44.19</v>
      </c>
      <c r="BB730" t="s">
        <v>73</v>
      </c>
    </row>
    <row r="731" spans="1:54" x14ac:dyDescent="0.4">
      <c r="A731">
        <v>833489</v>
      </c>
      <c r="D731" t="s">
        <v>246</v>
      </c>
      <c r="E731" t="s">
        <v>55</v>
      </c>
      <c r="G731">
        <v>5</v>
      </c>
      <c r="H731" t="s">
        <v>74</v>
      </c>
      <c r="I731" t="s">
        <v>57</v>
      </c>
      <c r="K731" t="s">
        <v>856</v>
      </c>
      <c r="L731" t="s">
        <v>1074</v>
      </c>
      <c r="M731" t="s">
        <v>59</v>
      </c>
      <c r="P731" t="s">
        <v>82</v>
      </c>
      <c r="Q731" t="s">
        <v>83</v>
      </c>
      <c r="R731" t="s">
        <v>84</v>
      </c>
      <c r="S731" t="s">
        <v>61</v>
      </c>
      <c r="T731">
        <v>251.90199999999999</v>
      </c>
      <c r="U731">
        <v>246.7</v>
      </c>
      <c r="V731">
        <f>(T731+U731)/2</f>
        <v>249.30099999999999</v>
      </c>
      <c r="W731">
        <f>T731-U731</f>
        <v>5.2019999999999982</v>
      </c>
      <c r="X731">
        <v>49.333331999999999</v>
      </c>
      <c r="Y731">
        <v>-13</v>
      </c>
      <c r="Z731" t="s">
        <v>428</v>
      </c>
      <c r="AA731" t="s">
        <v>692</v>
      </c>
      <c r="AB731" t="s">
        <v>1067</v>
      </c>
      <c r="AC731" t="s">
        <v>1068</v>
      </c>
      <c r="AD731" t="s">
        <v>1069</v>
      </c>
      <c r="AE731" t="s">
        <v>695</v>
      </c>
      <c r="AF731" t="s">
        <v>1070</v>
      </c>
      <c r="AH731" t="s">
        <v>65</v>
      </c>
      <c r="AI731" t="s">
        <v>1071</v>
      </c>
      <c r="AJ731">
        <v>2004</v>
      </c>
      <c r="AK731" t="s">
        <v>1072</v>
      </c>
      <c r="AN731" t="s">
        <v>121</v>
      </c>
      <c r="AO731" t="s">
        <v>330</v>
      </c>
      <c r="AP731" t="s">
        <v>69</v>
      </c>
      <c r="AQ731" t="s">
        <v>1073</v>
      </c>
      <c r="AR731" t="s">
        <v>70</v>
      </c>
      <c r="AS731">
        <v>702</v>
      </c>
      <c r="AT731" t="s">
        <v>71</v>
      </c>
      <c r="AU731">
        <v>38.25</v>
      </c>
      <c r="AV731">
        <v>-34.35</v>
      </c>
      <c r="AW731" t="s">
        <v>72</v>
      </c>
      <c r="AX731">
        <v>702</v>
      </c>
      <c r="AY731" t="s">
        <v>71</v>
      </c>
      <c r="AZ731">
        <v>41.72</v>
      </c>
      <c r="BA731">
        <v>-44.19</v>
      </c>
      <c r="BB731" t="s">
        <v>73</v>
      </c>
    </row>
    <row r="732" spans="1:54" x14ac:dyDescent="0.4">
      <c r="A732">
        <v>980069</v>
      </c>
      <c r="D732" t="s">
        <v>54</v>
      </c>
      <c r="E732" t="s">
        <v>104</v>
      </c>
      <c r="G732">
        <v>5</v>
      </c>
      <c r="H732" t="s">
        <v>228</v>
      </c>
      <c r="I732" t="s">
        <v>57</v>
      </c>
      <c r="K732" t="s">
        <v>806</v>
      </c>
      <c r="L732" t="s">
        <v>1520</v>
      </c>
      <c r="M732" t="s">
        <v>59</v>
      </c>
      <c r="O732" t="s">
        <v>76</v>
      </c>
      <c r="P732" t="s">
        <v>82</v>
      </c>
      <c r="Q732" t="s">
        <v>83</v>
      </c>
      <c r="R732" t="s">
        <v>84</v>
      </c>
      <c r="S732" t="s">
        <v>61</v>
      </c>
      <c r="T732">
        <v>251.90199999999999</v>
      </c>
      <c r="U732">
        <v>246.7</v>
      </c>
      <c r="V732">
        <f>(T732+U732)/2</f>
        <v>249.30099999999999</v>
      </c>
      <c r="W732">
        <f>T732-U732</f>
        <v>5.2019999999999982</v>
      </c>
      <c r="X732">
        <v>86.883330999999998</v>
      </c>
      <c r="Y732">
        <v>23.65</v>
      </c>
      <c r="Z732" t="s">
        <v>99</v>
      </c>
      <c r="AA732" t="s">
        <v>417</v>
      </c>
      <c r="AB732" t="s">
        <v>1671</v>
      </c>
      <c r="AD732" t="s">
        <v>1672</v>
      </c>
      <c r="AH732" t="s">
        <v>11</v>
      </c>
      <c r="AI732" t="s">
        <v>1673</v>
      </c>
      <c r="AJ732">
        <v>1964</v>
      </c>
      <c r="AK732" t="s">
        <v>1674</v>
      </c>
      <c r="AN732" t="s">
        <v>67</v>
      </c>
      <c r="AO732" t="s">
        <v>106</v>
      </c>
      <c r="AP732" t="s">
        <v>95</v>
      </c>
      <c r="AQ732" t="s">
        <v>1675</v>
      </c>
      <c r="AR732" t="s">
        <v>70</v>
      </c>
      <c r="AS732">
        <v>501</v>
      </c>
      <c r="AT732" t="s">
        <v>71</v>
      </c>
      <c r="AU732">
        <v>47.8</v>
      </c>
      <c r="AV732">
        <v>-49.06</v>
      </c>
      <c r="AW732" t="s">
        <v>72</v>
      </c>
      <c r="AX732">
        <v>501</v>
      </c>
      <c r="AY732" t="s">
        <v>71</v>
      </c>
      <c r="AZ732">
        <v>59.6</v>
      </c>
      <c r="BA732">
        <v>-55.91</v>
      </c>
      <c r="BB732" t="s">
        <v>73</v>
      </c>
    </row>
    <row r="733" spans="1:54" x14ac:dyDescent="0.4">
      <c r="A733">
        <v>1132153</v>
      </c>
      <c r="D733" t="s">
        <v>1761</v>
      </c>
      <c r="E733" t="s">
        <v>55</v>
      </c>
      <c r="G733">
        <v>1</v>
      </c>
      <c r="H733" t="s">
        <v>56</v>
      </c>
      <c r="I733" t="s">
        <v>57</v>
      </c>
      <c r="K733" t="s">
        <v>80</v>
      </c>
      <c r="L733" t="s">
        <v>1762</v>
      </c>
      <c r="M733" t="s">
        <v>59</v>
      </c>
      <c r="P733" t="s">
        <v>82</v>
      </c>
      <c r="Q733" t="s">
        <v>83</v>
      </c>
      <c r="R733" t="s">
        <v>84</v>
      </c>
      <c r="S733" t="s">
        <v>61</v>
      </c>
      <c r="T733">
        <v>251.90199999999999</v>
      </c>
      <c r="U733">
        <v>246.7</v>
      </c>
      <c r="V733">
        <f>(T733+U733)/2</f>
        <v>249.30099999999999</v>
      </c>
      <c r="W733">
        <f>T733-U733</f>
        <v>5.2019999999999982</v>
      </c>
      <c r="X733">
        <v>49.049999</v>
      </c>
      <c r="Y733">
        <v>-13.316667000000001</v>
      </c>
      <c r="Z733" t="s">
        <v>213</v>
      </c>
      <c r="AA733" t="s">
        <v>692</v>
      </c>
      <c r="AB733" t="s">
        <v>1067</v>
      </c>
      <c r="AC733" t="s">
        <v>1068</v>
      </c>
      <c r="AD733" t="s">
        <v>1069</v>
      </c>
      <c r="AE733" t="s">
        <v>695</v>
      </c>
      <c r="AH733" t="s">
        <v>65</v>
      </c>
      <c r="AI733" t="s">
        <v>1763</v>
      </c>
      <c r="AJ733">
        <v>2012</v>
      </c>
      <c r="AK733" t="s">
        <v>1764</v>
      </c>
      <c r="AM733" t="s">
        <v>1765</v>
      </c>
      <c r="AN733" t="s">
        <v>121</v>
      </c>
      <c r="AO733" t="s">
        <v>106</v>
      </c>
      <c r="AP733" t="s">
        <v>95</v>
      </c>
      <c r="AQ733" t="s">
        <v>1766</v>
      </c>
      <c r="AR733" t="s">
        <v>70</v>
      </c>
      <c r="AS733">
        <v>702</v>
      </c>
      <c r="AT733" t="s">
        <v>71</v>
      </c>
      <c r="AU733">
        <v>37.75</v>
      </c>
      <c r="AV733">
        <v>-34.42</v>
      </c>
      <c r="AW733" t="s">
        <v>72</v>
      </c>
      <c r="AX733">
        <v>702</v>
      </c>
      <c r="AY733" t="s">
        <v>71</v>
      </c>
      <c r="AZ733">
        <v>41.18</v>
      </c>
      <c r="BA733">
        <v>-44.36</v>
      </c>
      <c r="BB733" t="s">
        <v>73</v>
      </c>
    </row>
    <row r="734" spans="1:54" x14ac:dyDescent="0.4">
      <c r="A734">
        <v>1419840</v>
      </c>
      <c r="D734" t="s">
        <v>54</v>
      </c>
      <c r="E734" t="s">
        <v>104</v>
      </c>
      <c r="I734" t="s">
        <v>57</v>
      </c>
      <c r="K734" t="s">
        <v>125</v>
      </c>
      <c r="L734" t="s">
        <v>377</v>
      </c>
      <c r="M734" t="s">
        <v>59</v>
      </c>
      <c r="O734" t="s">
        <v>76</v>
      </c>
      <c r="P734" t="s">
        <v>82</v>
      </c>
      <c r="Q734" t="s">
        <v>83</v>
      </c>
      <c r="R734" t="s">
        <v>84</v>
      </c>
      <c r="S734" t="s">
        <v>61</v>
      </c>
      <c r="T734">
        <v>251.90199999999999</v>
      </c>
      <c r="U734">
        <v>246.7</v>
      </c>
      <c r="V734">
        <f>(T734+U734)/2</f>
        <v>249.30099999999999</v>
      </c>
      <c r="W734">
        <f>T734-U734</f>
        <v>5.2019999999999982</v>
      </c>
      <c r="X734">
        <v>86.887496999999996</v>
      </c>
      <c r="Y734">
        <v>23.647223</v>
      </c>
      <c r="Z734" t="s">
        <v>85</v>
      </c>
      <c r="AA734" t="s">
        <v>417</v>
      </c>
      <c r="AB734" t="s">
        <v>1671</v>
      </c>
      <c r="AD734" t="s">
        <v>1672</v>
      </c>
      <c r="AH734" t="s">
        <v>65</v>
      </c>
      <c r="AI734" t="s">
        <v>2165</v>
      </c>
      <c r="AJ734">
        <v>1928</v>
      </c>
      <c r="AK734" t="s">
        <v>2166</v>
      </c>
      <c r="AN734" t="s">
        <v>67</v>
      </c>
      <c r="AO734" t="s">
        <v>68</v>
      </c>
      <c r="AP734" t="s">
        <v>69</v>
      </c>
      <c r="AQ734" t="s">
        <v>2167</v>
      </c>
      <c r="AR734" t="s">
        <v>70</v>
      </c>
      <c r="AS734">
        <v>501</v>
      </c>
      <c r="AT734" t="s">
        <v>71</v>
      </c>
      <c r="AU734">
        <v>47.8</v>
      </c>
      <c r="AV734">
        <v>-49.07</v>
      </c>
      <c r="AW734" t="s">
        <v>72</v>
      </c>
      <c r="AX734">
        <v>501</v>
      </c>
      <c r="AY734" t="s">
        <v>71</v>
      </c>
      <c r="AZ734">
        <v>59.6</v>
      </c>
      <c r="BA734">
        <v>-55.91</v>
      </c>
      <c r="BB734" t="s">
        <v>73</v>
      </c>
    </row>
    <row r="735" spans="1:54" x14ac:dyDescent="0.4">
      <c r="A735">
        <v>384378</v>
      </c>
      <c r="D735" t="s">
        <v>54</v>
      </c>
      <c r="E735" t="s">
        <v>55</v>
      </c>
      <c r="I735" t="s">
        <v>57</v>
      </c>
      <c r="K735" t="s">
        <v>102</v>
      </c>
      <c r="L735" t="s">
        <v>296</v>
      </c>
      <c r="M735" t="s">
        <v>59</v>
      </c>
      <c r="P735" t="s">
        <v>82</v>
      </c>
      <c r="R735" t="s">
        <v>84</v>
      </c>
      <c r="S735" t="s">
        <v>61</v>
      </c>
      <c r="T735">
        <v>251.90199999999999</v>
      </c>
      <c r="U735">
        <v>251.2</v>
      </c>
      <c r="V735">
        <f>(T735+U735)/2</f>
        <v>251.55099999999999</v>
      </c>
      <c r="W735">
        <f>T735-U735</f>
        <v>0.70199999999999818</v>
      </c>
      <c r="X735">
        <v>45.906387000000002</v>
      </c>
      <c r="Y735">
        <v>57.884166999999998</v>
      </c>
      <c r="Z735" t="s">
        <v>99</v>
      </c>
      <c r="AA735" t="s">
        <v>139</v>
      </c>
      <c r="AB735" t="s">
        <v>297</v>
      </c>
      <c r="AC735" t="s">
        <v>298</v>
      </c>
      <c r="AD735" t="s">
        <v>299</v>
      </c>
      <c r="AH735" t="s">
        <v>65</v>
      </c>
      <c r="AI735" t="s">
        <v>300</v>
      </c>
      <c r="AJ735">
        <v>1992</v>
      </c>
      <c r="AK735" t="s">
        <v>301</v>
      </c>
      <c r="AM735" t="s">
        <v>302</v>
      </c>
      <c r="AN735" t="s">
        <v>121</v>
      </c>
      <c r="AO735" t="s">
        <v>68</v>
      </c>
      <c r="AP735" t="s">
        <v>69</v>
      </c>
      <c r="AQ735" t="s">
        <v>303</v>
      </c>
      <c r="AR735" t="s">
        <v>70</v>
      </c>
      <c r="AS735">
        <v>302</v>
      </c>
      <c r="AT735" t="s">
        <v>71</v>
      </c>
      <c r="AU735">
        <v>50.48</v>
      </c>
      <c r="AV735">
        <v>41.35</v>
      </c>
      <c r="AW735" t="s">
        <v>72</v>
      </c>
      <c r="AX735">
        <v>301</v>
      </c>
      <c r="AY735" t="s">
        <v>71</v>
      </c>
      <c r="AZ735">
        <v>37.53</v>
      </c>
      <c r="BA735">
        <v>32.369999999999997</v>
      </c>
      <c r="BB735" t="s">
        <v>73</v>
      </c>
    </row>
    <row r="736" spans="1:54" x14ac:dyDescent="0.4">
      <c r="A736">
        <v>387513</v>
      </c>
      <c r="D736" t="s">
        <v>54</v>
      </c>
      <c r="G736">
        <v>2</v>
      </c>
      <c r="H736" t="s">
        <v>242</v>
      </c>
      <c r="I736" t="s">
        <v>57</v>
      </c>
      <c r="K736" t="s">
        <v>102</v>
      </c>
      <c r="L736" t="s">
        <v>307</v>
      </c>
      <c r="M736" t="s">
        <v>59</v>
      </c>
      <c r="P736" t="s">
        <v>82</v>
      </c>
      <c r="R736" t="s">
        <v>84</v>
      </c>
      <c r="S736" t="s">
        <v>61</v>
      </c>
      <c r="T736">
        <v>251.90199999999999</v>
      </c>
      <c r="U736">
        <v>251.2</v>
      </c>
      <c r="V736">
        <f>(T736+U736)/2</f>
        <v>251.55099999999999</v>
      </c>
      <c r="W736">
        <f>T736-U736</f>
        <v>0.70199999999999818</v>
      </c>
      <c r="X736">
        <v>55.724997999999999</v>
      </c>
      <c r="Y736">
        <v>51.344444000000003</v>
      </c>
      <c r="Z736" t="s">
        <v>239</v>
      </c>
      <c r="AA736" t="s">
        <v>139</v>
      </c>
      <c r="AB736" t="s">
        <v>316</v>
      </c>
      <c r="AC736" t="s">
        <v>317</v>
      </c>
      <c r="AD736" t="s">
        <v>318</v>
      </c>
      <c r="AH736" t="s">
        <v>11</v>
      </c>
      <c r="AI736" t="s">
        <v>311</v>
      </c>
      <c r="AJ736">
        <v>1978</v>
      </c>
      <c r="AK736" t="s">
        <v>319</v>
      </c>
      <c r="AM736" t="s">
        <v>320</v>
      </c>
      <c r="AN736" t="s">
        <v>94</v>
      </c>
      <c r="AO736" t="s">
        <v>68</v>
      </c>
      <c r="AP736" t="s">
        <v>95</v>
      </c>
      <c r="AQ736" t="s">
        <v>321</v>
      </c>
      <c r="AR736" t="s">
        <v>70</v>
      </c>
      <c r="AS736">
        <v>302</v>
      </c>
      <c r="AT736" t="s">
        <v>71</v>
      </c>
      <c r="AU736">
        <v>61.14</v>
      </c>
      <c r="AV736">
        <v>38.51</v>
      </c>
      <c r="AW736" t="s">
        <v>72</v>
      </c>
      <c r="AX736">
        <v>301</v>
      </c>
      <c r="AY736" t="s">
        <v>71</v>
      </c>
      <c r="AZ736">
        <v>47.67</v>
      </c>
      <c r="BA736">
        <v>31.49</v>
      </c>
      <c r="BB736" t="s">
        <v>73</v>
      </c>
    </row>
    <row r="737" spans="1:54" x14ac:dyDescent="0.4">
      <c r="A737">
        <v>747968</v>
      </c>
      <c r="D737" t="s">
        <v>54</v>
      </c>
      <c r="E737" t="s">
        <v>104</v>
      </c>
      <c r="G737">
        <v>1</v>
      </c>
      <c r="H737" t="s">
        <v>56</v>
      </c>
      <c r="I737" t="s">
        <v>57</v>
      </c>
      <c r="K737" t="s">
        <v>537</v>
      </c>
      <c r="L737" t="s">
        <v>538</v>
      </c>
      <c r="M737" t="s">
        <v>59</v>
      </c>
      <c r="P737" t="s">
        <v>82</v>
      </c>
      <c r="R737" t="s">
        <v>84</v>
      </c>
      <c r="S737" t="s">
        <v>61</v>
      </c>
      <c r="T737">
        <v>251.90199999999999</v>
      </c>
      <c r="U737">
        <v>251.2</v>
      </c>
      <c r="V737">
        <f>(T737+U737)/2</f>
        <v>251.55099999999999</v>
      </c>
      <c r="W737">
        <f>T737-U737</f>
        <v>0.70199999999999818</v>
      </c>
      <c r="X737">
        <v>25.001389</v>
      </c>
      <c r="Y737">
        <v>-31.729721000000001</v>
      </c>
      <c r="Z737" t="s">
        <v>85</v>
      </c>
      <c r="AA737" t="s">
        <v>86</v>
      </c>
      <c r="AB737" t="s">
        <v>87</v>
      </c>
      <c r="AC737" t="s">
        <v>539</v>
      </c>
      <c r="AD737" t="s">
        <v>540</v>
      </c>
      <c r="AE737" t="s">
        <v>90</v>
      </c>
      <c r="AF737" t="s">
        <v>541</v>
      </c>
      <c r="AG737" t="s">
        <v>497</v>
      </c>
      <c r="AH737" t="s">
        <v>65</v>
      </c>
      <c r="AI737" t="s">
        <v>498</v>
      </c>
      <c r="AJ737">
        <v>2003</v>
      </c>
      <c r="AK737" t="s">
        <v>542</v>
      </c>
      <c r="AM737" t="s">
        <v>543</v>
      </c>
      <c r="AN737" t="s">
        <v>67</v>
      </c>
      <c r="AO737" t="s">
        <v>68</v>
      </c>
      <c r="AP737" t="s">
        <v>314</v>
      </c>
      <c r="AQ737" t="s">
        <v>544</v>
      </c>
      <c r="AR737" t="s">
        <v>70</v>
      </c>
      <c r="AS737">
        <v>701</v>
      </c>
      <c r="AT737" t="s">
        <v>71</v>
      </c>
      <c r="AU737">
        <v>-13.72</v>
      </c>
      <c r="AV737">
        <v>-50.48</v>
      </c>
      <c r="AW737" t="s">
        <v>72</v>
      </c>
      <c r="AX737">
        <v>701</v>
      </c>
      <c r="AY737" t="s">
        <v>71</v>
      </c>
      <c r="AZ737">
        <v>-24.45</v>
      </c>
      <c r="BA737">
        <v>-63.47</v>
      </c>
      <c r="BB737" t="s">
        <v>73</v>
      </c>
    </row>
    <row r="738" spans="1:54" x14ac:dyDescent="0.4">
      <c r="A738">
        <v>749261</v>
      </c>
      <c r="D738" t="s">
        <v>54</v>
      </c>
      <c r="E738" t="s">
        <v>55</v>
      </c>
      <c r="G738">
        <v>1</v>
      </c>
      <c r="H738" t="s">
        <v>56</v>
      </c>
      <c r="I738" t="s">
        <v>57</v>
      </c>
      <c r="K738" t="s">
        <v>537</v>
      </c>
      <c r="L738" t="s">
        <v>538</v>
      </c>
      <c r="M738" t="s">
        <v>59</v>
      </c>
      <c r="P738" t="s">
        <v>82</v>
      </c>
      <c r="R738" t="s">
        <v>84</v>
      </c>
      <c r="S738" t="s">
        <v>61</v>
      </c>
      <c r="T738">
        <v>251.90199999999999</v>
      </c>
      <c r="U738">
        <v>251.2</v>
      </c>
      <c r="V738">
        <f>(T738+U738)/2</f>
        <v>251.55099999999999</v>
      </c>
      <c r="W738">
        <f>T738-U738</f>
        <v>0.70199999999999818</v>
      </c>
      <c r="X738">
        <v>26.057500999999998</v>
      </c>
      <c r="Y738">
        <v>-30.473057000000001</v>
      </c>
      <c r="Z738" t="s">
        <v>85</v>
      </c>
      <c r="AA738" t="s">
        <v>86</v>
      </c>
      <c r="AB738" t="s">
        <v>546</v>
      </c>
      <c r="AC738" t="s">
        <v>547</v>
      </c>
      <c r="AD738" t="s">
        <v>89</v>
      </c>
      <c r="AE738" t="s">
        <v>90</v>
      </c>
      <c r="AG738" t="s">
        <v>497</v>
      </c>
      <c r="AH738" t="s">
        <v>65</v>
      </c>
      <c r="AI738" t="s">
        <v>548</v>
      </c>
      <c r="AJ738">
        <v>2002</v>
      </c>
      <c r="AK738" t="s">
        <v>549</v>
      </c>
      <c r="AN738" t="s">
        <v>121</v>
      </c>
      <c r="AO738" t="s">
        <v>68</v>
      </c>
      <c r="AP738" t="s">
        <v>182</v>
      </c>
      <c r="AQ738" t="s">
        <v>550</v>
      </c>
      <c r="AR738" t="s">
        <v>70</v>
      </c>
      <c r="AS738">
        <v>701</v>
      </c>
      <c r="AT738" t="s">
        <v>71</v>
      </c>
      <c r="AU738">
        <v>-11.29</v>
      </c>
      <c r="AV738">
        <v>-50.5</v>
      </c>
      <c r="AW738" t="s">
        <v>72</v>
      </c>
      <c r="AX738">
        <v>701</v>
      </c>
      <c r="AY738" t="s">
        <v>71</v>
      </c>
      <c r="AZ738">
        <v>-20.99</v>
      </c>
      <c r="BA738">
        <v>-63.64</v>
      </c>
      <c r="BB738" t="s">
        <v>73</v>
      </c>
    </row>
    <row r="739" spans="1:54" x14ac:dyDescent="0.4">
      <c r="A739">
        <v>749261</v>
      </c>
      <c r="D739" t="s">
        <v>54</v>
      </c>
      <c r="E739" t="s">
        <v>55</v>
      </c>
      <c r="G739">
        <v>1</v>
      </c>
      <c r="H739" t="s">
        <v>56</v>
      </c>
      <c r="I739" t="s">
        <v>57</v>
      </c>
      <c r="K739" t="s">
        <v>537</v>
      </c>
      <c r="L739" t="s">
        <v>538</v>
      </c>
      <c r="M739" t="s">
        <v>59</v>
      </c>
      <c r="P739" t="s">
        <v>82</v>
      </c>
      <c r="R739" t="s">
        <v>84</v>
      </c>
      <c r="S739" t="s">
        <v>61</v>
      </c>
      <c r="T739">
        <v>251.90199999999999</v>
      </c>
      <c r="U739">
        <v>251.2</v>
      </c>
      <c r="V739">
        <f>(T739+U739)/2</f>
        <v>251.55099999999999</v>
      </c>
      <c r="W739">
        <f>T739-U739</f>
        <v>0.70199999999999818</v>
      </c>
      <c r="X739">
        <v>26.057500999999998</v>
      </c>
      <c r="Y739">
        <v>-30.473057000000001</v>
      </c>
      <c r="Z739" t="s">
        <v>85</v>
      </c>
      <c r="AA739" t="s">
        <v>86</v>
      </c>
      <c r="AB739" t="s">
        <v>546</v>
      </c>
      <c r="AC739" t="s">
        <v>547</v>
      </c>
      <c r="AD739" t="s">
        <v>89</v>
      </c>
      <c r="AE739" t="s">
        <v>90</v>
      </c>
      <c r="AG739" t="s">
        <v>497</v>
      </c>
      <c r="AH739" t="s">
        <v>65</v>
      </c>
      <c r="AI739" t="s">
        <v>548</v>
      </c>
      <c r="AJ739">
        <v>2002</v>
      </c>
      <c r="AK739" t="s">
        <v>549</v>
      </c>
      <c r="AN739" t="s">
        <v>121</v>
      </c>
      <c r="AO739" t="s">
        <v>68</v>
      </c>
      <c r="AP739" t="s">
        <v>182</v>
      </c>
      <c r="AQ739" t="s">
        <v>550</v>
      </c>
      <c r="AR739" t="s">
        <v>70</v>
      </c>
      <c r="AS739">
        <v>701</v>
      </c>
      <c r="AT739" t="s">
        <v>71</v>
      </c>
      <c r="AU739">
        <v>-11.29</v>
      </c>
      <c r="AV739">
        <v>-50.5</v>
      </c>
      <c r="AW739" t="s">
        <v>72</v>
      </c>
      <c r="AX739">
        <v>701</v>
      </c>
      <c r="AY739" t="s">
        <v>71</v>
      </c>
      <c r="AZ739">
        <v>-20.99</v>
      </c>
      <c r="BA739">
        <v>-63.64</v>
      </c>
      <c r="BB739" t="s">
        <v>73</v>
      </c>
    </row>
    <row r="740" spans="1:54" x14ac:dyDescent="0.4">
      <c r="A740">
        <v>749261</v>
      </c>
      <c r="D740" t="s">
        <v>54</v>
      </c>
      <c r="E740" t="s">
        <v>55</v>
      </c>
      <c r="G740">
        <v>1</v>
      </c>
      <c r="H740" t="s">
        <v>56</v>
      </c>
      <c r="I740" t="s">
        <v>57</v>
      </c>
      <c r="K740" t="s">
        <v>537</v>
      </c>
      <c r="L740" t="s">
        <v>538</v>
      </c>
      <c r="M740" t="s">
        <v>59</v>
      </c>
      <c r="P740" t="s">
        <v>82</v>
      </c>
      <c r="R740" t="s">
        <v>84</v>
      </c>
      <c r="S740" t="s">
        <v>61</v>
      </c>
      <c r="T740">
        <v>251.90199999999999</v>
      </c>
      <c r="U740">
        <v>251.2</v>
      </c>
      <c r="V740">
        <f>(T740+U740)/2</f>
        <v>251.55099999999999</v>
      </c>
      <c r="W740">
        <f>T740-U740</f>
        <v>0.70199999999999818</v>
      </c>
      <c r="X740">
        <v>26.057500999999998</v>
      </c>
      <c r="Y740">
        <v>-30.473057000000001</v>
      </c>
      <c r="Z740" t="s">
        <v>85</v>
      </c>
      <c r="AA740" t="s">
        <v>86</v>
      </c>
      <c r="AB740" t="s">
        <v>546</v>
      </c>
      <c r="AC740" t="s">
        <v>547</v>
      </c>
      <c r="AD740" t="s">
        <v>89</v>
      </c>
      <c r="AE740" t="s">
        <v>90</v>
      </c>
      <c r="AG740" t="s">
        <v>497</v>
      </c>
      <c r="AH740" t="s">
        <v>65</v>
      </c>
      <c r="AI740" t="s">
        <v>548</v>
      </c>
      <c r="AJ740">
        <v>2002</v>
      </c>
      <c r="AK740" t="s">
        <v>549</v>
      </c>
      <c r="AN740" t="s">
        <v>121</v>
      </c>
      <c r="AO740" t="s">
        <v>68</v>
      </c>
      <c r="AP740" t="s">
        <v>182</v>
      </c>
      <c r="AQ740" t="s">
        <v>550</v>
      </c>
      <c r="AR740" t="s">
        <v>70</v>
      </c>
      <c r="AS740">
        <v>701</v>
      </c>
      <c r="AT740" t="s">
        <v>71</v>
      </c>
      <c r="AU740">
        <v>-11.29</v>
      </c>
      <c r="AV740">
        <v>-50.5</v>
      </c>
      <c r="AW740" t="s">
        <v>72</v>
      </c>
      <c r="AX740">
        <v>701</v>
      </c>
      <c r="AY740" t="s">
        <v>71</v>
      </c>
      <c r="AZ740">
        <v>-20.99</v>
      </c>
      <c r="BA740">
        <v>-63.64</v>
      </c>
      <c r="BB740" t="s">
        <v>73</v>
      </c>
    </row>
    <row r="741" spans="1:54" x14ac:dyDescent="0.4">
      <c r="A741">
        <v>749261</v>
      </c>
      <c r="D741" t="s">
        <v>54</v>
      </c>
      <c r="E741" t="s">
        <v>55</v>
      </c>
      <c r="G741">
        <v>1</v>
      </c>
      <c r="H741" t="s">
        <v>56</v>
      </c>
      <c r="I741" t="s">
        <v>57</v>
      </c>
      <c r="K741" t="s">
        <v>537</v>
      </c>
      <c r="L741" t="s">
        <v>538</v>
      </c>
      <c r="M741" t="s">
        <v>59</v>
      </c>
      <c r="P741" t="s">
        <v>82</v>
      </c>
      <c r="R741" t="s">
        <v>84</v>
      </c>
      <c r="S741" t="s">
        <v>61</v>
      </c>
      <c r="T741">
        <v>251.90199999999999</v>
      </c>
      <c r="U741">
        <v>251.2</v>
      </c>
      <c r="V741">
        <f>(T741+U741)/2</f>
        <v>251.55099999999999</v>
      </c>
      <c r="W741">
        <f>T741-U741</f>
        <v>0.70199999999999818</v>
      </c>
      <c r="X741">
        <v>26.057500999999998</v>
      </c>
      <c r="Y741">
        <v>-30.473057000000001</v>
      </c>
      <c r="Z741" t="s">
        <v>85</v>
      </c>
      <c r="AA741" t="s">
        <v>86</v>
      </c>
      <c r="AB741" t="s">
        <v>546</v>
      </c>
      <c r="AC741" t="s">
        <v>547</v>
      </c>
      <c r="AD741" t="s">
        <v>89</v>
      </c>
      <c r="AE741" t="s">
        <v>90</v>
      </c>
      <c r="AG741" t="s">
        <v>497</v>
      </c>
      <c r="AH741" t="s">
        <v>65</v>
      </c>
      <c r="AI741" t="s">
        <v>548</v>
      </c>
      <c r="AJ741">
        <v>2002</v>
      </c>
      <c r="AK741" t="s">
        <v>549</v>
      </c>
      <c r="AN741" t="s">
        <v>121</v>
      </c>
      <c r="AO741" t="s">
        <v>68</v>
      </c>
      <c r="AP741" t="s">
        <v>182</v>
      </c>
      <c r="AQ741" t="s">
        <v>550</v>
      </c>
      <c r="AR741" t="s">
        <v>70</v>
      </c>
      <c r="AS741">
        <v>701</v>
      </c>
      <c r="AT741" t="s">
        <v>71</v>
      </c>
      <c r="AU741">
        <v>-11.29</v>
      </c>
      <c r="AV741">
        <v>-50.5</v>
      </c>
      <c r="AW741" t="s">
        <v>72</v>
      </c>
      <c r="AX741">
        <v>701</v>
      </c>
      <c r="AY741" t="s">
        <v>71</v>
      </c>
      <c r="AZ741">
        <v>-20.99</v>
      </c>
      <c r="BA741">
        <v>-63.64</v>
      </c>
      <c r="BB741" t="s">
        <v>73</v>
      </c>
    </row>
    <row r="742" spans="1:54" x14ac:dyDescent="0.4">
      <c r="A742">
        <v>790404</v>
      </c>
      <c r="D742" t="s">
        <v>108</v>
      </c>
      <c r="G742">
        <v>1</v>
      </c>
      <c r="H742" t="s">
        <v>56</v>
      </c>
      <c r="I742" t="s">
        <v>57</v>
      </c>
      <c r="K742" t="s">
        <v>724</v>
      </c>
      <c r="L742" t="s">
        <v>725</v>
      </c>
      <c r="M742" t="s">
        <v>59</v>
      </c>
      <c r="P742" t="s">
        <v>82</v>
      </c>
      <c r="R742" t="s">
        <v>84</v>
      </c>
      <c r="S742" t="s">
        <v>61</v>
      </c>
      <c r="T742">
        <v>251.90199999999999</v>
      </c>
      <c r="U742">
        <v>251.2</v>
      </c>
      <c r="V742">
        <f>(T742+U742)/2</f>
        <v>251.55099999999999</v>
      </c>
      <c r="W742">
        <f>T742-U742</f>
        <v>0.70199999999999818</v>
      </c>
      <c r="X742">
        <v>148</v>
      </c>
      <c r="Y742">
        <v>-24.833331999999999</v>
      </c>
      <c r="Z742" t="s">
        <v>85</v>
      </c>
      <c r="AA742" t="s">
        <v>726</v>
      </c>
      <c r="AB742" t="s">
        <v>727</v>
      </c>
      <c r="AD742" t="s">
        <v>728</v>
      </c>
      <c r="AE742" t="s">
        <v>729</v>
      </c>
      <c r="AH742" t="s">
        <v>65</v>
      </c>
      <c r="AI742" t="s">
        <v>730</v>
      </c>
      <c r="AJ742">
        <v>1979</v>
      </c>
      <c r="AK742" t="s">
        <v>731</v>
      </c>
      <c r="AM742" t="s">
        <v>732</v>
      </c>
      <c r="AN742" t="s">
        <v>121</v>
      </c>
      <c r="AO742" t="s">
        <v>106</v>
      </c>
      <c r="AP742" t="s">
        <v>69</v>
      </c>
      <c r="AQ742" t="s">
        <v>733</v>
      </c>
      <c r="AR742" t="s">
        <v>70</v>
      </c>
      <c r="AS742">
        <v>801</v>
      </c>
      <c r="AT742" t="s">
        <v>71</v>
      </c>
      <c r="AU742">
        <v>124.8</v>
      </c>
      <c r="AV742">
        <v>-69.819999999999993</v>
      </c>
      <c r="AW742" t="s">
        <v>72</v>
      </c>
      <c r="AX742">
        <v>801</v>
      </c>
      <c r="AY742" t="s">
        <v>71</v>
      </c>
      <c r="AZ742">
        <v>138.01</v>
      </c>
      <c r="BA742">
        <v>-58.72</v>
      </c>
      <c r="BB742" t="s">
        <v>73</v>
      </c>
    </row>
    <row r="743" spans="1:54" x14ac:dyDescent="0.4">
      <c r="A743">
        <v>790404</v>
      </c>
      <c r="D743" t="s">
        <v>108</v>
      </c>
      <c r="G743">
        <v>1</v>
      </c>
      <c r="H743" t="s">
        <v>56</v>
      </c>
      <c r="I743" t="s">
        <v>57</v>
      </c>
      <c r="K743" t="s">
        <v>724</v>
      </c>
      <c r="L743" t="s">
        <v>725</v>
      </c>
      <c r="M743" t="s">
        <v>59</v>
      </c>
      <c r="P743" t="s">
        <v>82</v>
      </c>
      <c r="R743" t="s">
        <v>84</v>
      </c>
      <c r="S743" t="s">
        <v>61</v>
      </c>
      <c r="T743">
        <v>251.90199999999999</v>
      </c>
      <c r="U743">
        <v>251.2</v>
      </c>
      <c r="V743">
        <f>(T743+U743)/2</f>
        <v>251.55099999999999</v>
      </c>
      <c r="W743">
        <f>T743-U743</f>
        <v>0.70199999999999818</v>
      </c>
      <c r="X743">
        <v>148</v>
      </c>
      <c r="Y743">
        <v>-24.833331999999999</v>
      </c>
      <c r="Z743" t="s">
        <v>85</v>
      </c>
      <c r="AA743" t="s">
        <v>726</v>
      </c>
      <c r="AB743" t="s">
        <v>727</v>
      </c>
      <c r="AD743" t="s">
        <v>728</v>
      </c>
      <c r="AE743" t="s">
        <v>729</v>
      </c>
      <c r="AH743" t="s">
        <v>65</v>
      </c>
      <c r="AI743" t="s">
        <v>730</v>
      </c>
      <c r="AJ743">
        <v>1979</v>
      </c>
      <c r="AK743" t="s">
        <v>731</v>
      </c>
      <c r="AM743" t="s">
        <v>732</v>
      </c>
      <c r="AN743" t="s">
        <v>121</v>
      </c>
      <c r="AO743" t="s">
        <v>106</v>
      </c>
      <c r="AP743" t="s">
        <v>69</v>
      </c>
      <c r="AQ743" t="s">
        <v>733</v>
      </c>
      <c r="AR743" t="s">
        <v>70</v>
      </c>
      <c r="AS743">
        <v>801</v>
      </c>
      <c r="AT743" t="s">
        <v>71</v>
      </c>
      <c r="AU743">
        <v>124.8</v>
      </c>
      <c r="AV743">
        <v>-69.819999999999993</v>
      </c>
      <c r="AW743" t="s">
        <v>72</v>
      </c>
      <c r="AX743">
        <v>801</v>
      </c>
      <c r="AY743" t="s">
        <v>71</v>
      </c>
      <c r="AZ743">
        <v>138.01</v>
      </c>
      <c r="BA743">
        <v>-58.72</v>
      </c>
      <c r="BB743" t="s">
        <v>73</v>
      </c>
    </row>
    <row r="744" spans="1:54" x14ac:dyDescent="0.4">
      <c r="A744">
        <v>790405</v>
      </c>
      <c r="D744" t="s">
        <v>108</v>
      </c>
      <c r="G744">
        <v>1</v>
      </c>
      <c r="H744" t="s">
        <v>56</v>
      </c>
      <c r="I744" t="s">
        <v>57</v>
      </c>
      <c r="K744" t="s">
        <v>102</v>
      </c>
      <c r="L744" t="s">
        <v>734</v>
      </c>
      <c r="M744" t="s">
        <v>59</v>
      </c>
      <c r="P744" t="s">
        <v>82</v>
      </c>
      <c r="R744" t="s">
        <v>84</v>
      </c>
      <c r="S744" t="s">
        <v>61</v>
      </c>
      <c r="T744">
        <v>251.90199999999999</v>
      </c>
      <c r="U744">
        <v>251.2</v>
      </c>
      <c r="V744">
        <f>(T744+U744)/2</f>
        <v>251.55099999999999</v>
      </c>
      <c r="W744">
        <f>T744-U744</f>
        <v>0.70199999999999818</v>
      </c>
      <c r="X744">
        <v>148</v>
      </c>
      <c r="Y744">
        <v>-24.833331999999999</v>
      </c>
      <c r="Z744" t="s">
        <v>85</v>
      </c>
      <c r="AA744" t="s">
        <v>726</v>
      </c>
      <c r="AB744" t="s">
        <v>727</v>
      </c>
      <c r="AD744" t="s">
        <v>728</v>
      </c>
      <c r="AE744" t="s">
        <v>729</v>
      </c>
      <c r="AH744" t="s">
        <v>65</v>
      </c>
      <c r="AI744" t="s">
        <v>730</v>
      </c>
      <c r="AJ744">
        <v>1979</v>
      </c>
      <c r="AK744" t="s">
        <v>731</v>
      </c>
      <c r="AM744" t="s">
        <v>732</v>
      </c>
      <c r="AN744" t="s">
        <v>121</v>
      </c>
      <c r="AO744" t="s">
        <v>106</v>
      </c>
      <c r="AP744" t="s">
        <v>69</v>
      </c>
      <c r="AQ744" t="s">
        <v>733</v>
      </c>
      <c r="AR744" t="s">
        <v>70</v>
      </c>
      <c r="AS744">
        <v>801</v>
      </c>
      <c r="AT744" t="s">
        <v>71</v>
      </c>
      <c r="AU744">
        <v>124.8</v>
      </c>
      <c r="AV744">
        <v>-69.819999999999993</v>
      </c>
      <c r="AW744" t="s">
        <v>72</v>
      </c>
      <c r="AX744">
        <v>801</v>
      </c>
      <c r="AY744" t="s">
        <v>71</v>
      </c>
      <c r="AZ744">
        <v>138.01</v>
      </c>
      <c r="BA744">
        <v>-58.72</v>
      </c>
      <c r="BB744" t="s">
        <v>73</v>
      </c>
    </row>
    <row r="745" spans="1:54" x14ac:dyDescent="0.4">
      <c r="A745">
        <v>790405</v>
      </c>
      <c r="D745" t="s">
        <v>108</v>
      </c>
      <c r="G745">
        <v>1</v>
      </c>
      <c r="H745" t="s">
        <v>56</v>
      </c>
      <c r="I745" t="s">
        <v>57</v>
      </c>
      <c r="K745" t="s">
        <v>102</v>
      </c>
      <c r="L745" t="s">
        <v>734</v>
      </c>
      <c r="M745" t="s">
        <v>59</v>
      </c>
      <c r="P745" t="s">
        <v>82</v>
      </c>
      <c r="R745" t="s">
        <v>84</v>
      </c>
      <c r="S745" t="s">
        <v>61</v>
      </c>
      <c r="T745">
        <v>251.90199999999999</v>
      </c>
      <c r="U745">
        <v>251.2</v>
      </c>
      <c r="V745">
        <f>(T745+U745)/2</f>
        <v>251.55099999999999</v>
      </c>
      <c r="W745">
        <f>T745-U745</f>
        <v>0.70199999999999818</v>
      </c>
      <c r="X745">
        <v>148</v>
      </c>
      <c r="Y745">
        <v>-24.833331999999999</v>
      </c>
      <c r="Z745" t="s">
        <v>85</v>
      </c>
      <c r="AA745" t="s">
        <v>726</v>
      </c>
      <c r="AB745" t="s">
        <v>727</v>
      </c>
      <c r="AD745" t="s">
        <v>728</v>
      </c>
      <c r="AE745" t="s">
        <v>729</v>
      </c>
      <c r="AH745" t="s">
        <v>65</v>
      </c>
      <c r="AI745" t="s">
        <v>730</v>
      </c>
      <c r="AJ745">
        <v>1979</v>
      </c>
      <c r="AK745" t="s">
        <v>731</v>
      </c>
      <c r="AM745" t="s">
        <v>732</v>
      </c>
      <c r="AN745" t="s">
        <v>121</v>
      </c>
      <c r="AO745" t="s">
        <v>106</v>
      </c>
      <c r="AP745" t="s">
        <v>69</v>
      </c>
      <c r="AQ745" t="s">
        <v>733</v>
      </c>
      <c r="AR745" t="s">
        <v>70</v>
      </c>
      <c r="AS745">
        <v>801</v>
      </c>
      <c r="AT745" t="s">
        <v>71</v>
      </c>
      <c r="AU745">
        <v>124.8</v>
      </c>
      <c r="AV745">
        <v>-69.819999999999993</v>
      </c>
      <c r="AW745" t="s">
        <v>72</v>
      </c>
      <c r="AX745">
        <v>801</v>
      </c>
      <c r="AY745" t="s">
        <v>71</v>
      </c>
      <c r="AZ745">
        <v>138.01</v>
      </c>
      <c r="BA745">
        <v>-58.72</v>
      </c>
      <c r="BB745" t="s">
        <v>73</v>
      </c>
    </row>
    <row r="746" spans="1:54" x14ac:dyDescent="0.4">
      <c r="A746">
        <v>792534</v>
      </c>
      <c r="D746" t="s">
        <v>54</v>
      </c>
      <c r="G746">
        <v>1</v>
      </c>
      <c r="H746" t="s">
        <v>56</v>
      </c>
      <c r="I746" t="s">
        <v>57</v>
      </c>
      <c r="K746" t="s">
        <v>102</v>
      </c>
      <c r="L746" t="s">
        <v>770</v>
      </c>
      <c r="M746" t="s">
        <v>59</v>
      </c>
      <c r="O746" t="s">
        <v>107</v>
      </c>
      <c r="P746" t="s">
        <v>82</v>
      </c>
      <c r="R746" t="s">
        <v>84</v>
      </c>
      <c r="S746" t="s">
        <v>61</v>
      </c>
      <c r="T746">
        <v>251.90199999999999</v>
      </c>
      <c r="U746">
        <v>251.2</v>
      </c>
      <c r="V746">
        <f>(T746+U746)/2</f>
        <v>251.55099999999999</v>
      </c>
      <c r="W746">
        <f>T746-U746</f>
        <v>0.70199999999999818</v>
      </c>
      <c r="X746">
        <v>25.381111000000001</v>
      </c>
      <c r="Y746">
        <v>-31.761666999999999</v>
      </c>
      <c r="Z746" t="s">
        <v>99</v>
      </c>
      <c r="AA746" t="s">
        <v>86</v>
      </c>
      <c r="AB746" t="s">
        <v>87</v>
      </c>
      <c r="AC746" t="s">
        <v>496</v>
      </c>
      <c r="AD746" t="s">
        <v>89</v>
      </c>
      <c r="AE746" t="s">
        <v>90</v>
      </c>
      <c r="AH746" t="s">
        <v>65</v>
      </c>
      <c r="AI746" t="s">
        <v>771</v>
      </c>
      <c r="AJ746">
        <v>1912</v>
      </c>
      <c r="AK746" t="s">
        <v>772</v>
      </c>
      <c r="AM746" t="s">
        <v>773</v>
      </c>
      <c r="AN746" t="s">
        <v>177</v>
      </c>
      <c r="AO746" t="s">
        <v>68</v>
      </c>
      <c r="AP746" t="s">
        <v>95</v>
      </c>
      <c r="AQ746" t="s">
        <v>774</v>
      </c>
      <c r="AR746" t="s">
        <v>70</v>
      </c>
      <c r="AS746">
        <v>701</v>
      </c>
      <c r="AT746" t="s">
        <v>71</v>
      </c>
      <c r="AU746">
        <v>-13.48</v>
      </c>
      <c r="AV746">
        <v>-50.76</v>
      </c>
      <c r="AW746" t="s">
        <v>72</v>
      </c>
      <c r="AX746">
        <v>701</v>
      </c>
      <c r="AY746" t="s">
        <v>71</v>
      </c>
      <c r="AZ746">
        <v>-24.17</v>
      </c>
      <c r="BA746">
        <v>-63.77</v>
      </c>
      <c r="BB746" t="s">
        <v>73</v>
      </c>
    </row>
    <row r="747" spans="1:54" x14ac:dyDescent="0.4">
      <c r="A747">
        <v>792619</v>
      </c>
      <c r="D747" t="s">
        <v>54</v>
      </c>
      <c r="E747" t="s">
        <v>55</v>
      </c>
      <c r="G747">
        <v>3</v>
      </c>
      <c r="H747" t="s">
        <v>74</v>
      </c>
      <c r="I747" t="s">
        <v>57</v>
      </c>
      <c r="K747" t="s">
        <v>80</v>
      </c>
      <c r="L747" t="s">
        <v>788</v>
      </c>
      <c r="M747" t="s">
        <v>59</v>
      </c>
      <c r="P747" t="s">
        <v>82</v>
      </c>
      <c r="R747" t="s">
        <v>84</v>
      </c>
      <c r="S747" t="s">
        <v>61</v>
      </c>
      <c r="T747">
        <v>251.90199999999999</v>
      </c>
      <c r="U747">
        <v>251.2</v>
      </c>
      <c r="V747">
        <f>(T747+U747)/2</f>
        <v>251.55099999999999</v>
      </c>
      <c r="W747">
        <f>T747-U747</f>
        <v>0.70199999999999818</v>
      </c>
      <c r="X747">
        <v>45.906387000000002</v>
      </c>
      <c r="Y747">
        <v>57.884166999999998</v>
      </c>
      <c r="Z747" t="s">
        <v>99</v>
      </c>
      <c r="AA747" t="s">
        <v>139</v>
      </c>
      <c r="AB747" t="s">
        <v>297</v>
      </c>
      <c r="AC747" t="s">
        <v>298</v>
      </c>
      <c r="AD747" t="s">
        <v>299</v>
      </c>
      <c r="AH747" t="s">
        <v>65</v>
      </c>
      <c r="AI747" t="s">
        <v>789</v>
      </c>
      <c r="AJ747">
        <v>2000</v>
      </c>
      <c r="AK747" t="s">
        <v>301</v>
      </c>
      <c r="AM747" t="s">
        <v>302</v>
      </c>
      <c r="AN747" t="s">
        <v>121</v>
      </c>
      <c r="AO747" t="s">
        <v>68</v>
      </c>
      <c r="AP747" t="s">
        <v>69</v>
      </c>
      <c r="AQ747" t="s">
        <v>303</v>
      </c>
      <c r="AR747" t="s">
        <v>70</v>
      </c>
      <c r="AS747">
        <v>302</v>
      </c>
      <c r="AT747" t="s">
        <v>71</v>
      </c>
      <c r="AU747">
        <v>50.48</v>
      </c>
      <c r="AV747">
        <v>41.35</v>
      </c>
      <c r="AW747" t="s">
        <v>72</v>
      </c>
      <c r="AX747">
        <v>301</v>
      </c>
      <c r="AY747" t="s">
        <v>71</v>
      </c>
      <c r="AZ747">
        <v>37.53</v>
      </c>
      <c r="BA747">
        <v>32.369999999999997</v>
      </c>
      <c r="BB747" t="s">
        <v>73</v>
      </c>
    </row>
    <row r="748" spans="1:54" x14ac:dyDescent="0.4">
      <c r="A748">
        <v>792621</v>
      </c>
      <c r="D748" t="s">
        <v>54</v>
      </c>
      <c r="G748">
        <v>1</v>
      </c>
      <c r="H748" t="s">
        <v>56</v>
      </c>
      <c r="I748" t="s">
        <v>57</v>
      </c>
      <c r="K748" t="s">
        <v>80</v>
      </c>
      <c r="L748" t="s">
        <v>788</v>
      </c>
      <c r="M748" t="s">
        <v>59</v>
      </c>
      <c r="P748" t="s">
        <v>82</v>
      </c>
      <c r="R748" t="s">
        <v>84</v>
      </c>
      <c r="S748" t="s">
        <v>61</v>
      </c>
      <c r="T748">
        <v>251.90199999999999</v>
      </c>
      <c r="U748">
        <v>251.2</v>
      </c>
      <c r="V748">
        <f>(T748+U748)/2</f>
        <v>251.55099999999999</v>
      </c>
      <c r="W748">
        <f>T748-U748</f>
        <v>0.70199999999999818</v>
      </c>
      <c r="X748">
        <v>45.150002000000001</v>
      </c>
      <c r="Y748">
        <v>57.125</v>
      </c>
      <c r="Z748" t="s">
        <v>99</v>
      </c>
      <c r="AA748" t="s">
        <v>139</v>
      </c>
      <c r="AB748" t="s">
        <v>790</v>
      </c>
      <c r="AC748" t="s">
        <v>791</v>
      </c>
      <c r="AH748" t="s">
        <v>65</v>
      </c>
      <c r="AI748" t="s">
        <v>789</v>
      </c>
      <c r="AJ748">
        <v>2000</v>
      </c>
      <c r="AK748" t="s">
        <v>791</v>
      </c>
      <c r="AM748" t="s">
        <v>792</v>
      </c>
      <c r="AN748" t="s">
        <v>94</v>
      </c>
      <c r="AO748" t="s">
        <v>68</v>
      </c>
      <c r="AP748" t="s">
        <v>95</v>
      </c>
      <c r="AQ748" t="s">
        <v>793</v>
      </c>
      <c r="AR748" t="s">
        <v>70</v>
      </c>
      <c r="AS748">
        <v>302</v>
      </c>
      <c r="AT748" t="s">
        <v>71</v>
      </c>
      <c r="AU748">
        <v>50.49</v>
      </c>
      <c r="AV748">
        <v>40.49</v>
      </c>
      <c r="AW748" t="s">
        <v>72</v>
      </c>
      <c r="AX748">
        <v>301</v>
      </c>
      <c r="AY748" t="s">
        <v>71</v>
      </c>
      <c r="AZ748">
        <v>37.76</v>
      </c>
      <c r="BA748">
        <v>31.53</v>
      </c>
      <c r="BB748" t="s">
        <v>73</v>
      </c>
    </row>
    <row r="749" spans="1:54" x14ac:dyDescent="0.4">
      <c r="A749">
        <v>842090</v>
      </c>
      <c r="D749" t="s">
        <v>54</v>
      </c>
      <c r="G749">
        <v>1</v>
      </c>
      <c r="H749" t="s">
        <v>56</v>
      </c>
      <c r="I749" t="s">
        <v>57</v>
      </c>
      <c r="K749" t="s">
        <v>1223</v>
      </c>
      <c r="L749" t="s">
        <v>1224</v>
      </c>
      <c r="M749" t="s">
        <v>59</v>
      </c>
      <c r="P749" t="s">
        <v>82</v>
      </c>
      <c r="R749" t="s">
        <v>84</v>
      </c>
      <c r="S749" t="s">
        <v>61</v>
      </c>
      <c r="T749">
        <v>251.90199999999999</v>
      </c>
      <c r="U749">
        <v>251.2</v>
      </c>
      <c r="V749">
        <f>(T749+U749)/2</f>
        <v>251.55099999999999</v>
      </c>
      <c r="W749">
        <f>T749-U749</f>
        <v>0.70199999999999818</v>
      </c>
      <c r="X749">
        <v>88.883330999999998</v>
      </c>
      <c r="Y749">
        <v>44.083331999999999</v>
      </c>
      <c r="Z749" t="s">
        <v>113</v>
      </c>
      <c r="AA749" t="s">
        <v>186</v>
      </c>
      <c r="AB749" t="s">
        <v>883</v>
      </c>
      <c r="AC749" t="s">
        <v>1225</v>
      </c>
      <c r="AD749" t="s">
        <v>1226</v>
      </c>
      <c r="AE749" t="s">
        <v>1227</v>
      </c>
      <c r="AH749" t="s">
        <v>65</v>
      </c>
      <c r="AI749" t="s">
        <v>1228</v>
      </c>
      <c r="AJ749">
        <v>1940</v>
      </c>
      <c r="AK749" t="s">
        <v>1229</v>
      </c>
      <c r="AM749" t="s">
        <v>1230</v>
      </c>
      <c r="AN749" t="s">
        <v>94</v>
      </c>
      <c r="AO749" t="s">
        <v>106</v>
      </c>
      <c r="AP749" t="s">
        <v>95</v>
      </c>
      <c r="AQ749" t="s">
        <v>1231</v>
      </c>
      <c r="AR749" t="s">
        <v>70</v>
      </c>
      <c r="AS749" t="s">
        <v>270</v>
      </c>
      <c r="AT749" t="s">
        <v>71</v>
      </c>
      <c r="AW749" t="s">
        <v>72</v>
      </c>
      <c r="AX749">
        <v>407</v>
      </c>
      <c r="AY749" t="s">
        <v>71</v>
      </c>
      <c r="AZ749">
        <v>73.17</v>
      </c>
      <c r="BA749">
        <v>44.64</v>
      </c>
      <c r="BB749" t="s">
        <v>73</v>
      </c>
    </row>
    <row r="750" spans="1:54" x14ac:dyDescent="0.4">
      <c r="A750">
        <v>842090</v>
      </c>
      <c r="D750" t="s">
        <v>54</v>
      </c>
      <c r="G750">
        <v>1</v>
      </c>
      <c r="H750" t="s">
        <v>56</v>
      </c>
      <c r="I750" t="s">
        <v>57</v>
      </c>
      <c r="K750" t="s">
        <v>1223</v>
      </c>
      <c r="L750" t="s">
        <v>1224</v>
      </c>
      <c r="M750" t="s">
        <v>59</v>
      </c>
      <c r="P750" t="s">
        <v>82</v>
      </c>
      <c r="R750" t="s">
        <v>84</v>
      </c>
      <c r="S750" t="s">
        <v>61</v>
      </c>
      <c r="T750">
        <v>251.90199999999999</v>
      </c>
      <c r="U750">
        <v>251.2</v>
      </c>
      <c r="V750">
        <f>(T750+U750)/2</f>
        <v>251.55099999999999</v>
      </c>
      <c r="W750">
        <f>T750-U750</f>
        <v>0.70199999999999818</v>
      </c>
      <c r="X750">
        <v>88.883330999999998</v>
      </c>
      <c r="Y750">
        <v>44.083331999999999</v>
      </c>
      <c r="Z750" t="s">
        <v>113</v>
      </c>
      <c r="AA750" t="s">
        <v>186</v>
      </c>
      <c r="AB750" t="s">
        <v>883</v>
      </c>
      <c r="AC750" t="s">
        <v>1225</v>
      </c>
      <c r="AD750" t="s">
        <v>1226</v>
      </c>
      <c r="AE750" t="s">
        <v>1227</v>
      </c>
      <c r="AH750" t="s">
        <v>65</v>
      </c>
      <c r="AI750" t="s">
        <v>1228</v>
      </c>
      <c r="AJ750">
        <v>1940</v>
      </c>
      <c r="AK750" t="s">
        <v>1229</v>
      </c>
      <c r="AM750" t="s">
        <v>1230</v>
      </c>
      <c r="AN750" t="s">
        <v>94</v>
      </c>
      <c r="AO750" t="s">
        <v>106</v>
      </c>
      <c r="AP750" t="s">
        <v>95</v>
      </c>
      <c r="AQ750" t="s">
        <v>1231</v>
      </c>
      <c r="AR750" t="s">
        <v>70</v>
      </c>
      <c r="AS750" t="s">
        <v>270</v>
      </c>
      <c r="AT750" t="s">
        <v>71</v>
      </c>
      <c r="AW750" t="s">
        <v>72</v>
      </c>
      <c r="AX750">
        <v>407</v>
      </c>
      <c r="AY750" t="s">
        <v>71</v>
      </c>
      <c r="AZ750">
        <v>73.17</v>
      </c>
      <c r="BA750">
        <v>44.64</v>
      </c>
      <c r="BB750" t="s">
        <v>73</v>
      </c>
    </row>
    <row r="751" spans="1:54" x14ac:dyDescent="0.4">
      <c r="A751">
        <v>842090</v>
      </c>
      <c r="D751" t="s">
        <v>54</v>
      </c>
      <c r="G751">
        <v>1</v>
      </c>
      <c r="H751" t="s">
        <v>56</v>
      </c>
      <c r="I751" t="s">
        <v>57</v>
      </c>
      <c r="K751" t="s">
        <v>1223</v>
      </c>
      <c r="L751" t="s">
        <v>1224</v>
      </c>
      <c r="M751" t="s">
        <v>59</v>
      </c>
      <c r="P751" t="s">
        <v>82</v>
      </c>
      <c r="R751" t="s">
        <v>84</v>
      </c>
      <c r="S751" t="s">
        <v>61</v>
      </c>
      <c r="T751">
        <v>251.90199999999999</v>
      </c>
      <c r="U751">
        <v>251.2</v>
      </c>
      <c r="V751">
        <f>(T751+U751)/2</f>
        <v>251.55099999999999</v>
      </c>
      <c r="W751">
        <f>T751-U751</f>
        <v>0.70199999999999818</v>
      </c>
      <c r="X751">
        <v>88.883330999999998</v>
      </c>
      <c r="Y751">
        <v>44.083331999999999</v>
      </c>
      <c r="Z751" t="s">
        <v>113</v>
      </c>
      <c r="AA751" t="s">
        <v>186</v>
      </c>
      <c r="AB751" t="s">
        <v>883</v>
      </c>
      <c r="AC751" t="s">
        <v>1225</v>
      </c>
      <c r="AD751" t="s">
        <v>1226</v>
      </c>
      <c r="AE751" t="s">
        <v>1227</v>
      </c>
      <c r="AH751" t="s">
        <v>65</v>
      </c>
      <c r="AI751" t="s">
        <v>1228</v>
      </c>
      <c r="AJ751">
        <v>1940</v>
      </c>
      <c r="AK751" t="s">
        <v>1229</v>
      </c>
      <c r="AM751" t="s">
        <v>1230</v>
      </c>
      <c r="AN751" t="s">
        <v>94</v>
      </c>
      <c r="AO751" t="s">
        <v>106</v>
      </c>
      <c r="AP751" t="s">
        <v>95</v>
      </c>
      <c r="AQ751" t="s">
        <v>1231</v>
      </c>
      <c r="AR751" t="s">
        <v>70</v>
      </c>
      <c r="AS751" t="s">
        <v>270</v>
      </c>
      <c r="AT751" t="s">
        <v>71</v>
      </c>
      <c r="AW751" t="s">
        <v>72</v>
      </c>
      <c r="AX751">
        <v>407</v>
      </c>
      <c r="AY751" t="s">
        <v>71</v>
      </c>
      <c r="AZ751">
        <v>73.17</v>
      </c>
      <c r="BA751">
        <v>44.64</v>
      </c>
      <c r="BB751" t="s">
        <v>73</v>
      </c>
    </row>
    <row r="752" spans="1:54" x14ac:dyDescent="0.4">
      <c r="A752">
        <v>842964</v>
      </c>
      <c r="D752" t="s">
        <v>54</v>
      </c>
      <c r="G752">
        <v>1</v>
      </c>
      <c r="H752" t="s">
        <v>56</v>
      </c>
      <c r="I752" t="s">
        <v>57</v>
      </c>
      <c r="K752" t="s">
        <v>80</v>
      </c>
      <c r="L752" t="s">
        <v>788</v>
      </c>
      <c r="M752" t="s">
        <v>59</v>
      </c>
      <c r="P752" t="s">
        <v>82</v>
      </c>
      <c r="R752" t="s">
        <v>84</v>
      </c>
      <c r="S752" t="s">
        <v>61</v>
      </c>
      <c r="T752">
        <v>251.90199999999999</v>
      </c>
      <c r="U752">
        <v>251.2</v>
      </c>
      <c r="V752">
        <f>(T752+U752)/2</f>
        <v>251.55099999999999</v>
      </c>
      <c r="W752">
        <f>T752-U752</f>
        <v>0.70199999999999818</v>
      </c>
      <c r="X752">
        <v>45.150002000000001</v>
      </c>
      <c r="Y752">
        <v>57.125</v>
      </c>
      <c r="Z752" t="s">
        <v>99</v>
      </c>
      <c r="AA752" t="s">
        <v>139</v>
      </c>
      <c r="AB752" t="s">
        <v>790</v>
      </c>
      <c r="AC752" t="s">
        <v>791</v>
      </c>
      <c r="AH752" t="s">
        <v>65</v>
      </c>
      <c r="AI752" t="s">
        <v>207</v>
      </c>
      <c r="AJ752">
        <v>1974</v>
      </c>
      <c r="AK752" t="s">
        <v>1237</v>
      </c>
      <c r="AM752" t="s">
        <v>1238</v>
      </c>
      <c r="AN752" t="s">
        <v>94</v>
      </c>
      <c r="AO752" t="s">
        <v>68</v>
      </c>
      <c r="AP752" t="s">
        <v>95</v>
      </c>
      <c r="AQ752" t="s">
        <v>1239</v>
      </c>
      <c r="AR752" t="s">
        <v>70</v>
      </c>
      <c r="AS752">
        <v>302</v>
      </c>
      <c r="AT752" t="s">
        <v>71</v>
      </c>
      <c r="AU752">
        <v>50.49</v>
      </c>
      <c r="AV752">
        <v>40.49</v>
      </c>
      <c r="AW752" t="s">
        <v>72</v>
      </c>
      <c r="AX752">
        <v>301</v>
      </c>
      <c r="AY752" t="s">
        <v>71</v>
      </c>
      <c r="AZ752">
        <v>37.76</v>
      </c>
      <c r="BA752">
        <v>31.53</v>
      </c>
      <c r="BB752" t="s">
        <v>73</v>
      </c>
    </row>
    <row r="753" spans="1:54" x14ac:dyDescent="0.4">
      <c r="A753">
        <v>842965</v>
      </c>
      <c r="D753" t="s">
        <v>54</v>
      </c>
      <c r="G753">
        <v>1</v>
      </c>
      <c r="H753" t="s">
        <v>56</v>
      </c>
      <c r="I753" t="s">
        <v>57</v>
      </c>
      <c r="K753" t="s">
        <v>80</v>
      </c>
      <c r="L753" t="s">
        <v>788</v>
      </c>
      <c r="M753" t="s">
        <v>59</v>
      </c>
      <c r="P753" t="s">
        <v>82</v>
      </c>
      <c r="R753" t="s">
        <v>84</v>
      </c>
      <c r="S753" t="s">
        <v>61</v>
      </c>
      <c r="T753">
        <v>251.90199999999999</v>
      </c>
      <c r="U753">
        <v>251.2</v>
      </c>
      <c r="V753">
        <f>(T753+U753)/2</f>
        <v>251.55099999999999</v>
      </c>
      <c r="W753">
        <f>T753-U753</f>
        <v>0.70199999999999818</v>
      </c>
      <c r="X753">
        <v>45.150002000000001</v>
      </c>
      <c r="Y753">
        <v>57.125</v>
      </c>
      <c r="Z753" t="s">
        <v>99</v>
      </c>
      <c r="AA753" t="s">
        <v>139</v>
      </c>
      <c r="AB753" t="s">
        <v>790</v>
      </c>
      <c r="AC753" t="s">
        <v>791</v>
      </c>
      <c r="AH753" t="s">
        <v>65</v>
      </c>
      <c r="AI753" t="s">
        <v>207</v>
      </c>
      <c r="AJ753">
        <v>1974</v>
      </c>
      <c r="AK753" t="s">
        <v>1240</v>
      </c>
      <c r="AM753" t="s">
        <v>1241</v>
      </c>
      <c r="AN753" t="s">
        <v>94</v>
      </c>
      <c r="AO753" t="s">
        <v>68</v>
      </c>
      <c r="AP753" t="s">
        <v>95</v>
      </c>
      <c r="AQ753" t="s">
        <v>1242</v>
      </c>
      <c r="AR753" t="s">
        <v>70</v>
      </c>
      <c r="AS753">
        <v>302</v>
      </c>
      <c r="AT753" t="s">
        <v>71</v>
      </c>
      <c r="AU753">
        <v>50.49</v>
      </c>
      <c r="AV753">
        <v>40.49</v>
      </c>
      <c r="AW753" t="s">
        <v>72</v>
      </c>
      <c r="AX753">
        <v>301</v>
      </c>
      <c r="AY753" t="s">
        <v>71</v>
      </c>
      <c r="AZ753">
        <v>37.76</v>
      </c>
      <c r="BA753">
        <v>31.53</v>
      </c>
      <c r="BB753" t="s">
        <v>73</v>
      </c>
    </row>
    <row r="754" spans="1:54" x14ac:dyDescent="0.4">
      <c r="A754">
        <v>842974</v>
      </c>
      <c r="D754" t="s">
        <v>54</v>
      </c>
      <c r="G754">
        <v>1</v>
      </c>
      <c r="H754" t="s">
        <v>56</v>
      </c>
      <c r="I754" t="s">
        <v>57</v>
      </c>
      <c r="K754" t="s">
        <v>80</v>
      </c>
      <c r="L754" t="s">
        <v>788</v>
      </c>
      <c r="M754" t="s">
        <v>59</v>
      </c>
      <c r="P754" t="s">
        <v>82</v>
      </c>
      <c r="R754" t="s">
        <v>84</v>
      </c>
      <c r="S754" t="s">
        <v>61</v>
      </c>
      <c r="T754">
        <v>251.90199999999999</v>
      </c>
      <c r="U754">
        <v>251.2</v>
      </c>
      <c r="V754">
        <f>(T754+U754)/2</f>
        <v>251.55099999999999</v>
      </c>
      <c r="W754">
        <f>T754-U754</f>
        <v>0.70199999999999818</v>
      </c>
      <c r="X754">
        <v>47.961109</v>
      </c>
      <c r="Y754">
        <v>59.140555999999997</v>
      </c>
      <c r="Z754" t="s">
        <v>99</v>
      </c>
      <c r="AA754" t="s">
        <v>139</v>
      </c>
      <c r="AB754" t="s">
        <v>249</v>
      </c>
      <c r="AC754" t="s">
        <v>1243</v>
      </c>
      <c r="AH754" t="s">
        <v>65</v>
      </c>
      <c r="AI754" t="s">
        <v>207</v>
      </c>
      <c r="AJ754">
        <v>1974</v>
      </c>
      <c r="AK754" t="s">
        <v>1244</v>
      </c>
      <c r="AM754" t="s">
        <v>1245</v>
      </c>
      <c r="AN754" t="s">
        <v>94</v>
      </c>
      <c r="AO754" t="s">
        <v>68</v>
      </c>
      <c r="AP754" t="s">
        <v>95</v>
      </c>
      <c r="AQ754" t="s">
        <v>1246</v>
      </c>
      <c r="AR754" t="s">
        <v>70</v>
      </c>
      <c r="AS754">
        <v>302</v>
      </c>
      <c r="AT754" t="s">
        <v>71</v>
      </c>
      <c r="AU754">
        <v>50.89</v>
      </c>
      <c r="AV754">
        <v>42.97</v>
      </c>
      <c r="AW754" t="s">
        <v>72</v>
      </c>
      <c r="AX754">
        <v>301</v>
      </c>
      <c r="AY754" t="s">
        <v>71</v>
      </c>
      <c r="AZ754">
        <v>37.450000000000003</v>
      </c>
      <c r="BA754">
        <v>34.020000000000003</v>
      </c>
      <c r="BB754" t="s">
        <v>73</v>
      </c>
    </row>
    <row r="755" spans="1:54" x14ac:dyDescent="0.4">
      <c r="A755">
        <v>842975</v>
      </c>
      <c r="D755" t="s">
        <v>54</v>
      </c>
      <c r="E755" t="s">
        <v>55</v>
      </c>
      <c r="G755">
        <v>1</v>
      </c>
      <c r="H755" t="s">
        <v>56</v>
      </c>
      <c r="I755" t="s">
        <v>57</v>
      </c>
      <c r="K755" t="s">
        <v>80</v>
      </c>
      <c r="L755" t="s">
        <v>788</v>
      </c>
      <c r="M755" t="s">
        <v>59</v>
      </c>
      <c r="P755" t="s">
        <v>82</v>
      </c>
      <c r="R755" t="s">
        <v>84</v>
      </c>
      <c r="S755" t="s">
        <v>61</v>
      </c>
      <c r="T755">
        <v>251.90199999999999</v>
      </c>
      <c r="U755">
        <v>251.2</v>
      </c>
      <c r="V755">
        <f>(T755+U755)/2</f>
        <v>251.55099999999999</v>
      </c>
      <c r="W755">
        <f>T755-U755</f>
        <v>0.70199999999999818</v>
      </c>
      <c r="X755">
        <v>45.906387000000002</v>
      </c>
      <c r="Y755">
        <v>57.884166999999998</v>
      </c>
      <c r="Z755" t="s">
        <v>99</v>
      </c>
      <c r="AA755" t="s">
        <v>139</v>
      </c>
      <c r="AB755" t="s">
        <v>297</v>
      </c>
      <c r="AC755" t="s">
        <v>298</v>
      </c>
      <c r="AD755" t="s">
        <v>299</v>
      </c>
      <c r="AH755" t="s">
        <v>65</v>
      </c>
      <c r="AI755" t="s">
        <v>207</v>
      </c>
      <c r="AJ755">
        <v>2008</v>
      </c>
      <c r="AK755" t="s">
        <v>301</v>
      </c>
      <c r="AM755" t="s">
        <v>302</v>
      </c>
      <c r="AN755" t="s">
        <v>121</v>
      </c>
      <c r="AO755" t="s">
        <v>68</v>
      </c>
      <c r="AP755" t="s">
        <v>69</v>
      </c>
      <c r="AQ755" t="s">
        <v>303</v>
      </c>
      <c r="AR755" t="s">
        <v>70</v>
      </c>
      <c r="AS755">
        <v>302</v>
      </c>
      <c r="AT755" t="s">
        <v>71</v>
      </c>
      <c r="AU755">
        <v>50.48</v>
      </c>
      <c r="AV755">
        <v>41.35</v>
      </c>
      <c r="AW755" t="s">
        <v>72</v>
      </c>
      <c r="AX755">
        <v>301</v>
      </c>
      <c r="AY755" t="s">
        <v>71</v>
      </c>
      <c r="AZ755">
        <v>37.53</v>
      </c>
      <c r="BA755">
        <v>32.369999999999997</v>
      </c>
      <c r="BB755" t="s">
        <v>73</v>
      </c>
    </row>
    <row r="756" spans="1:54" x14ac:dyDescent="0.4">
      <c r="A756">
        <v>846843</v>
      </c>
      <c r="D756" t="s">
        <v>54</v>
      </c>
      <c r="G756">
        <v>1</v>
      </c>
      <c r="H756" t="s">
        <v>228</v>
      </c>
      <c r="I756" t="s">
        <v>57</v>
      </c>
      <c r="K756" t="s">
        <v>1185</v>
      </c>
      <c r="L756" t="s">
        <v>1186</v>
      </c>
      <c r="M756" t="s">
        <v>59</v>
      </c>
      <c r="N756" t="s">
        <v>97</v>
      </c>
      <c r="O756" t="s">
        <v>76</v>
      </c>
      <c r="P756" t="s">
        <v>82</v>
      </c>
      <c r="R756" t="s">
        <v>84</v>
      </c>
      <c r="S756" t="s">
        <v>61</v>
      </c>
      <c r="T756">
        <v>251.90199999999999</v>
      </c>
      <c r="U756">
        <v>251.2</v>
      </c>
      <c r="V756">
        <f>(T756+U756)/2</f>
        <v>251.55099999999999</v>
      </c>
      <c r="W756">
        <f>T756-U756</f>
        <v>0.70199999999999818</v>
      </c>
      <c r="X756">
        <v>55.724997999999999</v>
      </c>
      <c r="Y756">
        <v>51.344444000000003</v>
      </c>
      <c r="Z756" t="s">
        <v>239</v>
      </c>
      <c r="AA756" t="s">
        <v>139</v>
      </c>
      <c r="AB756" t="s">
        <v>316</v>
      </c>
      <c r="AC756" t="s">
        <v>317</v>
      </c>
      <c r="AD756" t="s">
        <v>318</v>
      </c>
      <c r="AH756" t="s">
        <v>11</v>
      </c>
      <c r="AI756" t="s">
        <v>716</v>
      </c>
      <c r="AJ756">
        <v>2003</v>
      </c>
      <c r="AK756" t="s">
        <v>319</v>
      </c>
      <c r="AM756" t="s">
        <v>320</v>
      </c>
      <c r="AN756" t="s">
        <v>94</v>
      </c>
      <c r="AO756" t="s">
        <v>68</v>
      </c>
      <c r="AP756" t="s">
        <v>95</v>
      </c>
      <c r="AQ756" t="s">
        <v>321</v>
      </c>
      <c r="AR756" t="s">
        <v>70</v>
      </c>
      <c r="AS756">
        <v>302</v>
      </c>
      <c r="AT756" t="s">
        <v>71</v>
      </c>
      <c r="AU756">
        <v>61.14</v>
      </c>
      <c r="AV756">
        <v>38.51</v>
      </c>
      <c r="AW756" t="s">
        <v>72</v>
      </c>
      <c r="AX756">
        <v>301</v>
      </c>
      <c r="AY756" t="s">
        <v>71</v>
      </c>
      <c r="AZ756">
        <v>47.67</v>
      </c>
      <c r="BA756">
        <v>31.49</v>
      </c>
      <c r="BB756" t="s">
        <v>73</v>
      </c>
    </row>
    <row r="757" spans="1:54" x14ac:dyDescent="0.4">
      <c r="A757">
        <v>847026</v>
      </c>
      <c r="D757" t="s">
        <v>54</v>
      </c>
      <c r="G757">
        <v>1</v>
      </c>
      <c r="H757" t="s">
        <v>56</v>
      </c>
      <c r="I757" t="s">
        <v>57</v>
      </c>
      <c r="K757" t="s">
        <v>102</v>
      </c>
      <c r="L757" t="s">
        <v>1277</v>
      </c>
      <c r="M757" t="s">
        <v>59</v>
      </c>
      <c r="P757" t="s">
        <v>82</v>
      </c>
      <c r="R757" t="s">
        <v>84</v>
      </c>
      <c r="S757" t="s">
        <v>61</v>
      </c>
      <c r="T757">
        <v>251.90199999999999</v>
      </c>
      <c r="U757">
        <v>251.2</v>
      </c>
      <c r="V757">
        <f>(T757+U757)/2</f>
        <v>251.55099999999999</v>
      </c>
      <c r="W757">
        <f>T757-U757</f>
        <v>0.70199999999999818</v>
      </c>
      <c r="X757">
        <v>45.075001</v>
      </c>
      <c r="Y757">
        <v>57.424999</v>
      </c>
      <c r="Z757" t="s">
        <v>99</v>
      </c>
      <c r="AA757" t="s">
        <v>139</v>
      </c>
      <c r="AB757" t="s">
        <v>790</v>
      </c>
      <c r="AC757" t="s">
        <v>1278</v>
      </c>
      <c r="AD757" t="s">
        <v>1279</v>
      </c>
      <c r="AH757" t="s">
        <v>65</v>
      </c>
      <c r="AI757" t="s">
        <v>1274</v>
      </c>
      <c r="AJ757">
        <v>1978</v>
      </c>
      <c r="AK757" t="s">
        <v>1280</v>
      </c>
      <c r="AM757" t="s">
        <v>1241</v>
      </c>
      <c r="AN757" t="s">
        <v>94</v>
      </c>
      <c r="AO757" t="s">
        <v>68</v>
      </c>
      <c r="AP757" t="s">
        <v>95</v>
      </c>
      <c r="AQ757" t="s">
        <v>1281</v>
      </c>
      <c r="AR757" t="s">
        <v>70</v>
      </c>
      <c r="AS757">
        <v>302</v>
      </c>
      <c r="AT757" t="s">
        <v>71</v>
      </c>
      <c r="AU757">
        <v>50.26</v>
      </c>
      <c r="AV757">
        <v>40.729999999999997</v>
      </c>
      <c r="AW757" t="s">
        <v>72</v>
      </c>
      <c r="AX757">
        <v>301</v>
      </c>
      <c r="AY757" t="s">
        <v>71</v>
      </c>
      <c r="AZ757">
        <v>37.49</v>
      </c>
      <c r="BA757">
        <v>31.73</v>
      </c>
      <c r="BB757" t="s">
        <v>73</v>
      </c>
    </row>
    <row r="758" spans="1:54" x14ac:dyDescent="0.4">
      <c r="A758">
        <v>847027</v>
      </c>
      <c r="D758" t="s">
        <v>54</v>
      </c>
      <c r="G758">
        <v>2</v>
      </c>
      <c r="H758" t="s">
        <v>228</v>
      </c>
      <c r="I758" t="s">
        <v>57</v>
      </c>
      <c r="K758" t="s">
        <v>1185</v>
      </c>
      <c r="L758" t="s">
        <v>1186</v>
      </c>
      <c r="M758" t="s">
        <v>59</v>
      </c>
      <c r="N758" t="s">
        <v>97</v>
      </c>
      <c r="O758" t="s">
        <v>76</v>
      </c>
      <c r="P758" t="s">
        <v>82</v>
      </c>
      <c r="R758" t="s">
        <v>84</v>
      </c>
      <c r="S758" t="s">
        <v>61</v>
      </c>
      <c r="T758">
        <v>251.90199999999999</v>
      </c>
      <c r="U758">
        <v>251.2</v>
      </c>
      <c r="V758">
        <f>(T758+U758)/2</f>
        <v>251.55099999999999</v>
      </c>
      <c r="W758">
        <f>T758-U758</f>
        <v>0.70199999999999818</v>
      </c>
      <c r="X758">
        <v>45.075001</v>
      </c>
      <c r="Y758">
        <v>57.424999</v>
      </c>
      <c r="Z758" t="s">
        <v>99</v>
      </c>
      <c r="AA758" t="s">
        <v>139</v>
      </c>
      <c r="AB758" t="s">
        <v>790</v>
      </c>
      <c r="AC758" t="s">
        <v>1278</v>
      </c>
      <c r="AD758" t="s">
        <v>1279</v>
      </c>
      <c r="AH758" t="s">
        <v>11</v>
      </c>
      <c r="AI758" t="s">
        <v>300</v>
      </c>
      <c r="AJ758">
        <v>2008</v>
      </c>
      <c r="AK758" t="s">
        <v>1280</v>
      </c>
      <c r="AM758" t="s">
        <v>1241</v>
      </c>
      <c r="AN758" t="s">
        <v>94</v>
      </c>
      <c r="AO758" t="s">
        <v>68</v>
      </c>
      <c r="AP758" t="s">
        <v>95</v>
      </c>
      <c r="AQ758" t="s">
        <v>1281</v>
      </c>
      <c r="AR758" t="s">
        <v>70</v>
      </c>
      <c r="AS758">
        <v>302</v>
      </c>
      <c r="AT758" t="s">
        <v>71</v>
      </c>
      <c r="AU758">
        <v>50.26</v>
      </c>
      <c r="AV758">
        <v>40.729999999999997</v>
      </c>
      <c r="AW758" t="s">
        <v>72</v>
      </c>
      <c r="AX758">
        <v>301</v>
      </c>
      <c r="AY758" t="s">
        <v>71</v>
      </c>
      <c r="AZ758">
        <v>37.49</v>
      </c>
      <c r="BA758">
        <v>31.73</v>
      </c>
      <c r="BB758" t="s">
        <v>73</v>
      </c>
    </row>
    <row r="759" spans="1:54" x14ac:dyDescent="0.4">
      <c r="A759">
        <v>902092</v>
      </c>
      <c r="D759" t="s">
        <v>54</v>
      </c>
      <c r="E759" t="s">
        <v>150</v>
      </c>
      <c r="G759">
        <v>1</v>
      </c>
      <c r="H759" t="s">
        <v>56</v>
      </c>
      <c r="I759" t="s">
        <v>57</v>
      </c>
      <c r="K759" t="s">
        <v>102</v>
      </c>
      <c r="L759" t="s">
        <v>1431</v>
      </c>
      <c r="M759" t="s">
        <v>59</v>
      </c>
      <c r="P759" t="s">
        <v>82</v>
      </c>
      <c r="R759" t="s">
        <v>84</v>
      </c>
      <c r="S759" t="s">
        <v>61</v>
      </c>
      <c r="T759">
        <v>251.90199999999999</v>
      </c>
      <c r="U759">
        <v>251.2</v>
      </c>
      <c r="V759">
        <f>(T759+U759)/2</f>
        <v>251.55099999999999</v>
      </c>
      <c r="W759">
        <f>T759-U759</f>
        <v>0.70199999999999818</v>
      </c>
      <c r="X759">
        <v>88.883330999999998</v>
      </c>
      <c r="Y759">
        <v>44.083331999999999</v>
      </c>
      <c r="Z759" t="s">
        <v>113</v>
      </c>
      <c r="AA759" t="s">
        <v>186</v>
      </c>
      <c r="AB759" t="s">
        <v>883</v>
      </c>
      <c r="AD759" t="s">
        <v>1226</v>
      </c>
      <c r="AE759" t="s">
        <v>1227</v>
      </c>
      <c r="AG759" t="s">
        <v>1432</v>
      </c>
      <c r="AH759" t="s">
        <v>65</v>
      </c>
      <c r="AI759" t="s">
        <v>333</v>
      </c>
      <c r="AJ759">
        <v>1973</v>
      </c>
      <c r="AK759" t="s">
        <v>1433</v>
      </c>
      <c r="AM759" t="s">
        <v>1434</v>
      </c>
      <c r="AN759" t="s">
        <v>94</v>
      </c>
      <c r="AO759" t="s">
        <v>106</v>
      </c>
      <c r="AP759" t="s">
        <v>95</v>
      </c>
      <c r="AQ759" t="s">
        <v>1435</v>
      </c>
      <c r="AR759" t="s">
        <v>70</v>
      </c>
      <c r="AS759" t="s">
        <v>270</v>
      </c>
      <c r="AT759" t="s">
        <v>71</v>
      </c>
      <c r="AW759" t="s">
        <v>72</v>
      </c>
      <c r="AX759">
        <v>407</v>
      </c>
      <c r="AY759" t="s">
        <v>71</v>
      </c>
      <c r="AZ759">
        <v>73.17</v>
      </c>
      <c r="BA759">
        <v>44.64</v>
      </c>
      <c r="BB759" t="s">
        <v>73</v>
      </c>
    </row>
    <row r="760" spans="1:54" x14ac:dyDescent="0.4">
      <c r="A760">
        <v>922705</v>
      </c>
      <c r="D760" t="s">
        <v>54</v>
      </c>
      <c r="G760">
        <v>1</v>
      </c>
      <c r="H760" t="s">
        <v>56</v>
      </c>
      <c r="I760" t="s">
        <v>57</v>
      </c>
      <c r="K760" t="s">
        <v>724</v>
      </c>
      <c r="L760" t="s">
        <v>1518</v>
      </c>
      <c r="M760" t="s">
        <v>59</v>
      </c>
      <c r="P760" t="s">
        <v>82</v>
      </c>
      <c r="R760" t="s">
        <v>84</v>
      </c>
      <c r="S760" t="s">
        <v>61</v>
      </c>
      <c r="T760">
        <v>251.90199999999999</v>
      </c>
      <c r="U760">
        <v>251.2</v>
      </c>
      <c r="V760">
        <f>(T760+U760)/2</f>
        <v>251.55099999999999</v>
      </c>
      <c r="W760">
        <f>T760-U760</f>
        <v>0.70199999999999818</v>
      </c>
      <c r="X760">
        <v>29.133333</v>
      </c>
      <c r="Y760">
        <v>-28.283332999999999</v>
      </c>
      <c r="Z760" t="s">
        <v>99</v>
      </c>
      <c r="AA760" t="s">
        <v>86</v>
      </c>
      <c r="AB760" t="s">
        <v>546</v>
      </c>
      <c r="AD760" t="s">
        <v>89</v>
      </c>
      <c r="AE760" t="s">
        <v>90</v>
      </c>
      <c r="AG760" t="s">
        <v>891</v>
      </c>
      <c r="AH760" t="s">
        <v>65</v>
      </c>
      <c r="AI760" t="s">
        <v>1519</v>
      </c>
      <c r="AJ760">
        <v>2004</v>
      </c>
      <c r="AK760" t="s">
        <v>1538</v>
      </c>
      <c r="AM760" t="s">
        <v>1539</v>
      </c>
      <c r="AN760" t="s">
        <v>94</v>
      </c>
      <c r="AO760" t="s">
        <v>106</v>
      </c>
      <c r="AP760" t="s">
        <v>69</v>
      </c>
      <c r="AQ760" t="s">
        <v>1540</v>
      </c>
      <c r="AR760" t="s">
        <v>70</v>
      </c>
      <c r="AS760">
        <v>701</v>
      </c>
      <c r="AT760" t="s">
        <v>71</v>
      </c>
      <c r="AU760">
        <v>-5.96</v>
      </c>
      <c r="AV760">
        <v>-51.32</v>
      </c>
      <c r="AW760" t="s">
        <v>72</v>
      </c>
      <c r="AX760">
        <v>701</v>
      </c>
      <c r="AY760" t="s">
        <v>71</v>
      </c>
      <c r="AZ760">
        <v>-13.41</v>
      </c>
      <c r="BA760">
        <v>-64.680000000000007</v>
      </c>
      <c r="BB760" t="s">
        <v>73</v>
      </c>
    </row>
    <row r="761" spans="1:54" x14ac:dyDescent="0.4">
      <c r="A761">
        <v>923197</v>
      </c>
      <c r="D761" t="s">
        <v>54</v>
      </c>
      <c r="E761" t="s">
        <v>104</v>
      </c>
      <c r="F761" t="s">
        <v>352</v>
      </c>
      <c r="G761">
        <v>1</v>
      </c>
      <c r="H761" t="s">
        <v>56</v>
      </c>
      <c r="I761" t="s">
        <v>57</v>
      </c>
      <c r="K761" t="s">
        <v>80</v>
      </c>
      <c r="L761" t="s">
        <v>1547</v>
      </c>
      <c r="M761" t="s">
        <v>59</v>
      </c>
      <c r="P761" t="s">
        <v>82</v>
      </c>
      <c r="R761" t="s">
        <v>84</v>
      </c>
      <c r="S761" t="s">
        <v>61</v>
      </c>
      <c r="T761">
        <v>251.90199999999999</v>
      </c>
      <c r="U761">
        <v>251.2</v>
      </c>
      <c r="V761">
        <f>(T761+U761)/2</f>
        <v>251.55099999999999</v>
      </c>
      <c r="W761">
        <f>T761-U761</f>
        <v>0.70199999999999818</v>
      </c>
      <c r="X761">
        <v>24.950001</v>
      </c>
      <c r="Y761">
        <v>-31.183332</v>
      </c>
      <c r="Z761" t="s">
        <v>99</v>
      </c>
      <c r="AA761" t="s">
        <v>86</v>
      </c>
      <c r="AB761" t="s">
        <v>274</v>
      </c>
      <c r="AC761" t="s">
        <v>1548</v>
      </c>
      <c r="AD761" t="s">
        <v>89</v>
      </c>
      <c r="AE761" t="s">
        <v>90</v>
      </c>
      <c r="AG761" t="s">
        <v>891</v>
      </c>
      <c r="AH761" t="s">
        <v>65</v>
      </c>
      <c r="AI761" t="s">
        <v>498</v>
      </c>
      <c r="AJ761">
        <v>2010</v>
      </c>
      <c r="AK761" t="s">
        <v>1549</v>
      </c>
      <c r="AN761" t="s">
        <v>94</v>
      </c>
      <c r="AO761" t="s">
        <v>106</v>
      </c>
      <c r="AP761" t="s">
        <v>69</v>
      </c>
      <c r="AQ761" t="s">
        <v>1550</v>
      </c>
      <c r="AR761" t="s">
        <v>70</v>
      </c>
      <c r="AS761">
        <v>701</v>
      </c>
      <c r="AT761" t="s">
        <v>71</v>
      </c>
      <c r="AU761">
        <v>-13.06</v>
      </c>
      <c r="AV761">
        <v>-50.13</v>
      </c>
      <c r="AW761" t="s">
        <v>72</v>
      </c>
      <c r="AX761">
        <v>701</v>
      </c>
      <c r="AY761" t="s">
        <v>71</v>
      </c>
      <c r="AZ761">
        <v>-23.42</v>
      </c>
      <c r="BA761">
        <v>-63.17</v>
      </c>
      <c r="BB761" t="s">
        <v>73</v>
      </c>
    </row>
    <row r="762" spans="1:54" x14ac:dyDescent="0.4">
      <c r="A762">
        <v>979958</v>
      </c>
      <c r="D762" t="s">
        <v>54</v>
      </c>
      <c r="E762" t="s">
        <v>104</v>
      </c>
      <c r="G762">
        <v>1</v>
      </c>
      <c r="H762" t="s">
        <v>56</v>
      </c>
      <c r="I762" t="s">
        <v>57</v>
      </c>
      <c r="K762" t="s">
        <v>102</v>
      </c>
      <c r="L762" t="s">
        <v>1639</v>
      </c>
      <c r="M762" t="s">
        <v>59</v>
      </c>
      <c r="P762" t="s">
        <v>82</v>
      </c>
      <c r="R762" t="s">
        <v>84</v>
      </c>
      <c r="S762" t="s">
        <v>61</v>
      </c>
      <c r="T762">
        <v>251.90199999999999</v>
      </c>
      <c r="U762">
        <v>251.2</v>
      </c>
      <c r="V762">
        <f>(T762+U762)/2</f>
        <v>251.55099999999999</v>
      </c>
      <c r="W762">
        <f>T762-U762</f>
        <v>0.70199999999999818</v>
      </c>
      <c r="X762">
        <v>147.30360400000001</v>
      </c>
      <c r="Y762">
        <v>-42.880553999999997</v>
      </c>
      <c r="Z762" t="s">
        <v>180</v>
      </c>
      <c r="AA762" t="s">
        <v>726</v>
      </c>
      <c r="AB762" t="s">
        <v>1640</v>
      </c>
      <c r="AC762" t="s">
        <v>1641</v>
      </c>
      <c r="AD762" t="s">
        <v>1642</v>
      </c>
      <c r="AF762" t="s">
        <v>1643</v>
      </c>
      <c r="AH762" t="s">
        <v>65</v>
      </c>
      <c r="AI762" t="s">
        <v>1644</v>
      </c>
      <c r="AJ762">
        <v>1978</v>
      </c>
      <c r="AK762" t="s">
        <v>1645</v>
      </c>
      <c r="AM762" t="s">
        <v>1646</v>
      </c>
      <c r="AN762" t="s">
        <v>121</v>
      </c>
      <c r="AO762" t="s">
        <v>68</v>
      </c>
      <c r="AP762" t="s">
        <v>69</v>
      </c>
      <c r="AQ762" t="s">
        <v>1647</v>
      </c>
      <c r="AR762" t="s">
        <v>70</v>
      </c>
      <c r="AS762">
        <v>801</v>
      </c>
      <c r="AT762" t="s">
        <v>71</v>
      </c>
      <c r="AU762">
        <v>61.34</v>
      </c>
      <c r="AV762">
        <v>-82.36</v>
      </c>
      <c r="AW762" t="s">
        <v>72</v>
      </c>
      <c r="AX762">
        <v>801</v>
      </c>
      <c r="AY762" t="s">
        <v>71</v>
      </c>
      <c r="AZ762">
        <v>135.91999999999999</v>
      </c>
      <c r="BA762">
        <v>-76.760000000000005</v>
      </c>
      <c r="BB762" t="s">
        <v>73</v>
      </c>
    </row>
    <row r="763" spans="1:54" x14ac:dyDescent="0.4">
      <c r="A763">
        <v>979962</v>
      </c>
      <c r="D763" t="s">
        <v>54</v>
      </c>
      <c r="E763" t="s">
        <v>55</v>
      </c>
      <c r="F763" t="s">
        <v>1648</v>
      </c>
      <c r="G763">
        <v>1</v>
      </c>
      <c r="H763" t="s">
        <v>74</v>
      </c>
      <c r="I763" t="s">
        <v>57</v>
      </c>
      <c r="K763" t="s">
        <v>102</v>
      </c>
      <c r="L763" t="s">
        <v>1639</v>
      </c>
      <c r="M763" t="s">
        <v>59</v>
      </c>
      <c r="P763" t="s">
        <v>82</v>
      </c>
      <c r="R763" t="s">
        <v>84</v>
      </c>
      <c r="S763" t="s">
        <v>61</v>
      </c>
      <c r="T763">
        <v>251.90199999999999</v>
      </c>
      <c r="U763">
        <v>251.2</v>
      </c>
      <c r="V763">
        <f>(T763+U763)/2</f>
        <v>251.55099999999999</v>
      </c>
      <c r="W763">
        <f>T763-U763</f>
        <v>0.70199999999999818</v>
      </c>
      <c r="X763">
        <v>148.90167199999999</v>
      </c>
      <c r="Y763">
        <v>-23.640277999999999</v>
      </c>
      <c r="Z763" t="s">
        <v>99</v>
      </c>
      <c r="AA763" t="s">
        <v>726</v>
      </c>
      <c r="AB763" t="s">
        <v>727</v>
      </c>
      <c r="AD763" t="s">
        <v>728</v>
      </c>
      <c r="AE763" t="s">
        <v>729</v>
      </c>
      <c r="AH763" t="s">
        <v>65</v>
      </c>
      <c r="AI763" t="s">
        <v>1649</v>
      </c>
      <c r="AJ763">
        <v>1979</v>
      </c>
      <c r="AK763" t="s">
        <v>1650</v>
      </c>
      <c r="AM763" t="s">
        <v>1651</v>
      </c>
      <c r="AN763" t="s">
        <v>177</v>
      </c>
      <c r="AO763" t="s">
        <v>68</v>
      </c>
      <c r="AQ763" t="s">
        <v>1652</v>
      </c>
      <c r="AR763" t="s">
        <v>70</v>
      </c>
      <c r="AS763">
        <v>801</v>
      </c>
      <c r="AT763" t="s">
        <v>71</v>
      </c>
      <c r="AU763">
        <v>128.13999999999999</v>
      </c>
      <c r="AV763">
        <v>-68.97</v>
      </c>
      <c r="AW763" t="s">
        <v>72</v>
      </c>
      <c r="AX763">
        <v>801</v>
      </c>
      <c r="AY763" t="s">
        <v>71</v>
      </c>
      <c r="AZ763">
        <v>139.55000000000001</v>
      </c>
      <c r="BA763">
        <v>-57.52</v>
      </c>
      <c r="BB763" t="s">
        <v>73</v>
      </c>
    </row>
    <row r="764" spans="1:54" x14ac:dyDescent="0.4">
      <c r="A764">
        <v>979963</v>
      </c>
      <c r="D764" t="s">
        <v>108</v>
      </c>
      <c r="I764" t="s">
        <v>57</v>
      </c>
      <c r="K764" t="s">
        <v>102</v>
      </c>
      <c r="L764" t="s">
        <v>1653</v>
      </c>
      <c r="M764" t="s">
        <v>59</v>
      </c>
      <c r="P764" t="s">
        <v>82</v>
      </c>
      <c r="R764" t="s">
        <v>84</v>
      </c>
      <c r="S764" t="s">
        <v>61</v>
      </c>
      <c r="T764">
        <v>251.90199999999999</v>
      </c>
      <c r="U764">
        <v>251.2</v>
      </c>
      <c r="V764">
        <f>(T764+U764)/2</f>
        <v>251.55099999999999</v>
      </c>
      <c r="W764">
        <f>T764-U764</f>
        <v>0.70199999999999818</v>
      </c>
      <c r="X764">
        <v>148</v>
      </c>
      <c r="Y764">
        <v>-24.833331999999999</v>
      </c>
      <c r="Z764" t="s">
        <v>85</v>
      </c>
      <c r="AA764" t="s">
        <v>726</v>
      </c>
      <c r="AB764" t="s">
        <v>727</v>
      </c>
      <c r="AD764" t="s">
        <v>728</v>
      </c>
      <c r="AE764" t="s">
        <v>729</v>
      </c>
      <c r="AH764" t="s">
        <v>65</v>
      </c>
      <c r="AI764" t="s">
        <v>1649</v>
      </c>
      <c r="AJ764">
        <v>1979</v>
      </c>
      <c r="AK764" t="s">
        <v>731</v>
      </c>
      <c r="AM764" t="s">
        <v>732</v>
      </c>
      <c r="AN764" t="s">
        <v>121</v>
      </c>
      <c r="AO764" t="s">
        <v>106</v>
      </c>
      <c r="AP764" t="s">
        <v>69</v>
      </c>
      <c r="AQ764" t="s">
        <v>733</v>
      </c>
      <c r="AR764" t="s">
        <v>70</v>
      </c>
      <c r="AS764">
        <v>801</v>
      </c>
      <c r="AT764" t="s">
        <v>71</v>
      </c>
      <c r="AU764">
        <v>124.8</v>
      </c>
      <c r="AV764">
        <v>-69.819999999999993</v>
      </c>
      <c r="AW764" t="s">
        <v>72</v>
      </c>
      <c r="AX764">
        <v>801</v>
      </c>
      <c r="AY764" t="s">
        <v>71</v>
      </c>
      <c r="AZ764">
        <v>138.01</v>
      </c>
      <c r="BA764">
        <v>-58.72</v>
      </c>
      <c r="BB764" t="s">
        <v>73</v>
      </c>
    </row>
    <row r="765" spans="1:54" x14ac:dyDescent="0.4">
      <c r="A765">
        <v>981517</v>
      </c>
      <c r="D765" t="s">
        <v>54</v>
      </c>
      <c r="E765" t="s">
        <v>55</v>
      </c>
      <c r="G765">
        <v>1</v>
      </c>
      <c r="H765" t="s">
        <v>56</v>
      </c>
      <c r="I765" t="s">
        <v>57</v>
      </c>
      <c r="K765" t="s">
        <v>806</v>
      </c>
      <c r="L765" t="s">
        <v>1520</v>
      </c>
      <c r="M765" t="s">
        <v>59</v>
      </c>
      <c r="O765" t="s">
        <v>76</v>
      </c>
      <c r="P765" t="s">
        <v>82</v>
      </c>
      <c r="R765" t="s">
        <v>84</v>
      </c>
      <c r="S765" t="s">
        <v>61</v>
      </c>
      <c r="T765">
        <v>251.90199999999999</v>
      </c>
      <c r="U765">
        <v>251.2</v>
      </c>
      <c r="V765">
        <f>(T765+U765)/2</f>
        <v>251.55099999999999</v>
      </c>
      <c r="W765">
        <f>T765-U765</f>
        <v>0.70199999999999818</v>
      </c>
      <c r="X765">
        <v>88.883330999999998</v>
      </c>
      <c r="Y765">
        <v>44.083331999999999</v>
      </c>
      <c r="Z765" t="s">
        <v>113</v>
      </c>
      <c r="AA765" t="s">
        <v>186</v>
      </c>
      <c r="AB765" t="s">
        <v>883</v>
      </c>
      <c r="AD765" t="s">
        <v>1226</v>
      </c>
      <c r="AE765" t="s">
        <v>1227</v>
      </c>
      <c r="AH765" t="s">
        <v>65</v>
      </c>
      <c r="AI765" t="s">
        <v>333</v>
      </c>
      <c r="AJ765">
        <v>1963</v>
      </c>
      <c r="AK765" t="s">
        <v>1676</v>
      </c>
      <c r="AM765" t="s">
        <v>1677</v>
      </c>
      <c r="AN765" t="s">
        <v>94</v>
      </c>
      <c r="AO765" t="s">
        <v>106</v>
      </c>
      <c r="AP765" t="s">
        <v>95</v>
      </c>
      <c r="AQ765" t="s">
        <v>1678</v>
      </c>
      <c r="AR765" t="s">
        <v>70</v>
      </c>
      <c r="AS765" t="s">
        <v>270</v>
      </c>
      <c r="AT765" t="s">
        <v>71</v>
      </c>
      <c r="AW765" t="s">
        <v>72</v>
      </c>
      <c r="AX765">
        <v>407</v>
      </c>
      <c r="AY765" t="s">
        <v>71</v>
      </c>
      <c r="AZ765">
        <v>73.17</v>
      </c>
      <c r="BA765">
        <v>44.64</v>
      </c>
      <c r="BB765" t="s">
        <v>73</v>
      </c>
    </row>
    <row r="766" spans="1:54" x14ac:dyDescent="0.4">
      <c r="A766">
        <v>1076305</v>
      </c>
      <c r="D766" t="s">
        <v>54</v>
      </c>
      <c r="G766">
        <v>1</v>
      </c>
      <c r="H766" t="s">
        <v>228</v>
      </c>
      <c r="I766" t="s">
        <v>57</v>
      </c>
      <c r="K766" t="s">
        <v>1185</v>
      </c>
      <c r="L766" t="s">
        <v>1186</v>
      </c>
      <c r="M766" t="s">
        <v>59</v>
      </c>
      <c r="N766" t="s">
        <v>97</v>
      </c>
      <c r="O766" t="s">
        <v>76</v>
      </c>
      <c r="P766" t="s">
        <v>82</v>
      </c>
      <c r="R766" t="s">
        <v>84</v>
      </c>
      <c r="S766" t="s">
        <v>61</v>
      </c>
      <c r="T766">
        <v>251.90199999999999</v>
      </c>
      <c r="U766">
        <v>251.2</v>
      </c>
      <c r="V766">
        <f>(T766+U766)/2</f>
        <v>251.55099999999999</v>
      </c>
      <c r="W766">
        <f>T766-U766</f>
        <v>0.70199999999999818</v>
      </c>
      <c r="X766">
        <v>16.411111999999999</v>
      </c>
      <c r="Y766">
        <v>50.420833999999999</v>
      </c>
      <c r="Z766" t="s">
        <v>99</v>
      </c>
      <c r="AA766" t="s">
        <v>337</v>
      </c>
      <c r="AB766" t="s">
        <v>1697</v>
      </c>
      <c r="AC766" t="s">
        <v>1698</v>
      </c>
      <c r="AE766" t="s">
        <v>1699</v>
      </c>
      <c r="AH766" t="s">
        <v>11</v>
      </c>
      <c r="AI766" t="s">
        <v>335</v>
      </c>
      <c r="AJ766">
        <v>1942</v>
      </c>
      <c r="AK766" t="s">
        <v>1700</v>
      </c>
      <c r="AN766" t="s">
        <v>94</v>
      </c>
      <c r="AO766" t="s">
        <v>68</v>
      </c>
      <c r="AP766" t="s">
        <v>95</v>
      </c>
      <c r="AQ766" t="s">
        <v>1701</v>
      </c>
      <c r="AR766" t="s">
        <v>70</v>
      </c>
      <c r="AS766">
        <v>305</v>
      </c>
      <c r="AT766" t="s">
        <v>71</v>
      </c>
      <c r="AU766">
        <v>34.380000000000003</v>
      </c>
      <c r="AV766">
        <v>28.15</v>
      </c>
      <c r="AW766" t="s">
        <v>72</v>
      </c>
      <c r="AX766">
        <v>305</v>
      </c>
      <c r="AY766" t="s">
        <v>71</v>
      </c>
      <c r="AZ766">
        <v>25.8</v>
      </c>
      <c r="BA766">
        <v>17.05</v>
      </c>
      <c r="BB766" t="s">
        <v>73</v>
      </c>
    </row>
    <row r="767" spans="1:54" x14ac:dyDescent="0.4">
      <c r="A767">
        <v>1087072</v>
      </c>
      <c r="D767" t="s">
        <v>108</v>
      </c>
      <c r="I767" t="s">
        <v>57</v>
      </c>
      <c r="K767" t="s">
        <v>80</v>
      </c>
      <c r="L767" t="s">
        <v>1719</v>
      </c>
      <c r="M767" t="s">
        <v>59</v>
      </c>
      <c r="P767" t="s">
        <v>82</v>
      </c>
      <c r="R767" t="s">
        <v>84</v>
      </c>
      <c r="S767" t="s">
        <v>61</v>
      </c>
      <c r="T767">
        <v>251.90199999999999</v>
      </c>
      <c r="U767">
        <v>251.2</v>
      </c>
      <c r="V767">
        <f>(T767+U767)/2</f>
        <v>251.55099999999999</v>
      </c>
      <c r="W767">
        <f>T767-U767</f>
        <v>0.70199999999999818</v>
      </c>
      <c r="X767">
        <v>148</v>
      </c>
      <c r="Y767">
        <v>-24.833331999999999</v>
      </c>
      <c r="Z767" t="s">
        <v>85</v>
      </c>
      <c r="AA767" t="s">
        <v>726</v>
      </c>
      <c r="AB767" t="s">
        <v>727</v>
      </c>
      <c r="AD767" t="s">
        <v>728</v>
      </c>
      <c r="AE767" t="s">
        <v>729</v>
      </c>
      <c r="AH767" t="s">
        <v>65</v>
      </c>
      <c r="AI767" t="s">
        <v>1720</v>
      </c>
      <c r="AJ767">
        <v>2020</v>
      </c>
      <c r="AK767" t="s">
        <v>731</v>
      </c>
      <c r="AM767" t="s">
        <v>732</v>
      </c>
      <c r="AN767" t="s">
        <v>121</v>
      </c>
      <c r="AO767" t="s">
        <v>106</v>
      </c>
      <c r="AP767" t="s">
        <v>69</v>
      </c>
      <c r="AQ767" t="s">
        <v>733</v>
      </c>
      <c r="AR767" t="s">
        <v>70</v>
      </c>
      <c r="AS767">
        <v>801</v>
      </c>
      <c r="AT767" t="s">
        <v>71</v>
      </c>
      <c r="AU767">
        <v>124.8</v>
      </c>
      <c r="AV767">
        <v>-69.819999999999993</v>
      </c>
      <c r="AW767" t="s">
        <v>72</v>
      </c>
      <c r="AX767">
        <v>801</v>
      </c>
      <c r="AY767" t="s">
        <v>71</v>
      </c>
      <c r="AZ767">
        <v>138.01</v>
      </c>
      <c r="BA767">
        <v>-58.72</v>
      </c>
      <c r="BB767" t="s">
        <v>73</v>
      </c>
    </row>
    <row r="768" spans="1:54" x14ac:dyDescent="0.4">
      <c r="A768">
        <v>1130047</v>
      </c>
      <c r="D768" t="s">
        <v>54</v>
      </c>
      <c r="E768" t="s">
        <v>55</v>
      </c>
      <c r="G768">
        <v>1</v>
      </c>
      <c r="H768" t="s">
        <v>56</v>
      </c>
      <c r="I768" t="s">
        <v>57</v>
      </c>
      <c r="K768" t="s">
        <v>806</v>
      </c>
      <c r="L768" t="s">
        <v>1520</v>
      </c>
      <c r="M768" t="s">
        <v>59</v>
      </c>
      <c r="O768" t="s">
        <v>76</v>
      </c>
      <c r="P768" t="s">
        <v>82</v>
      </c>
      <c r="R768" t="s">
        <v>84</v>
      </c>
      <c r="S768" t="s">
        <v>61</v>
      </c>
      <c r="T768">
        <v>251.90199999999999</v>
      </c>
      <c r="U768">
        <v>251.2</v>
      </c>
      <c r="V768">
        <f>(T768+U768)/2</f>
        <v>251.55099999999999</v>
      </c>
      <c r="W768">
        <f>T768-U768</f>
        <v>0.70199999999999818</v>
      </c>
      <c r="X768">
        <v>88.833336000000003</v>
      </c>
      <c r="Y768">
        <v>44</v>
      </c>
      <c r="Z768" t="s">
        <v>99</v>
      </c>
      <c r="AA768" t="s">
        <v>186</v>
      </c>
      <c r="AB768" t="s">
        <v>883</v>
      </c>
      <c r="AD768" t="s">
        <v>1226</v>
      </c>
      <c r="AE768" t="s">
        <v>1227</v>
      </c>
      <c r="AH768" t="s">
        <v>65</v>
      </c>
      <c r="AI768" t="s">
        <v>333</v>
      </c>
      <c r="AJ768">
        <v>1936</v>
      </c>
      <c r="AK768" t="s">
        <v>1759</v>
      </c>
      <c r="AN768" t="s">
        <v>94</v>
      </c>
      <c r="AO768" t="s">
        <v>330</v>
      </c>
      <c r="AP768" t="s">
        <v>182</v>
      </c>
      <c r="AQ768" t="s">
        <v>1760</v>
      </c>
      <c r="AR768" t="s">
        <v>70</v>
      </c>
      <c r="AS768" t="s">
        <v>270</v>
      </c>
      <c r="AT768" t="s">
        <v>71</v>
      </c>
      <c r="AW768" t="s">
        <v>72</v>
      </c>
      <c r="AX768">
        <v>407</v>
      </c>
      <c r="AY768" t="s">
        <v>71</v>
      </c>
      <c r="AZ768">
        <v>73.239999999999995</v>
      </c>
      <c r="BA768">
        <v>44.57</v>
      </c>
      <c r="BB768" t="s">
        <v>73</v>
      </c>
    </row>
    <row r="769" spans="1:54" x14ac:dyDescent="0.4">
      <c r="A769">
        <v>1416560</v>
      </c>
      <c r="D769" t="s">
        <v>54</v>
      </c>
      <c r="I769" t="s">
        <v>57</v>
      </c>
      <c r="K769" t="s">
        <v>102</v>
      </c>
      <c r="L769" t="s">
        <v>307</v>
      </c>
      <c r="M769" t="s">
        <v>59</v>
      </c>
      <c r="P769" t="s">
        <v>82</v>
      </c>
      <c r="R769" t="s">
        <v>84</v>
      </c>
      <c r="S769" t="s">
        <v>61</v>
      </c>
      <c r="T769">
        <v>251.90199999999999</v>
      </c>
      <c r="U769">
        <v>251.2</v>
      </c>
      <c r="V769">
        <f>(T769+U769)/2</f>
        <v>251.55099999999999</v>
      </c>
      <c r="W769">
        <f>T769-U769</f>
        <v>0.70199999999999818</v>
      </c>
      <c r="X769">
        <v>52.690834000000002</v>
      </c>
      <c r="Y769">
        <v>52.369999</v>
      </c>
      <c r="Z769" t="s">
        <v>239</v>
      </c>
      <c r="AA769" t="s">
        <v>139</v>
      </c>
      <c r="AB769" t="s">
        <v>316</v>
      </c>
      <c r="AC769" t="s">
        <v>1187</v>
      </c>
      <c r="AD769" t="s">
        <v>2107</v>
      </c>
      <c r="AH769" t="s">
        <v>11</v>
      </c>
      <c r="AI769" t="s">
        <v>716</v>
      </c>
      <c r="AJ769">
        <v>2003</v>
      </c>
      <c r="AK769" t="s">
        <v>2108</v>
      </c>
      <c r="AM769" t="s">
        <v>2109</v>
      </c>
      <c r="AN769" t="s">
        <v>121</v>
      </c>
      <c r="AO769" t="s">
        <v>68</v>
      </c>
      <c r="AP769" t="s">
        <v>95</v>
      </c>
      <c r="AQ769" t="s">
        <v>2110</v>
      </c>
      <c r="AR769" t="s">
        <v>70</v>
      </c>
      <c r="AS769">
        <v>302</v>
      </c>
      <c r="AT769" t="s">
        <v>71</v>
      </c>
      <c r="AU769">
        <v>58.41</v>
      </c>
      <c r="AV769">
        <v>38.46</v>
      </c>
      <c r="AW769" t="s">
        <v>72</v>
      </c>
      <c r="AX769">
        <v>301</v>
      </c>
      <c r="AY769" t="s">
        <v>71</v>
      </c>
      <c r="AZ769">
        <v>45.26</v>
      </c>
      <c r="BA769">
        <v>30.93</v>
      </c>
      <c r="BB769" t="s">
        <v>73</v>
      </c>
    </row>
    <row r="770" spans="1:54" x14ac:dyDescent="0.4">
      <c r="A770">
        <v>1417181</v>
      </c>
      <c r="D770" t="s">
        <v>54</v>
      </c>
      <c r="I770" t="s">
        <v>57</v>
      </c>
      <c r="K770" t="s">
        <v>80</v>
      </c>
      <c r="L770" t="s">
        <v>788</v>
      </c>
      <c r="M770" t="s">
        <v>59</v>
      </c>
      <c r="P770" t="s">
        <v>82</v>
      </c>
      <c r="R770" t="s">
        <v>84</v>
      </c>
      <c r="S770" t="s">
        <v>61</v>
      </c>
      <c r="T770">
        <v>251.90199999999999</v>
      </c>
      <c r="U770">
        <v>251.2</v>
      </c>
      <c r="V770">
        <f>(T770+U770)/2</f>
        <v>251.55099999999999</v>
      </c>
      <c r="W770">
        <f>T770-U770</f>
        <v>0.70199999999999818</v>
      </c>
      <c r="X770">
        <v>50.432777000000002</v>
      </c>
      <c r="Y770">
        <v>52.850833999999999</v>
      </c>
      <c r="Z770" t="s">
        <v>239</v>
      </c>
      <c r="AA770" t="s">
        <v>139</v>
      </c>
      <c r="AB770" t="s">
        <v>2067</v>
      </c>
      <c r="AC770" t="s">
        <v>2129</v>
      </c>
      <c r="AD770" t="s">
        <v>2107</v>
      </c>
      <c r="AH770" t="s">
        <v>11</v>
      </c>
      <c r="AI770" t="s">
        <v>716</v>
      </c>
      <c r="AJ770">
        <v>2003</v>
      </c>
      <c r="AK770" t="s">
        <v>2134</v>
      </c>
      <c r="AN770" t="s">
        <v>121</v>
      </c>
      <c r="AO770" t="s">
        <v>68</v>
      </c>
      <c r="AP770" t="s">
        <v>69</v>
      </c>
      <c r="AQ770" t="s">
        <v>2135</v>
      </c>
      <c r="AR770" t="s">
        <v>70</v>
      </c>
      <c r="AS770">
        <v>302</v>
      </c>
      <c r="AT770" t="s">
        <v>71</v>
      </c>
      <c r="AU770">
        <v>56.59</v>
      </c>
      <c r="AV770">
        <v>38.21</v>
      </c>
      <c r="AW770" t="s">
        <v>72</v>
      </c>
      <c r="AX770">
        <v>301</v>
      </c>
      <c r="AY770" t="s">
        <v>71</v>
      </c>
      <c r="AZ770">
        <v>43.71</v>
      </c>
      <c r="BA770">
        <v>30.35</v>
      </c>
      <c r="BB770" t="s">
        <v>73</v>
      </c>
    </row>
    <row r="771" spans="1:54" x14ac:dyDescent="0.4">
      <c r="A771">
        <v>1420094</v>
      </c>
      <c r="D771" t="s">
        <v>54</v>
      </c>
      <c r="E771" t="s">
        <v>55</v>
      </c>
      <c r="I771" t="s">
        <v>57</v>
      </c>
      <c r="K771" t="s">
        <v>1185</v>
      </c>
      <c r="L771" t="s">
        <v>1186</v>
      </c>
      <c r="M771" t="s">
        <v>59</v>
      </c>
      <c r="N771" t="s">
        <v>97</v>
      </c>
      <c r="O771" t="s">
        <v>76</v>
      </c>
      <c r="P771" t="s">
        <v>82</v>
      </c>
      <c r="R771" t="s">
        <v>84</v>
      </c>
      <c r="S771" t="s">
        <v>61</v>
      </c>
      <c r="T771">
        <v>251.90199999999999</v>
      </c>
      <c r="U771">
        <v>251.2</v>
      </c>
      <c r="V771">
        <f>(T771+U771)/2</f>
        <v>251.55099999999999</v>
      </c>
      <c r="W771">
        <f>T771-U771</f>
        <v>0.70199999999999818</v>
      </c>
      <c r="X771">
        <v>45.906387000000002</v>
      </c>
      <c r="Y771">
        <v>57.884166999999998</v>
      </c>
      <c r="Z771" t="s">
        <v>99</v>
      </c>
      <c r="AA771" t="s">
        <v>139</v>
      </c>
      <c r="AB771" t="s">
        <v>297</v>
      </c>
      <c r="AC771" t="s">
        <v>298</v>
      </c>
      <c r="AD771" t="s">
        <v>299</v>
      </c>
      <c r="AH771" t="s">
        <v>11</v>
      </c>
      <c r="AI771" t="s">
        <v>2168</v>
      </c>
      <c r="AJ771">
        <v>2012</v>
      </c>
      <c r="AK771" t="s">
        <v>301</v>
      </c>
      <c r="AM771" t="s">
        <v>302</v>
      </c>
      <c r="AN771" t="s">
        <v>121</v>
      </c>
      <c r="AO771" t="s">
        <v>68</v>
      </c>
      <c r="AP771" t="s">
        <v>69</v>
      </c>
      <c r="AQ771" t="s">
        <v>303</v>
      </c>
      <c r="AR771" t="s">
        <v>70</v>
      </c>
      <c r="AS771">
        <v>302</v>
      </c>
      <c r="AT771" t="s">
        <v>71</v>
      </c>
      <c r="AU771">
        <v>50.48</v>
      </c>
      <c r="AV771">
        <v>41.35</v>
      </c>
      <c r="AW771" t="s">
        <v>72</v>
      </c>
      <c r="AX771">
        <v>301</v>
      </c>
      <c r="AY771" t="s">
        <v>71</v>
      </c>
      <c r="AZ771">
        <v>37.53</v>
      </c>
      <c r="BA771">
        <v>32.369999999999997</v>
      </c>
      <c r="BB771" t="s">
        <v>73</v>
      </c>
    </row>
    <row r="772" spans="1:54" x14ac:dyDescent="0.4">
      <c r="A772">
        <v>1534873</v>
      </c>
      <c r="D772" t="s">
        <v>54</v>
      </c>
      <c r="E772" t="s">
        <v>55</v>
      </c>
      <c r="F772" t="s">
        <v>1648</v>
      </c>
      <c r="G772">
        <v>1</v>
      </c>
      <c r="H772" t="s">
        <v>74</v>
      </c>
      <c r="I772" t="s">
        <v>57</v>
      </c>
      <c r="K772" t="s">
        <v>80</v>
      </c>
      <c r="L772" t="s">
        <v>1719</v>
      </c>
      <c r="M772" t="s">
        <v>59</v>
      </c>
      <c r="P772" t="s">
        <v>82</v>
      </c>
      <c r="R772" t="s">
        <v>84</v>
      </c>
      <c r="S772" t="s">
        <v>61</v>
      </c>
      <c r="T772">
        <v>251.90199999999999</v>
      </c>
      <c r="U772">
        <v>251.2</v>
      </c>
      <c r="V772">
        <f>(T772+U772)/2</f>
        <v>251.55099999999999</v>
      </c>
      <c r="W772">
        <f>T772-U772</f>
        <v>0.70199999999999818</v>
      </c>
      <c r="X772">
        <v>148.90167199999999</v>
      </c>
      <c r="Y772">
        <v>-23.640277999999999</v>
      </c>
      <c r="Z772" t="s">
        <v>99</v>
      </c>
      <c r="AA772" t="s">
        <v>726</v>
      </c>
      <c r="AB772" t="s">
        <v>727</v>
      </c>
      <c r="AD772" t="s">
        <v>728</v>
      </c>
      <c r="AE772" t="s">
        <v>729</v>
      </c>
      <c r="AH772" t="s">
        <v>65</v>
      </c>
      <c r="AI772" t="s">
        <v>1720</v>
      </c>
      <c r="AJ772">
        <v>2020</v>
      </c>
      <c r="AK772" t="s">
        <v>1650</v>
      </c>
      <c r="AM772" t="s">
        <v>1651</v>
      </c>
      <c r="AN772" t="s">
        <v>177</v>
      </c>
      <c r="AO772" t="s">
        <v>68</v>
      </c>
      <c r="AQ772" t="s">
        <v>1652</v>
      </c>
      <c r="AR772" t="s">
        <v>70</v>
      </c>
      <c r="AS772">
        <v>801</v>
      </c>
      <c r="AT772" t="s">
        <v>71</v>
      </c>
      <c r="AU772">
        <v>128.13999999999999</v>
      </c>
      <c r="AV772">
        <v>-68.97</v>
      </c>
      <c r="AW772" t="s">
        <v>72</v>
      </c>
      <c r="AX772">
        <v>801</v>
      </c>
      <c r="AY772" t="s">
        <v>71</v>
      </c>
      <c r="AZ772">
        <v>139.55000000000001</v>
      </c>
      <c r="BA772">
        <v>-57.52</v>
      </c>
      <c r="BB772" t="s">
        <v>73</v>
      </c>
    </row>
    <row r="773" spans="1:54" x14ac:dyDescent="0.4">
      <c r="A773">
        <v>285740</v>
      </c>
      <c r="D773" t="s">
        <v>54</v>
      </c>
      <c r="E773" t="s">
        <v>55</v>
      </c>
      <c r="G773">
        <v>1</v>
      </c>
      <c r="H773" t="s">
        <v>56</v>
      </c>
      <c r="I773" t="s">
        <v>57</v>
      </c>
      <c r="K773" t="s">
        <v>80</v>
      </c>
      <c r="L773" t="s">
        <v>185</v>
      </c>
      <c r="M773" t="s">
        <v>59</v>
      </c>
      <c r="P773" t="s">
        <v>83</v>
      </c>
      <c r="Q773" t="s">
        <v>131</v>
      </c>
      <c r="R773" t="s">
        <v>112</v>
      </c>
      <c r="S773" t="s">
        <v>61</v>
      </c>
      <c r="T773">
        <v>251.2</v>
      </c>
      <c r="U773">
        <v>242</v>
      </c>
      <c r="V773">
        <f>(T773+U773)/2</f>
        <v>246.6</v>
      </c>
      <c r="W773">
        <f>T773-U773</f>
        <v>9.1999999999999886</v>
      </c>
      <c r="X773">
        <v>110.966667</v>
      </c>
      <c r="Y773">
        <v>39.683334000000002</v>
      </c>
      <c r="Z773" t="s">
        <v>99</v>
      </c>
      <c r="AA773" t="s">
        <v>186</v>
      </c>
      <c r="AB773" t="s">
        <v>187</v>
      </c>
      <c r="AC773" t="s">
        <v>188</v>
      </c>
      <c r="AD773" t="s">
        <v>189</v>
      </c>
      <c r="AH773" t="s">
        <v>65</v>
      </c>
      <c r="AI773" t="s">
        <v>190</v>
      </c>
      <c r="AJ773">
        <v>1983</v>
      </c>
      <c r="AK773" t="s">
        <v>191</v>
      </c>
      <c r="AM773" t="s">
        <v>192</v>
      </c>
      <c r="AN773" t="s">
        <v>121</v>
      </c>
      <c r="AO773" t="s">
        <v>68</v>
      </c>
      <c r="AP773" t="s">
        <v>95</v>
      </c>
      <c r="AQ773" t="s">
        <v>193</v>
      </c>
      <c r="AR773" t="s">
        <v>70</v>
      </c>
      <c r="AS773">
        <v>604</v>
      </c>
      <c r="AT773" t="s">
        <v>71</v>
      </c>
      <c r="AU773">
        <v>118.58</v>
      </c>
      <c r="AV773">
        <v>15.85</v>
      </c>
      <c r="AW773" t="s">
        <v>72</v>
      </c>
      <c r="AX773">
        <v>604</v>
      </c>
      <c r="AY773" t="s">
        <v>71</v>
      </c>
      <c r="AZ773">
        <v>90.79</v>
      </c>
      <c r="BA773">
        <v>38.07</v>
      </c>
      <c r="BB773" t="s">
        <v>73</v>
      </c>
    </row>
    <row r="774" spans="1:54" x14ac:dyDescent="0.4">
      <c r="A774">
        <v>285752</v>
      </c>
      <c r="D774" t="s">
        <v>54</v>
      </c>
      <c r="E774" t="s">
        <v>55</v>
      </c>
      <c r="G774">
        <v>17</v>
      </c>
      <c r="H774" t="s">
        <v>74</v>
      </c>
      <c r="I774" t="s">
        <v>57</v>
      </c>
      <c r="K774" t="s">
        <v>80</v>
      </c>
      <c r="L774" t="s">
        <v>185</v>
      </c>
      <c r="M774" t="s">
        <v>59</v>
      </c>
      <c r="P774" t="s">
        <v>83</v>
      </c>
      <c r="Q774" t="s">
        <v>131</v>
      </c>
      <c r="R774" t="s">
        <v>112</v>
      </c>
      <c r="S774" t="s">
        <v>61</v>
      </c>
      <c r="T774">
        <v>251.2</v>
      </c>
      <c r="U774">
        <v>242</v>
      </c>
      <c r="V774">
        <f>(T774+U774)/2</f>
        <v>246.6</v>
      </c>
      <c r="W774">
        <f>T774-U774</f>
        <v>9.1999999999999886</v>
      </c>
      <c r="X774">
        <v>110.980553</v>
      </c>
      <c r="Y774">
        <v>39.525002000000001</v>
      </c>
      <c r="Z774" t="s">
        <v>99</v>
      </c>
      <c r="AA774" t="s">
        <v>186</v>
      </c>
      <c r="AB774" t="s">
        <v>194</v>
      </c>
      <c r="AC774" t="s">
        <v>195</v>
      </c>
      <c r="AD774" t="s">
        <v>189</v>
      </c>
      <c r="AH774" t="s">
        <v>65</v>
      </c>
      <c r="AI774" t="s">
        <v>190</v>
      </c>
      <c r="AJ774">
        <v>1983</v>
      </c>
      <c r="AK774" t="s">
        <v>196</v>
      </c>
      <c r="AM774" t="s">
        <v>197</v>
      </c>
      <c r="AN774" t="s">
        <v>121</v>
      </c>
      <c r="AO774" t="s">
        <v>68</v>
      </c>
      <c r="AP774" t="s">
        <v>69</v>
      </c>
      <c r="AQ774" t="s">
        <v>198</v>
      </c>
      <c r="AR774" t="s">
        <v>70</v>
      </c>
      <c r="AS774">
        <v>604</v>
      </c>
      <c r="AT774" t="s">
        <v>71</v>
      </c>
      <c r="AU774">
        <v>118.46</v>
      </c>
      <c r="AV774">
        <v>15.74</v>
      </c>
      <c r="AW774" t="s">
        <v>72</v>
      </c>
      <c r="AX774">
        <v>604</v>
      </c>
      <c r="AY774" t="s">
        <v>71</v>
      </c>
      <c r="AZ774">
        <v>90.75</v>
      </c>
      <c r="BA774">
        <v>37.909999999999997</v>
      </c>
      <c r="BB774" t="s">
        <v>73</v>
      </c>
    </row>
    <row r="775" spans="1:54" x14ac:dyDescent="0.4">
      <c r="A775">
        <v>833134</v>
      </c>
      <c r="D775" t="s">
        <v>54</v>
      </c>
      <c r="E775" t="s">
        <v>55</v>
      </c>
      <c r="G775">
        <v>1</v>
      </c>
      <c r="H775" t="s">
        <v>56</v>
      </c>
      <c r="I775" t="s">
        <v>57</v>
      </c>
      <c r="K775" t="s">
        <v>80</v>
      </c>
      <c r="L775" t="s">
        <v>1049</v>
      </c>
      <c r="M775" t="s">
        <v>59</v>
      </c>
      <c r="P775" t="s">
        <v>83</v>
      </c>
      <c r="Q775" t="s">
        <v>131</v>
      </c>
      <c r="R775" t="s">
        <v>112</v>
      </c>
      <c r="S775" t="s">
        <v>61</v>
      </c>
      <c r="T775">
        <v>251.2</v>
      </c>
      <c r="U775">
        <v>242</v>
      </c>
      <c r="V775">
        <f>(T775+U775)/2</f>
        <v>246.6</v>
      </c>
      <c r="W775">
        <f>T775-U775</f>
        <v>9.1999999999999886</v>
      </c>
      <c r="X775">
        <v>111.058334</v>
      </c>
      <c r="Y775">
        <v>39.375</v>
      </c>
      <c r="Z775" t="s">
        <v>181</v>
      </c>
      <c r="AA775" t="s">
        <v>186</v>
      </c>
      <c r="AB775" t="s">
        <v>194</v>
      </c>
      <c r="AC775" t="s">
        <v>195</v>
      </c>
      <c r="AD775" t="s">
        <v>189</v>
      </c>
      <c r="AH775" t="s">
        <v>65</v>
      </c>
      <c r="AI775" t="s">
        <v>190</v>
      </c>
      <c r="AJ775">
        <v>1989</v>
      </c>
      <c r="AK775" t="s">
        <v>1050</v>
      </c>
      <c r="AM775" t="s">
        <v>1051</v>
      </c>
      <c r="AN775" t="s">
        <v>94</v>
      </c>
      <c r="AO775" t="s">
        <v>68</v>
      </c>
      <c r="AP775" t="s">
        <v>314</v>
      </c>
      <c r="AQ775" t="s">
        <v>1052</v>
      </c>
      <c r="AR775" t="s">
        <v>70</v>
      </c>
      <c r="AS775">
        <v>604</v>
      </c>
      <c r="AT775" t="s">
        <v>71</v>
      </c>
      <c r="AU775">
        <v>118.39</v>
      </c>
      <c r="AV775">
        <v>15.59</v>
      </c>
      <c r="AW775" t="s">
        <v>72</v>
      </c>
      <c r="AX775">
        <v>604</v>
      </c>
      <c r="AY775" t="s">
        <v>71</v>
      </c>
      <c r="AZ775">
        <v>90.78</v>
      </c>
      <c r="BA775">
        <v>37.75</v>
      </c>
      <c r="BB775" t="s">
        <v>73</v>
      </c>
    </row>
    <row r="776" spans="1:54" x14ac:dyDescent="0.4">
      <c r="A776">
        <v>890990</v>
      </c>
      <c r="D776" t="s">
        <v>54</v>
      </c>
      <c r="E776" t="s">
        <v>55</v>
      </c>
      <c r="G776">
        <v>1</v>
      </c>
      <c r="H776" t="s">
        <v>56</v>
      </c>
      <c r="I776" t="s">
        <v>57</v>
      </c>
      <c r="K776" t="s">
        <v>279</v>
      </c>
      <c r="L776" t="s">
        <v>1382</v>
      </c>
      <c r="M776" t="s">
        <v>59</v>
      </c>
      <c r="O776" t="s">
        <v>76</v>
      </c>
      <c r="P776" t="s">
        <v>83</v>
      </c>
      <c r="Q776" t="s">
        <v>131</v>
      </c>
      <c r="R776" t="s">
        <v>112</v>
      </c>
      <c r="S776" t="s">
        <v>61</v>
      </c>
      <c r="T776">
        <v>251.2</v>
      </c>
      <c r="U776">
        <v>242</v>
      </c>
      <c r="V776">
        <f>(T776+U776)/2</f>
        <v>246.6</v>
      </c>
      <c r="W776">
        <f>T776-U776</f>
        <v>9.1999999999999886</v>
      </c>
      <c r="X776">
        <v>110.849998</v>
      </c>
      <c r="Y776">
        <v>39.433334000000002</v>
      </c>
      <c r="Z776" t="s">
        <v>99</v>
      </c>
      <c r="AA776" t="s">
        <v>186</v>
      </c>
      <c r="AB776" t="s">
        <v>194</v>
      </c>
      <c r="AC776" t="s">
        <v>195</v>
      </c>
      <c r="AD776" t="s">
        <v>189</v>
      </c>
      <c r="AH776" t="s">
        <v>65</v>
      </c>
      <c r="AI776" t="s">
        <v>1383</v>
      </c>
      <c r="AJ776">
        <v>1981</v>
      </c>
      <c r="AK776" t="s">
        <v>1384</v>
      </c>
      <c r="AN776" t="s">
        <v>94</v>
      </c>
      <c r="AO776" t="s">
        <v>106</v>
      </c>
      <c r="AP776" t="s">
        <v>69</v>
      </c>
      <c r="AQ776" t="s">
        <v>1385</v>
      </c>
      <c r="AR776" t="s">
        <v>70</v>
      </c>
      <c r="AS776">
        <v>604</v>
      </c>
      <c r="AT776" t="s">
        <v>71</v>
      </c>
      <c r="AU776">
        <v>118.32</v>
      </c>
      <c r="AV776">
        <v>15.75</v>
      </c>
      <c r="AW776" t="s">
        <v>72</v>
      </c>
      <c r="AX776">
        <v>604</v>
      </c>
      <c r="AY776" t="s">
        <v>71</v>
      </c>
      <c r="AZ776">
        <v>90.6</v>
      </c>
      <c r="BA776">
        <v>37.85</v>
      </c>
      <c r="BB776" t="s">
        <v>73</v>
      </c>
    </row>
    <row r="777" spans="1:54" x14ac:dyDescent="0.4">
      <c r="A777">
        <v>902425</v>
      </c>
      <c r="D777" t="s">
        <v>54</v>
      </c>
      <c r="G777">
        <v>1</v>
      </c>
      <c r="H777" t="s">
        <v>56</v>
      </c>
      <c r="I777" t="s">
        <v>57</v>
      </c>
      <c r="K777" t="s">
        <v>102</v>
      </c>
      <c r="L777" t="s">
        <v>1464</v>
      </c>
      <c r="M777" t="s">
        <v>59</v>
      </c>
      <c r="P777" t="s">
        <v>83</v>
      </c>
      <c r="Q777" t="s">
        <v>131</v>
      </c>
      <c r="R777" t="s">
        <v>112</v>
      </c>
      <c r="S777" t="s">
        <v>61</v>
      </c>
      <c r="T777">
        <v>251.2</v>
      </c>
      <c r="U777">
        <v>242</v>
      </c>
      <c r="V777">
        <f>(T777+U777)/2</f>
        <v>246.6</v>
      </c>
      <c r="W777">
        <f>T777-U777</f>
        <v>9.1999999999999886</v>
      </c>
      <c r="X777">
        <v>111</v>
      </c>
      <c r="Y777">
        <v>39.099997999999999</v>
      </c>
      <c r="Z777" t="s">
        <v>99</v>
      </c>
      <c r="AA777" t="s">
        <v>186</v>
      </c>
      <c r="AB777" t="s">
        <v>194</v>
      </c>
      <c r="AD777" t="s">
        <v>189</v>
      </c>
      <c r="AH777" t="s">
        <v>65</v>
      </c>
      <c r="AI777" t="s">
        <v>1462</v>
      </c>
      <c r="AJ777">
        <v>1980</v>
      </c>
      <c r="AK777" t="s">
        <v>1465</v>
      </c>
      <c r="AN777" t="s">
        <v>94</v>
      </c>
      <c r="AO777">
        <v>1</v>
      </c>
      <c r="AP777" t="s">
        <v>95</v>
      </c>
      <c r="AR777" t="s">
        <v>70</v>
      </c>
      <c r="AS777">
        <v>604</v>
      </c>
      <c r="AT777" t="s">
        <v>71</v>
      </c>
      <c r="AU777">
        <v>118.15</v>
      </c>
      <c r="AV777">
        <v>15.44</v>
      </c>
      <c r="AW777" t="s">
        <v>72</v>
      </c>
      <c r="AX777">
        <v>604</v>
      </c>
      <c r="AY777" t="s">
        <v>71</v>
      </c>
      <c r="AZ777">
        <v>90.65</v>
      </c>
      <c r="BA777">
        <v>37.5</v>
      </c>
      <c r="BB777" t="s">
        <v>73</v>
      </c>
    </row>
    <row r="778" spans="1:54" x14ac:dyDescent="0.4">
      <c r="A778">
        <v>387512</v>
      </c>
      <c r="D778" t="s">
        <v>54</v>
      </c>
      <c r="G778">
        <v>1</v>
      </c>
      <c r="H778" t="s">
        <v>228</v>
      </c>
      <c r="I778" t="s">
        <v>57</v>
      </c>
      <c r="K778" t="s">
        <v>102</v>
      </c>
      <c r="L778" t="s">
        <v>307</v>
      </c>
      <c r="M778" t="s">
        <v>59</v>
      </c>
      <c r="P778" t="s">
        <v>83</v>
      </c>
      <c r="R778" t="s">
        <v>84</v>
      </c>
      <c r="S778" t="s">
        <v>61</v>
      </c>
      <c r="T778">
        <v>251.2</v>
      </c>
      <c r="U778">
        <v>246.7</v>
      </c>
      <c r="V778">
        <f>(T778+U778)/2</f>
        <v>248.95</v>
      </c>
      <c r="W778">
        <f>T778-U778</f>
        <v>4.5</v>
      </c>
      <c r="X778">
        <v>48.575001</v>
      </c>
      <c r="Y778">
        <v>60.416668000000001</v>
      </c>
      <c r="Z778" t="s">
        <v>99</v>
      </c>
      <c r="AA778" t="s">
        <v>139</v>
      </c>
      <c r="AB778" t="s">
        <v>308</v>
      </c>
      <c r="AC778" t="s">
        <v>309</v>
      </c>
      <c r="AD778" t="s">
        <v>310</v>
      </c>
      <c r="AH778" t="s">
        <v>11</v>
      </c>
      <c r="AI778" t="s">
        <v>311</v>
      </c>
      <c r="AJ778">
        <v>1978</v>
      </c>
      <c r="AK778" t="s">
        <v>312</v>
      </c>
      <c r="AM778" t="s">
        <v>313</v>
      </c>
      <c r="AN778" t="s">
        <v>94</v>
      </c>
      <c r="AO778" t="s">
        <v>106</v>
      </c>
      <c r="AP778" t="s">
        <v>314</v>
      </c>
      <c r="AQ778" t="s">
        <v>315</v>
      </c>
      <c r="AR778" t="s">
        <v>70</v>
      </c>
      <c r="AS778">
        <v>302</v>
      </c>
      <c r="AT778" t="s">
        <v>71</v>
      </c>
      <c r="AU778">
        <v>50.18</v>
      </c>
      <c r="AV778">
        <v>45.47</v>
      </c>
      <c r="AW778" t="s">
        <v>72</v>
      </c>
      <c r="AX778">
        <v>301</v>
      </c>
      <c r="AY778" t="s">
        <v>71</v>
      </c>
      <c r="AZ778">
        <v>34.86</v>
      </c>
      <c r="BA778">
        <v>35.9</v>
      </c>
      <c r="BB778" t="s">
        <v>73</v>
      </c>
    </row>
    <row r="779" spans="1:54" x14ac:dyDescent="0.4">
      <c r="A779">
        <v>401595</v>
      </c>
      <c r="D779" t="s">
        <v>54</v>
      </c>
      <c r="E779" t="s">
        <v>153</v>
      </c>
      <c r="I779" t="s">
        <v>57</v>
      </c>
      <c r="K779" t="s">
        <v>102</v>
      </c>
      <c r="L779" t="s">
        <v>336</v>
      </c>
      <c r="M779" t="s">
        <v>59</v>
      </c>
      <c r="P779" t="s">
        <v>83</v>
      </c>
      <c r="R779" t="s">
        <v>84</v>
      </c>
      <c r="S779" t="s">
        <v>61</v>
      </c>
      <c r="T779">
        <v>251.2</v>
      </c>
      <c r="U779">
        <v>246.7</v>
      </c>
      <c r="V779">
        <f>(T779+U779)/2</f>
        <v>248.95</v>
      </c>
      <c r="W779">
        <f>T779-U779</f>
        <v>4.5</v>
      </c>
      <c r="X779">
        <v>19.633333</v>
      </c>
      <c r="Y779">
        <v>50.133330999999998</v>
      </c>
      <c r="Z779" t="s">
        <v>77</v>
      </c>
      <c r="AA779" t="s">
        <v>337</v>
      </c>
      <c r="AB779" t="s">
        <v>338</v>
      </c>
      <c r="AC779" t="s">
        <v>339</v>
      </c>
      <c r="AH779" t="s">
        <v>65</v>
      </c>
      <c r="AI779" t="s">
        <v>340</v>
      </c>
      <c r="AJ779">
        <v>2009</v>
      </c>
      <c r="AK779" t="s">
        <v>341</v>
      </c>
      <c r="AN779" t="s">
        <v>94</v>
      </c>
      <c r="AO779" t="s">
        <v>106</v>
      </c>
      <c r="AP779" t="s">
        <v>69</v>
      </c>
      <c r="AQ779" t="s">
        <v>342</v>
      </c>
      <c r="AR779" t="s">
        <v>70</v>
      </c>
      <c r="AS779">
        <v>305</v>
      </c>
      <c r="AT779" t="s">
        <v>71</v>
      </c>
      <c r="AU779">
        <v>36.5</v>
      </c>
      <c r="AV779">
        <v>29.56</v>
      </c>
      <c r="AW779" t="s">
        <v>72</v>
      </c>
      <c r="AX779">
        <v>305</v>
      </c>
      <c r="AY779" t="s">
        <v>71</v>
      </c>
      <c r="AZ779">
        <v>26.73</v>
      </c>
      <c r="BA779">
        <v>18.100000000000001</v>
      </c>
      <c r="BB779" t="s">
        <v>73</v>
      </c>
    </row>
    <row r="780" spans="1:54" x14ac:dyDescent="0.4">
      <c r="A780">
        <v>401596</v>
      </c>
      <c r="D780" t="s">
        <v>54</v>
      </c>
      <c r="E780" t="s">
        <v>153</v>
      </c>
      <c r="G780">
        <v>84</v>
      </c>
      <c r="H780" t="s">
        <v>228</v>
      </c>
      <c r="I780" t="s">
        <v>57</v>
      </c>
      <c r="K780" t="s">
        <v>102</v>
      </c>
      <c r="L780" t="s">
        <v>343</v>
      </c>
      <c r="M780" t="s">
        <v>59</v>
      </c>
      <c r="P780" t="s">
        <v>83</v>
      </c>
      <c r="R780" t="s">
        <v>84</v>
      </c>
      <c r="S780" t="s">
        <v>61</v>
      </c>
      <c r="T780">
        <v>251.2</v>
      </c>
      <c r="U780">
        <v>246.7</v>
      </c>
      <c r="V780">
        <f>(T780+U780)/2</f>
        <v>248.95</v>
      </c>
      <c r="W780">
        <f>T780-U780</f>
        <v>4.5</v>
      </c>
      <c r="X780">
        <v>19.633333</v>
      </c>
      <c r="Y780">
        <v>50.133330999999998</v>
      </c>
      <c r="Z780" t="s">
        <v>77</v>
      </c>
      <c r="AA780" t="s">
        <v>337</v>
      </c>
      <c r="AB780" t="s">
        <v>338</v>
      </c>
      <c r="AC780" t="s">
        <v>339</v>
      </c>
      <c r="AH780" t="s">
        <v>65</v>
      </c>
      <c r="AI780" t="s">
        <v>344</v>
      </c>
      <c r="AJ780">
        <v>2009</v>
      </c>
      <c r="AK780" t="s">
        <v>341</v>
      </c>
      <c r="AN780" t="s">
        <v>94</v>
      </c>
      <c r="AO780" t="s">
        <v>106</v>
      </c>
      <c r="AP780" t="s">
        <v>69</v>
      </c>
      <c r="AQ780" t="s">
        <v>342</v>
      </c>
      <c r="AR780" t="s">
        <v>70</v>
      </c>
      <c r="AS780">
        <v>305</v>
      </c>
      <c r="AT780" t="s">
        <v>71</v>
      </c>
      <c r="AU780">
        <v>36.5</v>
      </c>
      <c r="AV780">
        <v>29.56</v>
      </c>
      <c r="AW780" t="s">
        <v>72</v>
      </c>
      <c r="AX780">
        <v>305</v>
      </c>
      <c r="AY780" t="s">
        <v>71</v>
      </c>
      <c r="AZ780">
        <v>26.73</v>
      </c>
      <c r="BA780">
        <v>18.100000000000001</v>
      </c>
      <c r="BB780" t="s">
        <v>73</v>
      </c>
    </row>
    <row r="781" spans="1:54" x14ac:dyDescent="0.4">
      <c r="A781">
        <v>401597</v>
      </c>
      <c r="D781" t="s">
        <v>54</v>
      </c>
      <c r="E781" t="s">
        <v>153</v>
      </c>
      <c r="G781">
        <v>260</v>
      </c>
      <c r="H781" t="s">
        <v>74</v>
      </c>
      <c r="I781" t="s">
        <v>57</v>
      </c>
      <c r="K781" t="s">
        <v>345</v>
      </c>
      <c r="L781" t="s">
        <v>346</v>
      </c>
      <c r="M781" t="s">
        <v>59</v>
      </c>
      <c r="P781" t="s">
        <v>83</v>
      </c>
      <c r="R781" t="s">
        <v>84</v>
      </c>
      <c r="S781" t="s">
        <v>61</v>
      </c>
      <c r="T781">
        <v>251.2</v>
      </c>
      <c r="U781">
        <v>246.7</v>
      </c>
      <c r="V781">
        <f>(T781+U781)/2</f>
        <v>248.95</v>
      </c>
      <c r="W781">
        <f>T781-U781</f>
        <v>4.5</v>
      </c>
      <c r="X781">
        <v>19.633333</v>
      </c>
      <c r="Y781">
        <v>50.133330999999998</v>
      </c>
      <c r="Z781" t="s">
        <v>77</v>
      </c>
      <c r="AA781" t="s">
        <v>337</v>
      </c>
      <c r="AB781" t="s">
        <v>338</v>
      </c>
      <c r="AC781" t="s">
        <v>339</v>
      </c>
      <c r="AH781" t="s">
        <v>65</v>
      </c>
      <c r="AI781" t="s">
        <v>347</v>
      </c>
      <c r="AJ781">
        <v>2003</v>
      </c>
      <c r="AK781" t="s">
        <v>341</v>
      </c>
      <c r="AN781" t="s">
        <v>94</v>
      </c>
      <c r="AO781" t="s">
        <v>106</v>
      </c>
      <c r="AP781" t="s">
        <v>69</v>
      </c>
      <c r="AQ781" t="s">
        <v>342</v>
      </c>
      <c r="AR781" t="s">
        <v>70</v>
      </c>
      <c r="AS781">
        <v>305</v>
      </c>
      <c r="AT781" t="s">
        <v>71</v>
      </c>
      <c r="AU781">
        <v>36.5</v>
      </c>
      <c r="AV781">
        <v>29.56</v>
      </c>
      <c r="AW781" t="s">
        <v>72</v>
      </c>
      <c r="AX781">
        <v>305</v>
      </c>
      <c r="AY781" t="s">
        <v>71</v>
      </c>
      <c r="AZ781">
        <v>26.73</v>
      </c>
      <c r="BA781">
        <v>18.100000000000001</v>
      </c>
      <c r="BB781" t="s">
        <v>73</v>
      </c>
    </row>
    <row r="782" spans="1:54" x14ac:dyDescent="0.4">
      <c r="A782">
        <v>401599</v>
      </c>
      <c r="D782" t="s">
        <v>54</v>
      </c>
      <c r="E782" t="s">
        <v>153</v>
      </c>
      <c r="G782">
        <v>114</v>
      </c>
      <c r="H782" t="s">
        <v>228</v>
      </c>
      <c r="I782" t="s">
        <v>57</v>
      </c>
      <c r="K782" t="s">
        <v>58</v>
      </c>
      <c r="L782" t="s">
        <v>348</v>
      </c>
      <c r="M782" t="s">
        <v>59</v>
      </c>
      <c r="P782" t="s">
        <v>83</v>
      </c>
      <c r="R782" t="s">
        <v>84</v>
      </c>
      <c r="S782" t="s">
        <v>61</v>
      </c>
      <c r="T782">
        <v>251.2</v>
      </c>
      <c r="U782">
        <v>246.7</v>
      </c>
      <c r="V782">
        <f>(T782+U782)/2</f>
        <v>248.95</v>
      </c>
      <c r="W782">
        <f>T782-U782</f>
        <v>4.5</v>
      </c>
      <c r="X782">
        <v>19.633333</v>
      </c>
      <c r="Y782">
        <v>50.133330999999998</v>
      </c>
      <c r="Z782" t="s">
        <v>77</v>
      </c>
      <c r="AA782" t="s">
        <v>337</v>
      </c>
      <c r="AB782" t="s">
        <v>338</v>
      </c>
      <c r="AC782" t="s">
        <v>339</v>
      </c>
      <c r="AH782" t="s">
        <v>65</v>
      </c>
      <c r="AI782" t="s">
        <v>349</v>
      </c>
      <c r="AJ782">
        <v>2009</v>
      </c>
      <c r="AK782" t="s">
        <v>341</v>
      </c>
      <c r="AN782" t="s">
        <v>94</v>
      </c>
      <c r="AO782" t="s">
        <v>106</v>
      </c>
      <c r="AP782" t="s">
        <v>69</v>
      </c>
      <c r="AQ782" t="s">
        <v>342</v>
      </c>
      <c r="AR782" t="s">
        <v>70</v>
      </c>
      <c r="AS782">
        <v>305</v>
      </c>
      <c r="AT782" t="s">
        <v>71</v>
      </c>
      <c r="AU782">
        <v>36.5</v>
      </c>
      <c r="AV782">
        <v>29.56</v>
      </c>
      <c r="AW782" t="s">
        <v>72</v>
      </c>
      <c r="AX782">
        <v>305</v>
      </c>
      <c r="AY782" t="s">
        <v>71</v>
      </c>
      <c r="AZ782">
        <v>26.73</v>
      </c>
      <c r="BA782">
        <v>18.100000000000001</v>
      </c>
      <c r="BB782" t="s">
        <v>73</v>
      </c>
    </row>
    <row r="783" spans="1:54" x14ac:dyDescent="0.4">
      <c r="A783">
        <v>401600</v>
      </c>
      <c r="D783" t="s">
        <v>54</v>
      </c>
      <c r="E783" t="s">
        <v>153</v>
      </c>
      <c r="I783" t="s">
        <v>57</v>
      </c>
      <c r="K783" t="s">
        <v>80</v>
      </c>
      <c r="L783" t="s">
        <v>350</v>
      </c>
      <c r="M783" t="s">
        <v>59</v>
      </c>
      <c r="P783" t="s">
        <v>83</v>
      </c>
      <c r="R783" t="s">
        <v>84</v>
      </c>
      <c r="S783" t="s">
        <v>61</v>
      </c>
      <c r="T783">
        <v>251.2</v>
      </c>
      <c r="U783">
        <v>246.7</v>
      </c>
      <c r="V783">
        <f>(T783+U783)/2</f>
        <v>248.95</v>
      </c>
      <c r="W783">
        <f>T783-U783</f>
        <v>4.5</v>
      </c>
      <c r="X783">
        <v>19.633333</v>
      </c>
      <c r="Y783">
        <v>50.133330999999998</v>
      </c>
      <c r="Z783" t="s">
        <v>77</v>
      </c>
      <c r="AA783" t="s">
        <v>337</v>
      </c>
      <c r="AB783" t="s">
        <v>338</v>
      </c>
      <c r="AC783" t="s">
        <v>339</v>
      </c>
      <c r="AH783" t="s">
        <v>65</v>
      </c>
      <c r="AI783" t="s">
        <v>351</v>
      </c>
      <c r="AJ783">
        <v>2009</v>
      </c>
      <c r="AK783" t="s">
        <v>341</v>
      </c>
      <c r="AN783" t="s">
        <v>94</v>
      </c>
      <c r="AO783" t="s">
        <v>106</v>
      </c>
      <c r="AP783" t="s">
        <v>69</v>
      </c>
      <c r="AQ783" t="s">
        <v>342</v>
      </c>
      <c r="AR783" t="s">
        <v>70</v>
      </c>
      <c r="AS783">
        <v>305</v>
      </c>
      <c r="AT783" t="s">
        <v>71</v>
      </c>
      <c r="AU783">
        <v>36.5</v>
      </c>
      <c r="AV783">
        <v>29.56</v>
      </c>
      <c r="AW783" t="s">
        <v>72</v>
      </c>
      <c r="AX783">
        <v>305</v>
      </c>
      <c r="AY783" t="s">
        <v>71</v>
      </c>
      <c r="AZ783">
        <v>26.73</v>
      </c>
      <c r="BA783">
        <v>18.100000000000001</v>
      </c>
      <c r="BB783" t="s">
        <v>73</v>
      </c>
    </row>
    <row r="784" spans="1:54" x14ac:dyDescent="0.4">
      <c r="A784">
        <v>411697</v>
      </c>
      <c r="D784" t="s">
        <v>54</v>
      </c>
      <c r="G784">
        <v>3</v>
      </c>
      <c r="H784" t="s">
        <v>74</v>
      </c>
      <c r="I784" t="s">
        <v>57</v>
      </c>
      <c r="K784" t="s">
        <v>80</v>
      </c>
      <c r="L784" t="s">
        <v>360</v>
      </c>
      <c r="M784" t="s">
        <v>59</v>
      </c>
      <c r="P784" t="s">
        <v>83</v>
      </c>
      <c r="R784" t="s">
        <v>84</v>
      </c>
      <c r="S784" t="s">
        <v>61</v>
      </c>
      <c r="T784">
        <v>251.2</v>
      </c>
      <c r="U784">
        <v>246.7</v>
      </c>
      <c r="V784">
        <f>(T784+U784)/2</f>
        <v>248.95</v>
      </c>
      <c r="W784">
        <f>T784-U784</f>
        <v>4.5</v>
      </c>
      <c r="X784">
        <v>52.113888000000003</v>
      </c>
      <c r="Y784">
        <v>65.448334000000003</v>
      </c>
      <c r="Z784" t="s">
        <v>99</v>
      </c>
      <c r="AA784" t="s">
        <v>139</v>
      </c>
      <c r="AB784" t="s">
        <v>308</v>
      </c>
      <c r="AD784" t="s">
        <v>361</v>
      </c>
      <c r="AH784" t="s">
        <v>65</v>
      </c>
      <c r="AI784" t="s">
        <v>362</v>
      </c>
      <c r="AJ784">
        <v>1990</v>
      </c>
      <c r="AK784" t="s">
        <v>363</v>
      </c>
      <c r="AM784" t="s">
        <v>364</v>
      </c>
      <c r="AN784" t="s">
        <v>94</v>
      </c>
      <c r="AO784" t="s">
        <v>68</v>
      </c>
      <c r="AP784" t="s">
        <v>182</v>
      </c>
      <c r="AQ784" t="s">
        <v>365</v>
      </c>
      <c r="AR784" t="s">
        <v>70</v>
      </c>
      <c r="AS784">
        <v>302</v>
      </c>
      <c r="AT784" t="s">
        <v>71</v>
      </c>
      <c r="AU784">
        <v>47.93</v>
      </c>
      <c r="AV784">
        <v>50.53</v>
      </c>
      <c r="AW784" t="s">
        <v>72</v>
      </c>
      <c r="AX784">
        <v>301</v>
      </c>
      <c r="AY784" t="s">
        <v>71</v>
      </c>
      <c r="AZ784">
        <v>31.36</v>
      </c>
      <c r="BA784">
        <v>40.4</v>
      </c>
      <c r="BB784" t="s">
        <v>73</v>
      </c>
    </row>
    <row r="785" spans="1:54" x14ac:dyDescent="0.4">
      <c r="A785">
        <v>733515</v>
      </c>
      <c r="D785" t="s">
        <v>54</v>
      </c>
      <c r="G785">
        <v>1</v>
      </c>
      <c r="H785" t="s">
        <v>56</v>
      </c>
      <c r="I785" t="s">
        <v>57</v>
      </c>
      <c r="K785" t="s">
        <v>80</v>
      </c>
      <c r="L785" t="s">
        <v>495</v>
      </c>
      <c r="M785" t="s">
        <v>59</v>
      </c>
      <c r="P785" t="s">
        <v>83</v>
      </c>
      <c r="R785" t="s">
        <v>84</v>
      </c>
      <c r="S785" t="s">
        <v>61</v>
      </c>
      <c r="T785">
        <v>251.2</v>
      </c>
      <c r="U785">
        <v>246.7</v>
      </c>
      <c r="V785">
        <f>(T785+U785)/2</f>
        <v>248.95</v>
      </c>
      <c r="W785">
        <f>T785-U785</f>
        <v>4.5</v>
      </c>
      <c r="X785">
        <v>26.115278</v>
      </c>
      <c r="Y785">
        <v>-32.198891000000003</v>
      </c>
      <c r="Z785" t="s">
        <v>99</v>
      </c>
      <c r="AA785" t="s">
        <v>86</v>
      </c>
      <c r="AB785" t="s">
        <v>87</v>
      </c>
      <c r="AC785" t="s">
        <v>496</v>
      </c>
      <c r="AD785" t="s">
        <v>89</v>
      </c>
      <c r="AE785" t="s">
        <v>90</v>
      </c>
      <c r="AG785" t="s">
        <v>497</v>
      </c>
      <c r="AH785" t="s">
        <v>65</v>
      </c>
      <c r="AI785" t="s">
        <v>498</v>
      </c>
      <c r="AJ785">
        <v>2002</v>
      </c>
      <c r="AK785" t="s">
        <v>499</v>
      </c>
      <c r="AN785" t="s">
        <v>177</v>
      </c>
      <c r="AO785" t="s">
        <v>68</v>
      </c>
      <c r="AP785" t="s">
        <v>314</v>
      </c>
      <c r="AQ785" t="s">
        <v>500</v>
      </c>
      <c r="AR785" t="s">
        <v>70</v>
      </c>
      <c r="AS785">
        <v>701</v>
      </c>
      <c r="AT785" t="s">
        <v>71</v>
      </c>
      <c r="AU785">
        <v>-11.61</v>
      </c>
      <c r="AV785">
        <v>-51.2</v>
      </c>
      <c r="AW785" t="s">
        <v>72</v>
      </c>
      <c r="AX785">
        <v>701</v>
      </c>
      <c r="AY785" t="s">
        <v>71</v>
      </c>
      <c r="AZ785">
        <v>-21.34</v>
      </c>
      <c r="BA785">
        <v>-65.61</v>
      </c>
      <c r="BB785" t="s">
        <v>73</v>
      </c>
    </row>
    <row r="786" spans="1:54" x14ac:dyDescent="0.4">
      <c r="A786">
        <v>745262</v>
      </c>
      <c r="D786" t="s">
        <v>54</v>
      </c>
      <c r="G786">
        <v>1</v>
      </c>
      <c r="H786" t="s">
        <v>56</v>
      </c>
      <c r="I786" t="s">
        <v>57</v>
      </c>
      <c r="K786" t="s">
        <v>80</v>
      </c>
      <c r="L786" t="s">
        <v>517</v>
      </c>
      <c r="M786" t="s">
        <v>59</v>
      </c>
      <c r="P786" t="s">
        <v>83</v>
      </c>
      <c r="R786" t="s">
        <v>84</v>
      </c>
      <c r="S786" t="s">
        <v>61</v>
      </c>
      <c r="T786">
        <v>251.2</v>
      </c>
      <c r="U786">
        <v>246.7</v>
      </c>
      <c r="V786">
        <f>(T786+U786)/2</f>
        <v>248.95</v>
      </c>
      <c r="W786">
        <f>T786-U786</f>
        <v>4.5</v>
      </c>
      <c r="X786">
        <v>55.640835000000003</v>
      </c>
      <c r="Y786">
        <v>52.027779000000002</v>
      </c>
      <c r="Z786" t="s">
        <v>239</v>
      </c>
      <c r="AA786" t="s">
        <v>139</v>
      </c>
      <c r="AB786" t="s">
        <v>316</v>
      </c>
      <c r="AD786" t="s">
        <v>518</v>
      </c>
      <c r="AF786" t="s">
        <v>519</v>
      </c>
      <c r="AH786" t="s">
        <v>65</v>
      </c>
      <c r="AI786" t="s">
        <v>520</v>
      </c>
      <c r="AJ786">
        <v>2004</v>
      </c>
      <c r="AK786" t="s">
        <v>521</v>
      </c>
      <c r="AN786" t="s">
        <v>121</v>
      </c>
      <c r="AO786" t="s">
        <v>68</v>
      </c>
      <c r="AP786" t="s">
        <v>182</v>
      </c>
      <c r="AQ786" t="s">
        <v>522</v>
      </c>
      <c r="AR786" t="s">
        <v>70</v>
      </c>
      <c r="AS786">
        <v>302</v>
      </c>
      <c r="AT786" t="s">
        <v>71</v>
      </c>
      <c r="AU786">
        <v>60.71</v>
      </c>
      <c r="AV786">
        <v>40.33</v>
      </c>
      <c r="AW786" t="s">
        <v>72</v>
      </c>
      <c r="AX786">
        <v>301</v>
      </c>
      <c r="AY786" t="s">
        <v>71</v>
      </c>
      <c r="AZ786">
        <v>45.5</v>
      </c>
      <c r="BA786">
        <v>32.97</v>
      </c>
      <c r="BB786" t="s">
        <v>73</v>
      </c>
    </row>
    <row r="787" spans="1:54" x14ac:dyDescent="0.4">
      <c r="A787">
        <v>789764</v>
      </c>
      <c r="D787" t="s">
        <v>54</v>
      </c>
      <c r="G787">
        <v>1</v>
      </c>
      <c r="H787" t="s">
        <v>56</v>
      </c>
      <c r="I787" t="s">
        <v>57</v>
      </c>
      <c r="K787" t="s">
        <v>80</v>
      </c>
      <c r="L787" t="s">
        <v>517</v>
      </c>
      <c r="M787" t="s">
        <v>59</v>
      </c>
      <c r="P787" t="s">
        <v>83</v>
      </c>
      <c r="R787" t="s">
        <v>84</v>
      </c>
      <c r="S787" t="s">
        <v>61</v>
      </c>
      <c r="T787">
        <v>251.2</v>
      </c>
      <c r="U787">
        <v>246.7</v>
      </c>
      <c r="V787">
        <f>(T787+U787)/2</f>
        <v>248.95</v>
      </c>
      <c r="W787">
        <f>T787-U787</f>
        <v>4.5</v>
      </c>
      <c r="X787">
        <v>55.640835000000003</v>
      </c>
      <c r="Y787">
        <v>52.027779000000002</v>
      </c>
      <c r="Z787" t="s">
        <v>239</v>
      </c>
      <c r="AA787" t="s">
        <v>139</v>
      </c>
      <c r="AB787" t="s">
        <v>316</v>
      </c>
      <c r="AD787" t="s">
        <v>518</v>
      </c>
      <c r="AF787" t="s">
        <v>519</v>
      </c>
      <c r="AH787" t="s">
        <v>65</v>
      </c>
      <c r="AI787" t="s">
        <v>643</v>
      </c>
      <c r="AJ787">
        <v>1991</v>
      </c>
      <c r="AK787" t="s">
        <v>521</v>
      </c>
      <c r="AN787" t="s">
        <v>121</v>
      </c>
      <c r="AO787" t="s">
        <v>68</v>
      </c>
      <c r="AP787" t="s">
        <v>182</v>
      </c>
      <c r="AQ787" t="s">
        <v>522</v>
      </c>
      <c r="AR787" t="s">
        <v>70</v>
      </c>
      <c r="AS787">
        <v>302</v>
      </c>
      <c r="AT787" t="s">
        <v>71</v>
      </c>
      <c r="AU787">
        <v>60.71</v>
      </c>
      <c r="AV787">
        <v>40.33</v>
      </c>
      <c r="AW787" t="s">
        <v>72</v>
      </c>
      <c r="AX787">
        <v>301</v>
      </c>
      <c r="AY787" t="s">
        <v>71</v>
      </c>
      <c r="AZ787">
        <v>45.5</v>
      </c>
      <c r="BA787">
        <v>32.97</v>
      </c>
      <c r="BB787" t="s">
        <v>73</v>
      </c>
    </row>
    <row r="788" spans="1:54" x14ac:dyDescent="0.4">
      <c r="A788">
        <v>789766</v>
      </c>
      <c r="D788" t="s">
        <v>54</v>
      </c>
      <c r="G788">
        <v>14</v>
      </c>
      <c r="H788" t="s">
        <v>74</v>
      </c>
      <c r="I788" t="s">
        <v>57</v>
      </c>
      <c r="K788" t="s">
        <v>80</v>
      </c>
      <c r="L788" t="s">
        <v>517</v>
      </c>
      <c r="M788" t="s">
        <v>59</v>
      </c>
      <c r="P788" t="s">
        <v>83</v>
      </c>
      <c r="R788" t="s">
        <v>84</v>
      </c>
      <c r="S788" t="s">
        <v>61</v>
      </c>
      <c r="T788">
        <v>251.2</v>
      </c>
      <c r="U788">
        <v>246.7</v>
      </c>
      <c r="V788">
        <f>(T788+U788)/2</f>
        <v>248.95</v>
      </c>
      <c r="W788">
        <f>T788-U788</f>
        <v>4.5</v>
      </c>
      <c r="X788">
        <v>49.558334000000002</v>
      </c>
      <c r="Y788">
        <v>62.058334000000002</v>
      </c>
      <c r="Z788" t="s">
        <v>99</v>
      </c>
      <c r="AA788" t="s">
        <v>139</v>
      </c>
      <c r="AB788" t="s">
        <v>308</v>
      </c>
      <c r="AC788" t="s">
        <v>644</v>
      </c>
      <c r="AD788" t="s">
        <v>645</v>
      </c>
      <c r="AE788" t="s">
        <v>646</v>
      </c>
      <c r="AH788" t="s">
        <v>65</v>
      </c>
      <c r="AI788" t="s">
        <v>647</v>
      </c>
      <c r="AJ788">
        <v>2002</v>
      </c>
      <c r="AK788" t="s">
        <v>648</v>
      </c>
      <c r="AM788" t="s">
        <v>649</v>
      </c>
      <c r="AN788" t="s">
        <v>94</v>
      </c>
      <c r="AO788" t="s">
        <v>68</v>
      </c>
      <c r="AP788" t="s">
        <v>95</v>
      </c>
      <c r="AQ788" t="s">
        <v>650</v>
      </c>
      <c r="AR788" t="s">
        <v>70</v>
      </c>
      <c r="AS788">
        <v>302</v>
      </c>
      <c r="AT788" t="s">
        <v>71</v>
      </c>
      <c r="AU788">
        <v>49.48</v>
      </c>
      <c r="AV788">
        <v>47.11</v>
      </c>
      <c r="AW788" t="s">
        <v>72</v>
      </c>
      <c r="AX788">
        <v>301</v>
      </c>
      <c r="AY788" t="s">
        <v>71</v>
      </c>
      <c r="AZ788">
        <v>33.75</v>
      </c>
      <c r="BA788">
        <v>37.36</v>
      </c>
      <c r="BB788" t="s">
        <v>73</v>
      </c>
    </row>
    <row r="789" spans="1:54" x14ac:dyDescent="0.4">
      <c r="A789">
        <v>832665</v>
      </c>
      <c r="D789" t="s">
        <v>763</v>
      </c>
      <c r="G789">
        <v>1</v>
      </c>
      <c r="H789" t="s">
        <v>56</v>
      </c>
      <c r="I789" t="s">
        <v>57</v>
      </c>
      <c r="K789" t="s">
        <v>80</v>
      </c>
      <c r="L789" t="s">
        <v>1014</v>
      </c>
      <c r="M789" t="s">
        <v>59</v>
      </c>
      <c r="P789" t="s">
        <v>83</v>
      </c>
      <c r="R789" t="s">
        <v>84</v>
      </c>
      <c r="S789" t="s">
        <v>61</v>
      </c>
      <c r="T789">
        <v>251.2</v>
      </c>
      <c r="U789">
        <v>246.7</v>
      </c>
      <c r="V789">
        <f>(T789+U789)/2</f>
        <v>248.95</v>
      </c>
      <c r="W789">
        <f>T789-U789</f>
        <v>4.5</v>
      </c>
      <c r="X789">
        <v>27.1</v>
      </c>
      <c r="Y789">
        <v>-32.291668000000001</v>
      </c>
      <c r="Z789" t="s">
        <v>85</v>
      </c>
      <c r="AA789" t="s">
        <v>86</v>
      </c>
      <c r="AB789" t="s">
        <v>87</v>
      </c>
      <c r="AC789" t="s">
        <v>1015</v>
      </c>
      <c r="AD789" t="s">
        <v>89</v>
      </c>
      <c r="AE789" t="s">
        <v>90</v>
      </c>
      <c r="AG789" t="s">
        <v>1016</v>
      </c>
      <c r="AH789" t="s">
        <v>65</v>
      </c>
      <c r="AI789" t="s">
        <v>1017</v>
      </c>
      <c r="AJ789">
        <v>2008</v>
      </c>
      <c r="AK789" t="s">
        <v>1018</v>
      </c>
      <c r="AM789" t="s">
        <v>1019</v>
      </c>
      <c r="AN789" t="s">
        <v>121</v>
      </c>
      <c r="AO789" t="s">
        <v>68</v>
      </c>
      <c r="AP789" t="s">
        <v>95</v>
      </c>
      <c r="AQ789" t="s">
        <v>1020</v>
      </c>
      <c r="AR789" t="s">
        <v>70</v>
      </c>
      <c r="AS789">
        <v>701</v>
      </c>
      <c r="AT789" t="s">
        <v>71</v>
      </c>
      <c r="AU789">
        <v>-10.94</v>
      </c>
      <c r="AV789">
        <v>-51.93</v>
      </c>
      <c r="AW789" t="s">
        <v>72</v>
      </c>
      <c r="AX789">
        <v>701</v>
      </c>
      <c r="AY789" t="s">
        <v>71</v>
      </c>
      <c r="AZ789">
        <v>-20.46</v>
      </c>
      <c r="BA789">
        <v>-66.37</v>
      </c>
      <c r="BB789" t="s">
        <v>73</v>
      </c>
    </row>
    <row r="790" spans="1:54" x14ac:dyDescent="0.4">
      <c r="A790">
        <v>832666</v>
      </c>
      <c r="D790" t="s">
        <v>763</v>
      </c>
      <c r="I790" t="s">
        <v>57</v>
      </c>
      <c r="K790" t="s">
        <v>80</v>
      </c>
      <c r="L790" t="s">
        <v>81</v>
      </c>
      <c r="M790" t="s">
        <v>59</v>
      </c>
      <c r="P790" t="s">
        <v>83</v>
      </c>
      <c r="R790" t="s">
        <v>84</v>
      </c>
      <c r="S790" t="s">
        <v>61</v>
      </c>
      <c r="T790">
        <v>251.2</v>
      </c>
      <c r="U790">
        <v>246.7</v>
      </c>
      <c r="V790">
        <f>(T790+U790)/2</f>
        <v>248.95</v>
      </c>
      <c r="W790">
        <f>T790-U790</f>
        <v>4.5</v>
      </c>
      <c r="X790">
        <v>27.1</v>
      </c>
      <c r="Y790">
        <v>-32.291668000000001</v>
      </c>
      <c r="Z790" t="s">
        <v>85</v>
      </c>
      <c r="AA790" t="s">
        <v>86</v>
      </c>
      <c r="AB790" t="s">
        <v>87</v>
      </c>
      <c r="AC790" t="s">
        <v>1015</v>
      </c>
      <c r="AD790" t="s">
        <v>89</v>
      </c>
      <c r="AE790" t="s">
        <v>90</v>
      </c>
      <c r="AG790" t="s">
        <v>1016</v>
      </c>
      <c r="AH790" t="s">
        <v>65</v>
      </c>
      <c r="AI790" t="s">
        <v>1017</v>
      </c>
      <c r="AJ790">
        <v>2008</v>
      </c>
      <c r="AK790" t="s">
        <v>1018</v>
      </c>
      <c r="AM790" t="s">
        <v>1019</v>
      </c>
      <c r="AN790" t="s">
        <v>121</v>
      </c>
      <c r="AO790" t="s">
        <v>68</v>
      </c>
      <c r="AP790" t="s">
        <v>95</v>
      </c>
      <c r="AQ790" t="s">
        <v>1020</v>
      </c>
      <c r="AR790" t="s">
        <v>70</v>
      </c>
      <c r="AS790">
        <v>701</v>
      </c>
      <c r="AT790" t="s">
        <v>71</v>
      </c>
      <c r="AU790">
        <v>-10.94</v>
      </c>
      <c r="AV790">
        <v>-51.93</v>
      </c>
      <c r="AW790" t="s">
        <v>72</v>
      </c>
      <c r="AX790">
        <v>701</v>
      </c>
      <c r="AY790" t="s">
        <v>71</v>
      </c>
      <c r="AZ790">
        <v>-20.46</v>
      </c>
      <c r="BA790">
        <v>-66.37</v>
      </c>
      <c r="BB790" t="s">
        <v>73</v>
      </c>
    </row>
    <row r="791" spans="1:54" x14ac:dyDescent="0.4">
      <c r="A791">
        <v>838751</v>
      </c>
      <c r="D791" t="s">
        <v>54</v>
      </c>
      <c r="G791">
        <v>1</v>
      </c>
      <c r="H791" t="s">
        <v>56</v>
      </c>
      <c r="I791" t="s">
        <v>57</v>
      </c>
      <c r="K791" t="s">
        <v>80</v>
      </c>
      <c r="L791" t="s">
        <v>1169</v>
      </c>
      <c r="M791" t="s">
        <v>59</v>
      </c>
      <c r="P791" t="s">
        <v>83</v>
      </c>
      <c r="R791" t="s">
        <v>84</v>
      </c>
      <c r="S791" t="s">
        <v>61</v>
      </c>
      <c r="T791">
        <v>251.2</v>
      </c>
      <c r="U791">
        <v>246.7</v>
      </c>
      <c r="V791">
        <f>(T791+U791)/2</f>
        <v>248.95</v>
      </c>
      <c r="W791">
        <f>T791-U791</f>
        <v>4.5</v>
      </c>
      <c r="X791">
        <v>50.176388000000003</v>
      </c>
      <c r="Y791">
        <v>59.496113000000001</v>
      </c>
      <c r="Z791" t="s">
        <v>99</v>
      </c>
      <c r="AA791" t="s">
        <v>139</v>
      </c>
      <c r="AB791" t="s">
        <v>249</v>
      </c>
      <c r="AC791" t="s">
        <v>1170</v>
      </c>
      <c r="AH791" t="s">
        <v>65</v>
      </c>
      <c r="AI791" t="s">
        <v>1171</v>
      </c>
      <c r="AJ791">
        <v>1956</v>
      </c>
      <c r="AK791" t="s">
        <v>1172</v>
      </c>
      <c r="AM791" t="s">
        <v>1173</v>
      </c>
      <c r="AN791" t="s">
        <v>94</v>
      </c>
      <c r="AO791" t="s">
        <v>68</v>
      </c>
      <c r="AP791" t="s">
        <v>95</v>
      </c>
      <c r="AQ791" t="s">
        <v>1174</v>
      </c>
      <c r="AR791" t="s">
        <v>70</v>
      </c>
      <c r="AS791">
        <v>302</v>
      </c>
      <c r="AT791" t="s">
        <v>71</v>
      </c>
      <c r="AU791">
        <v>51.84</v>
      </c>
      <c r="AV791">
        <v>45.11</v>
      </c>
      <c r="AW791" t="s">
        <v>72</v>
      </c>
      <c r="AX791">
        <v>301</v>
      </c>
      <c r="AY791" t="s">
        <v>71</v>
      </c>
      <c r="AZ791">
        <v>36.36</v>
      </c>
      <c r="BA791">
        <v>35.85</v>
      </c>
      <c r="BB791" t="s">
        <v>73</v>
      </c>
    </row>
    <row r="792" spans="1:54" x14ac:dyDescent="0.4">
      <c r="A792">
        <v>838751</v>
      </c>
      <c r="D792" t="s">
        <v>54</v>
      </c>
      <c r="G792">
        <v>1</v>
      </c>
      <c r="H792" t="s">
        <v>56</v>
      </c>
      <c r="I792" t="s">
        <v>57</v>
      </c>
      <c r="K792" t="s">
        <v>80</v>
      </c>
      <c r="L792" t="s">
        <v>1169</v>
      </c>
      <c r="M792" t="s">
        <v>59</v>
      </c>
      <c r="P792" t="s">
        <v>83</v>
      </c>
      <c r="R792" t="s">
        <v>84</v>
      </c>
      <c r="S792" t="s">
        <v>61</v>
      </c>
      <c r="T792">
        <v>251.2</v>
      </c>
      <c r="U792">
        <v>246.7</v>
      </c>
      <c r="V792">
        <f>(T792+U792)/2</f>
        <v>248.95</v>
      </c>
      <c r="W792">
        <f>T792-U792</f>
        <v>4.5</v>
      </c>
      <c r="X792">
        <v>50.176388000000003</v>
      </c>
      <c r="Y792">
        <v>59.496113000000001</v>
      </c>
      <c r="Z792" t="s">
        <v>99</v>
      </c>
      <c r="AA792" t="s">
        <v>139</v>
      </c>
      <c r="AB792" t="s">
        <v>249</v>
      </c>
      <c r="AC792" t="s">
        <v>1170</v>
      </c>
      <c r="AH792" t="s">
        <v>65</v>
      </c>
      <c r="AI792" t="s">
        <v>1171</v>
      </c>
      <c r="AJ792">
        <v>1956</v>
      </c>
      <c r="AK792" t="s">
        <v>1172</v>
      </c>
      <c r="AM792" t="s">
        <v>1173</v>
      </c>
      <c r="AN792" t="s">
        <v>94</v>
      </c>
      <c r="AO792" t="s">
        <v>68</v>
      </c>
      <c r="AP792" t="s">
        <v>95</v>
      </c>
      <c r="AQ792" t="s">
        <v>1174</v>
      </c>
      <c r="AR792" t="s">
        <v>70</v>
      </c>
      <c r="AS792">
        <v>302</v>
      </c>
      <c r="AT792" t="s">
        <v>71</v>
      </c>
      <c r="AU792">
        <v>51.84</v>
      </c>
      <c r="AV792">
        <v>45.11</v>
      </c>
      <c r="AW792" t="s">
        <v>72</v>
      </c>
      <c r="AX792">
        <v>301</v>
      </c>
      <c r="AY792" t="s">
        <v>71</v>
      </c>
      <c r="AZ792">
        <v>36.36</v>
      </c>
      <c r="BA792">
        <v>35.85</v>
      </c>
      <c r="BB792" t="s">
        <v>73</v>
      </c>
    </row>
    <row r="793" spans="1:54" x14ac:dyDescent="0.4">
      <c r="A793">
        <v>838751</v>
      </c>
      <c r="D793" t="s">
        <v>54</v>
      </c>
      <c r="G793">
        <v>1</v>
      </c>
      <c r="H793" t="s">
        <v>56</v>
      </c>
      <c r="I793" t="s">
        <v>57</v>
      </c>
      <c r="K793" t="s">
        <v>80</v>
      </c>
      <c r="L793" t="s">
        <v>1169</v>
      </c>
      <c r="M793" t="s">
        <v>59</v>
      </c>
      <c r="P793" t="s">
        <v>83</v>
      </c>
      <c r="R793" t="s">
        <v>84</v>
      </c>
      <c r="S793" t="s">
        <v>61</v>
      </c>
      <c r="T793">
        <v>251.2</v>
      </c>
      <c r="U793">
        <v>246.7</v>
      </c>
      <c r="V793">
        <f>(T793+U793)/2</f>
        <v>248.95</v>
      </c>
      <c r="W793">
        <f>T793-U793</f>
        <v>4.5</v>
      </c>
      <c r="X793">
        <v>50.176388000000003</v>
      </c>
      <c r="Y793">
        <v>59.496113000000001</v>
      </c>
      <c r="Z793" t="s">
        <v>99</v>
      </c>
      <c r="AA793" t="s">
        <v>139</v>
      </c>
      <c r="AB793" t="s">
        <v>249</v>
      </c>
      <c r="AC793" t="s">
        <v>1170</v>
      </c>
      <c r="AH793" t="s">
        <v>65</v>
      </c>
      <c r="AI793" t="s">
        <v>1171</v>
      </c>
      <c r="AJ793">
        <v>1956</v>
      </c>
      <c r="AK793" t="s">
        <v>1172</v>
      </c>
      <c r="AM793" t="s">
        <v>1173</v>
      </c>
      <c r="AN793" t="s">
        <v>94</v>
      </c>
      <c r="AO793" t="s">
        <v>68</v>
      </c>
      <c r="AP793" t="s">
        <v>95</v>
      </c>
      <c r="AQ793" t="s">
        <v>1174</v>
      </c>
      <c r="AR793" t="s">
        <v>70</v>
      </c>
      <c r="AS793">
        <v>302</v>
      </c>
      <c r="AT793" t="s">
        <v>71</v>
      </c>
      <c r="AU793">
        <v>51.84</v>
      </c>
      <c r="AV793">
        <v>45.11</v>
      </c>
      <c r="AW793" t="s">
        <v>72</v>
      </c>
      <c r="AX793">
        <v>301</v>
      </c>
      <c r="AY793" t="s">
        <v>71</v>
      </c>
      <c r="AZ793">
        <v>36.36</v>
      </c>
      <c r="BA793">
        <v>35.85</v>
      </c>
      <c r="BB793" t="s">
        <v>73</v>
      </c>
    </row>
    <row r="794" spans="1:54" x14ac:dyDescent="0.4">
      <c r="A794">
        <v>838751</v>
      </c>
      <c r="D794" t="s">
        <v>54</v>
      </c>
      <c r="G794">
        <v>1</v>
      </c>
      <c r="H794" t="s">
        <v>56</v>
      </c>
      <c r="I794" t="s">
        <v>57</v>
      </c>
      <c r="K794" t="s">
        <v>80</v>
      </c>
      <c r="L794" t="s">
        <v>1169</v>
      </c>
      <c r="M794" t="s">
        <v>59</v>
      </c>
      <c r="P794" t="s">
        <v>83</v>
      </c>
      <c r="R794" t="s">
        <v>84</v>
      </c>
      <c r="S794" t="s">
        <v>61</v>
      </c>
      <c r="T794">
        <v>251.2</v>
      </c>
      <c r="U794">
        <v>246.7</v>
      </c>
      <c r="V794">
        <f>(T794+U794)/2</f>
        <v>248.95</v>
      </c>
      <c r="W794">
        <f>T794-U794</f>
        <v>4.5</v>
      </c>
      <c r="X794">
        <v>50.176388000000003</v>
      </c>
      <c r="Y794">
        <v>59.496113000000001</v>
      </c>
      <c r="Z794" t="s">
        <v>99</v>
      </c>
      <c r="AA794" t="s">
        <v>139</v>
      </c>
      <c r="AB794" t="s">
        <v>249</v>
      </c>
      <c r="AC794" t="s">
        <v>1170</v>
      </c>
      <c r="AH794" t="s">
        <v>65</v>
      </c>
      <c r="AI794" t="s">
        <v>1171</v>
      </c>
      <c r="AJ794">
        <v>1956</v>
      </c>
      <c r="AK794" t="s">
        <v>1172</v>
      </c>
      <c r="AM794" t="s">
        <v>1173</v>
      </c>
      <c r="AN794" t="s">
        <v>94</v>
      </c>
      <c r="AO794" t="s">
        <v>68</v>
      </c>
      <c r="AP794" t="s">
        <v>95</v>
      </c>
      <c r="AQ794" t="s">
        <v>1174</v>
      </c>
      <c r="AR794" t="s">
        <v>70</v>
      </c>
      <c r="AS794">
        <v>302</v>
      </c>
      <c r="AT794" t="s">
        <v>71</v>
      </c>
      <c r="AU794">
        <v>51.84</v>
      </c>
      <c r="AV794">
        <v>45.11</v>
      </c>
      <c r="AW794" t="s">
        <v>72</v>
      </c>
      <c r="AX794">
        <v>301</v>
      </c>
      <c r="AY794" t="s">
        <v>71</v>
      </c>
      <c r="AZ794">
        <v>36.36</v>
      </c>
      <c r="BA794">
        <v>35.85</v>
      </c>
      <c r="BB794" t="s">
        <v>73</v>
      </c>
    </row>
    <row r="795" spans="1:54" x14ac:dyDescent="0.4">
      <c r="A795">
        <v>840200</v>
      </c>
      <c r="D795" t="s">
        <v>54</v>
      </c>
      <c r="G795">
        <v>1</v>
      </c>
      <c r="H795" t="s">
        <v>74</v>
      </c>
      <c r="I795" t="s">
        <v>57</v>
      </c>
      <c r="K795" t="s">
        <v>80</v>
      </c>
      <c r="L795" t="s">
        <v>517</v>
      </c>
      <c r="M795" t="s">
        <v>59</v>
      </c>
      <c r="P795" t="s">
        <v>83</v>
      </c>
      <c r="R795" t="s">
        <v>84</v>
      </c>
      <c r="S795" t="s">
        <v>61</v>
      </c>
      <c r="T795">
        <v>251.2</v>
      </c>
      <c r="U795">
        <v>246.7</v>
      </c>
      <c r="V795">
        <f>(T795+U795)/2</f>
        <v>248.95</v>
      </c>
      <c r="W795">
        <f>T795-U795</f>
        <v>4.5</v>
      </c>
      <c r="X795">
        <v>49.558334000000002</v>
      </c>
      <c r="Y795">
        <v>62.058334000000002</v>
      </c>
      <c r="Z795" t="s">
        <v>99</v>
      </c>
      <c r="AA795" t="s">
        <v>139</v>
      </c>
      <c r="AB795" t="s">
        <v>308</v>
      </c>
      <c r="AC795" t="s">
        <v>644</v>
      </c>
      <c r="AD795" t="s">
        <v>645</v>
      </c>
      <c r="AE795" t="s">
        <v>646</v>
      </c>
      <c r="AH795" t="s">
        <v>65</v>
      </c>
      <c r="AI795" t="s">
        <v>207</v>
      </c>
      <c r="AJ795">
        <v>1975</v>
      </c>
      <c r="AK795" t="s">
        <v>648</v>
      </c>
      <c r="AM795" t="s">
        <v>649</v>
      </c>
      <c r="AN795" t="s">
        <v>94</v>
      </c>
      <c r="AO795" t="s">
        <v>68</v>
      </c>
      <c r="AP795" t="s">
        <v>95</v>
      </c>
      <c r="AQ795" t="s">
        <v>650</v>
      </c>
      <c r="AR795" t="s">
        <v>70</v>
      </c>
      <c r="AS795">
        <v>302</v>
      </c>
      <c r="AT795" t="s">
        <v>71</v>
      </c>
      <c r="AU795">
        <v>49.48</v>
      </c>
      <c r="AV795">
        <v>47.11</v>
      </c>
      <c r="AW795" t="s">
        <v>72</v>
      </c>
      <c r="AX795">
        <v>301</v>
      </c>
      <c r="AY795" t="s">
        <v>71</v>
      </c>
      <c r="AZ795">
        <v>33.75</v>
      </c>
      <c r="BA795">
        <v>37.36</v>
      </c>
      <c r="BB795" t="s">
        <v>73</v>
      </c>
    </row>
    <row r="796" spans="1:54" x14ac:dyDescent="0.4">
      <c r="A796">
        <v>840267</v>
      </c>
      <c r="D796" t="s">
        <v>54</v>
      </c>
      <c r="F796" t="s">
        <v>1180</v>
      </c>
      <c r="G796">
        <v>8</v>
      </c>
      <c r="H796" t="s">
        <v>74</v>
      </c>
      <c r="I796" t="s">
        <v>57</v>
      </c>
      <c r="K796" t="s">
        <v>102</v>
      </c>
      <c r="L796" t="s">
        <v>307</v>
      </c>
      <c r="M796" t="s">
        <v>59</v>
      </c>
      <c r="P796" t="s">
        <v>83</v>
      </c>
      <c r="R796" t="s">
        <v>84</v>
      </c>
      <c r="S796" t="s">
        <v>61</v>
      </c>
      <c r="T796">
        <v>251.2</v>
      </c>
      <c r="U796">
        <v>246.7</v>
      </c>
      <c r="V796">
        <f>(T796+U796)/2</f>
        <v>248.95</v>
      </c>
      <c r="W796">
        <f>T796-U796</f>
        <v>4.5</v>
      </c>
      <c r="X796">
        <v>45.174999</v>
      </c>
      <c r="Y796">
        <v>59.783332999999999</v>
      </c>
      <c r="Z796" t="s">
        <v>85</v>
      </c>
      <c r="AA796" t="s">
        <v>139</v>
      </c>
      <c r="AB796" t="s">
        <v>1125</v>
      </c>
      <c r="AC796" t="s">
        <v>1181</v>
      </c>
      <c r="AH796" t="s">
        <v>65</v>
      </c>
      <c r="AI796" t="s">
        <v>335</v>
      </c>
      <c r="AJ796">
        <v>1940</v>
      </c>
      <c r="AK796" t="s">
        <v>1182</v>
      </c>
      <c r="AM796" t="s">
        <v>1183</v>
      </c>
      <c r="AN796" t="s">
        <v>94</v>
      </c>
      <c r="AO796" t="s">
        <v>106</v>
      </c>
      <c r="AP796" t="s">
        <v>69</v>
      </c>
      <c r="AQ796" t="s">
        <v>1184</v>
      </c>
      <c r="AR796" t="s">
        <v>70</v>
      </c>
      <c r="AS796">
        <v>302</v>
      </c>
      <c r="AT796" t="s">
        <v>71</v>
      </c>
      <c r="AU796">
        <v>48.59</v>
      </c>
      <c r="AV796">
        <v>44.05</v>
      </c>
      <c r="AW796" t="s">
        <v>72</v>
      </c>
      <c r="AX796">
        <v>301</v>
      </c>
      <c r="AY796" t="s">
        <v>71</v>
      </c>
      <c r="AZ796">
        <v>33.950000000000003</v>
      </c>
      <c r="BA796">
        <v>34.25</v>
      </c>
      <c r="BB796" t="s">
        <v>73</v>
      </c>
    </row>
    <row r="797" spans="1:54" x14ac:dyDescent="0.4">
      <c r="A797">
        <v>840268</v>
      </c>
      <c r="D797" t="s">
        <v>54</v>
      </c>
      <c r="F797" t="s">
        <v>1180</v>
      </c>
      <c r="G797">
        <v>1</v>
      </c>
      <c r="H797" t="s">
        <v>56</v>
      </c>
      <c r="I797" t="s">
        <v>57</v>
      </c>
      <c r="K797" t="s">
        <v>1185</v>
      </c>
      <c r="L797" t="s">
        <v>1186</v>
      </c>
      <c r="M797" t="s">
        <v>59</v>
      </c>
      <c r="N797" t="s">
        <v>97</v>
      </c>
      <c r="O797" t="s">
        <v>76</v>
      </c>
      <c r="P797" t="s">
        <v>83</v>
      </c>
      <c r="R797" t="s">
        <v>84</v>
      </c>
      <c r="S797" t="s">
        <v>61</v>
      </c>
      <c r="T797">
        <v>251.2</v>
      </c>
      <c r="U797">
        <v>246.7</v>
      </c>
      <c r="V797">
        <f>(T797+U797)/2</f>
        <v>248.95</v>
      </c>
      <c r="W797">
        <f>T797-U797</f>
        <v>4.5</v>
      </c>
      <c r="X797">
        <v>45.174999</v>
      </c>
      <c r="Y797">
        <v>59.783332999999999</v>
      </c>
      <c r="Z797" t="s">
        <v>85</v>
      </c>
      <c r="AA797" t="s">
        <v>139</v>
      </c>
      <c r="AB797" t="s">
        <v>1125</v>
      </c>
      <c r="AC797" t="s">
        <v>1181</v>
      </c>
      <c r="AH797" t="s">
        <v>65</v>
      </c>
      <c r="AI797" t="s">
        <v>335</v>
      </c>
      <c r="AJ797">
        <v>1940</v>
      </c>
      <c r="AK797" t="s">
        <v>1182</v>
      </c>
      <c r="AM797" t="s">
        <v>1183</v>
      </c>
      <c r="AN797" t="s">
        <v>94</v>
      </c>
      <c r="AO797" t="s">
        <v>106</v>
      </c>
      <c r="AP797" t="s">
        <v>69</v>
      </c>
      <c r="AQ797" t="s">
        <v>1184</v>
      </c>
      <c r="AR797" t="s">
        <v>70</v>
      </c>
      <c r="AS797">
        <v>302</v>
      </c>
      <c r="AT797" t="s">
        <v>71</v>
      </c>
      <c r="AU797">
        <v>48.59</v>
      </c>
      <c r="AV797">
        <v>44.05</v>
      </c>
      <c r="AW797" t="s">
        <v>72</v>
      </c>
      <c r="AX797">
        <v>301</v>
      </c>
      <c r="AY797" t="s">
        <v>71</v>
      </c>
      <c r="AZ797">
        <v>33.950000000000003</v>
      </c>
      <c r="BA797">
        <v>34.25</v>
      </c>
      <c r="BB797" t="s">
        <v>73</v>
      </c>
    </row>
    <row r="798" spans="1:54" x14ac:dyDescent="0.4">
      <c r="A798">
        <v>840350</v>
      </c>
      <c r="D798" t="s">
        <v>54</v>
      </c>
      <c r="G798">
        <v>1</v>
      </c>
      <c r="H798" t="s">
        <v>228</v>
      </c>
      <c r="I798" t="s">
        <v>57</v>
      </c>
      <c r="K798" t="s">
        <v>102</v>
      </c>
      <c r="L798" t="s">
        <v>307</v>
      </c>
      <c r="M798" t="s">
        <v>59</v>
      </c>
      <c r="P798" t="s">
        <v>83</v>
      </c>
      <c r="R798" t="s">
        <v>84</v>
      </c>
      <c r="S798" t="s">
        <v>61</v>
      </c>
      <c r="T798">
        <v>251.2</v>
      </c>
      <c r="U798">
        <v>246.7</v>
      </c>
      <c r="V798">
        <f>(T798+U798)/2</f>
        <v>248.95</v>
      </c>
      <c r="W798">
        <f>T798-U798</f>
        <v>4.5</v>
      </c>
      <c r="X798">
        <v>52.656387000000002</v>
      </c>
      <c r="Y798">
        <v>52.34639</v>
      </c>
      <c r="Z798" t="s">
        <v>454</v>
      </c>
      <c r="AA798" t="s">
        <v>139</v>
      </c>
      <c r="AB798" t="s">
        <v>316</v>
      </c>
      <c r="AC798" t="s">
        <v>1187</v>
      </c>
      <c r="AD798" t="s">
        <v>1188</v>
      </c>
      <c r="AH798" t="s">
        <v>11</v>
      </c>
      <c r="AI798" t="s">
        <v>716</v>
      </c>
      <c r="AJ798">
        <v>2003</v>
      </c>
      <c r="AK798" t="s">
        <v>1189</v>
      </c>
      <c r="AM798" t="s">
        <v>1190</v>
      </c>
      <c r="AN798" t="s">
        <v>121</v>
      </c>
      <c r="AO798" t="s">
        <v>68</v>
      </c>
      <c r="AP798" t="s">
        <v>95</v>
      </c>
      <c r="AQ798" t="s">
        <v>1191</v>
      </c>
      <c r="AR798" t="s">
        <v>70</v>
      </c>
      <c r="AS798">
        <v>302</v>
      </c>
      <c r="AT798" t="s">
        <v>71</v>
      </c>
      <c r="AU798">
        <v>58.43</v>
      </c>
      <c r="AV798">
        <v>39.69</v>
      </c>
      <c r="AW798" t="s">
        <v>72</v>
      </c>
      <c r="AX798">
        <v>301</v>
      </c>
      <c r="AY798" t="s">
        <v>71</v>
      </c>
      <c r="AZ798">
        <v>43.72</v>
      </c>
      <c r="BA798">
        <v>31.88</v>
      </c>
      <c r="BB798" t="s">
        <v>73</v>
      </c>
    </row>
    <row r="799" spans="1:54" x14ac:dyDescent="0.4">
      <c r="A799">
        <v>840353</v>
      </c>
      <c r="D799" t="s">
        <v>54</v>
      </c>
      <c r="G799">
        <v>1</v>
      </c>
      <c r="H799" t="s">
        <v>56</v>
      </c>
      <c r="I799" t="s">
        <v>57</v>
      </c>
      <c r="K799" t="s">
        <v>80</v>
      </c>
      <c r="L799" t="s">
        <v>1192</v>
      </c>
      <c r="M799" t="s">
        <v>59</v>
      </c>
      <c r="P799" t="s">
        <v>83</v>
      </c>
      <c r="R799" t="s">
        <v>84</v>
      </c>
      <c r="S799" t="s">
        <v>61</v>
      </c>
      <c r="T799">
        <v>251.2</v>
      </c>
      <c r="U799">
        <v>246.7</v>
      </c>
      <c r="V799">
        <f>(T799+U799)/2</f>
        <v>248.95</v>
      </c>
      <c r="W799">
        <f>T799-U799</f>
        <v>4.5</v>
      </c>
      <c r="X799">
        <v>52.656387000000002</v>
      </c>
      <c r="Y799">
        <v>52.34639</v>
      </c>
      <c r="Z799" t="s">
        <v>454</v>
      </c>
      <c r="AA799" t="s">
        <v>139</v>
      </c>
      <c r="AB799" t="s">
        <v>316</v>
      </c>
      <c r="AC799" t="s">
        <v>1187</v>
      </c>
      <c r="AD799" t="s">
        <v>1188</v>
      </c>
      <c r="AH799" t="s">
        <v>65</v>
      </c>
      <c r="AI799" t="s">
        <v>716</v>
      </c>
      <c r="AJ799">
        <v>2003</v>
      </c>
      <c r="AK799" t="s">
        <v>1193</v>
      </c>
      <c r="AM799" t="s">
        <v>1190</v>
      </c>
      <c r="AN799" t="s">
        <v>121</v>
      </c>
      <c r="AO799" t="s">
        <v>68</v>
      </c>
      <c r="AP799" t="s">
        <v>95</v>
      </c>
      <c r="AQ799" t="s">
        <v>1194</v>
      </c>
      <c r="AR799" t="s">
        <v>70</v>
      </c>
      <c r="AS799">
        <v>302</v>
      </c>
      <c r="AT799" t="s">
        <v>71</v>
      </c>
      <c r="AU799">
        <v>58.43</v>
      </c>
      <c r="AV799">
        <v>39.69</v>
      </c>
      <c r="AW799" t="s">
        <v>72</v>
      </c>
      <c r="AX799">
        <v>301</v>
      </c>
      <c r="AY799" t="s">
        <v>71</v>
      </c>
      <c r="AZ799">
        <v>43.72</v>
      </c>
      <c r="BA799">
        <v>31.88</v>
      </c>
      <c r="BB799" t="s">
        <v>73</v>
      </c>
    </row>
    <row r="800" spans="1:54" x14ac:dyDescent="0.4">
      <c r="A800">
        <v>840364</v>
      </c>
      <c r="D800" t="s">
        <v>54</v>
      </c>
      <c r="G800">
        <v>2</v>
      </c>
      <c r="H800" t="s">
        <v>242</v>
      </c>
      <c r="I800" t="s">
        <v>57</v>
      </c>
      <c r="K800" t="s">
        <v>80</v>
      </c>
      <c r="L800" t="s">
        <v>1169</v>
      </c>
      <c r="M800" t="s">
        <v>59</v>
      </c>
      <c r="P800" t="s">
        <v>83</v>
      </c>
      <c r="R800" t="s">
        <v>84</v>
      </c>
      <c r="S800" t="s">
        <v>61</v>
      </c>
      <c r="T800">
        <v>251.2</v>
      </c>
      <c r="U800">
        <v>246.7</v>
      </c>
      <c r="V800">
        <f>(T800+U800)/2</f>
        <v>248.95</v>
      </c>
      <c r="W800">
        <f>T800-U800</f>
        <v>4.5</v>
      </c>
      <c r="X800">
        <v>55.244446000000003</v>
      </c>
      <c r="Y800">
        <v>50.808334000000002</v>
      </c>
      <c r="Z800" t="s">
        <v>454</v>
      </c>
      <c r="AA800" t="s">
        <v>139</v>
      </c>
      <c r="AB800" t="s">
        <v>316</v>
      </c>
      <c r="AC800" t="s">
        <v>317</v>
      </c>
      <c r="AD800" t="s">
        <v>518</v>
      </c>
      <c r="AH800" t="s">
        <v>65</v>
      </c>
      <c r="AI800" t="s">
        <v>1195</v>
      </c>
      <c r="AJ800">
        <v>1958</v>
      </c>
      <c r="AK800" t="s">
        <v>1196</v>
      </c>
      <c r="AM800" t="s">
        <v>1197</v>
      </c>
      <c r="AN800" t="s">
        <v>94</v>
      </c>
      <c r="AO800" t="s">
        <v>68</v>
      </c>
      <c r="AP800" t="s">
        <v>69</v>
      </c>
      <c r="AQ800" t="s">
        <v>1198</v>
      </c>
      <c r="AR800" t="s">
        <v>70</v>
      </c>
      <c r="AS800">
        <v>302</v>
      </c>
      <c r="AT800" t="s">
        <v>71</v>
      </c>
      <c r="AU800">
        <v>61.23</v>
      </c>
      <c r="AV800">
        <v>39.159999999999997</v>
      </c>
      <c r="AW800" t="s">
        <v>72</v>
      </c>
      <c r="AX800">
        <v>301</v>
      </c>
      <c r="AY800" t="s">
        <v>71</v>
      </c>
      <c r="AZ800">
        <v>46.34</v>
      </c>
      <c r="BA800">
        <v>31.94</v>
      </c>
      <c r="BB800" t="s">
        <v>73</v>
      </c>
    </row>
    <row r="801" spans="1:54" x14ac:dyDescent="0.4">
      <c r="A801">
        <v>840372</v>
      </c>
      <c r="D801" t="s">
        <v>54</v>
      </c>
      <c r="I801" t="s">
        <v>57</v>
      </c>
      <c r="K801" t="s">
        <v>652</v>
      </c>
      <c r="L801" t="s">
        <v>1199</v>
      </c>
      <c r="M801" t="s">
        <v>59</v>
      </c>
      <c r="P801" t="s">
        <v>83</v>
      </c>
      <c r="R801" t="s">
        <v>84</v>
      </c>
      <c r="S801" t="s">
        <v>61</v>
      </c>
      <c r="T801">
        <v>251.2</v>
      </c>
      <c r="U801">
        <v>246.7</v>
      </c>
      <c r="V801">
        <f>(T801+U801)/2</f>
        <v>248.95</v>
      </c>
      <c r="W801">
        <f>T801-U801</f>
        <v>4.5</v>
      </c>
      <c r="X801">
        <v>55.244446000000003</v>
      </c>
      <c r="Y801">
        <v>50.808334000000002</v>
      </c>
      <c r="Z801" t="s">
        <v>454</v>
      </c>
      <c r="AA801" t="s">
        <v>139</v>
      </c>
      <c r="AB801" t="s">
        <v>316</v>
      </c>
      <c r="AC801" t="s">
        <v>317</v>
      </c>
      <c r="AD801" t="s">
        <v>518</v>
      </c>
      <c r="AH801" t="s">
        <v>65</v>
      </c>
      <c r="AI801" t="s">
        <v>716</v>
      </c>
      <c r="AJ801">
        <v>2003</v>
      </c>
      <c r="AK801" t="s">
        <v>1196</v>
      </c>
      <c r="AM801" t="s">
        <v>1197</v>
      </c>
      <c r="AN801" t="s">
        <v>94</v>
      </c>
      <c r="AO801" t="s">
        <v>68</v>
      </c>
      <c r="AP801" t="s">
        <v>69</v>
      </c>
      <c r="AQ801" t="s">
        <v>1198</v>
      </c>
      <c r="AR801" t="s">
        <v>70</v>
      </c>
      <c r="AS801">
        <v>302</v>
      </c>
      <c r="AT801" t="s">
        <v>71</v>
      </c>
      <c r="AU801">
        <v>61.23</v>
      </c>
      <c r="AV801">
        <v>39.159999999999997</v>
      </c>
      <c r="AW801" t="s">
        <v>72</v>
      </c>
      <c r="AX801">
        <v>301</v>
      </c>
      <c r="AY801" t="s">
        <v>71</v>
      </c>
      <c r="AZ801">
        <v>46.34</v>
      </c>
      <c r="BA801">
        <v>31.94</v>
      </c>
      <c r="BB801" t="s">
        <v>73</v>
      </c>
    </row>
    <row r="802" spans="1:54" x14ac:dyDescent="0.4">
      <c r="A802">
        <v>840381</v>
      </c>
      <c r="D802" t="s">
        <v>54</v>
      </c>
      <c r="G802">
        <v>1</v>
      </c>
      <c r="H802" t="s">
        <v>228</v>
      </c>
      <c r="I802" t="s">
        <v>57</v>
      </c>
      <c r="K802" t="s">
        <v>80</v>
      </c>
      <c r="L802" t="s">
        <v>1192</v>
      </c>
      <c r="M802" t="s">
        <v>59</v>
      </c>
      <c r="P802" t="s">
        <v>83</v>
      </c>
      <c r="R802" t="s">
        <v>84</v>
      </c>
      <c r="S802" t="s">
        <v>61</v>
      </c>
      <c r="T802">
        <v>251.2</v>
      </c>
      <c r="U802">
        <v>246.7</v>
      </c>
      <c r="V802">
        <f>(T802+U802)/2</f>
        <v>248.95</v>
      </c>
      <c r="W802">
        <f>T802-U802</f>
        <v>4.5</v>
      </c>
      <c r="X802">
        <v>43.673057999999997</v>
      </c>
      <c r="Y802">
        <v>49.260834000000003</v>
      </c>
      <c r="Z802" t="s">
        <v>99</v>
      </c>
      <c r="AA802" t="s">
        <v>139</v>
      </c>
      <c r="AB802" t="s">
        <v>1200</v>
      </c>
      <c r="AC802" t="s">
        <v>1201</v>
      </c>
      <c r="AD802" t="s">
        <v>1202</v>
      </c>
      <c r="AH802" t="s">
        <v>65</v>
      </c>
      <c r="AI802" t="s">
        <v>1171</v>
      </c>
      <c r="AJ802">
        <v>1956</v>
      </c>
      <c r="AK802" t="s">
        <v>1203</v>
      </c>
      <c r="AM802" t="s">
        <v>1204</v>
      </c>
      <c r="AN802" t="s">
        <v>94</v>
      </c>
      <c r="AO802" t="s">
        <v>68</v>
      </c>
      <c r="AP802" t="s">
        <v>69</v>
      </c>
      <c r="AQ802" t="s">
        <v>1205</v>
      </c>
      <c r="AR802" t="s">
        <v>70</v>
      </c>
      <c r="AS802">
        <v>302</v>
      </c>
      <c r="AT802" t="s">
        <v>71</v>
      </c>
      <c r="AU802">
        <v>53.92</v>
      </c>
      <c r="AV802">
        <v>34.33</v>
      </c>
      <c r="AW802" t="s">
        <v>72</v>
      </c>
      <c r="AX802">
        <v>301</v>
      </c>
      <c r="AY802" t="s">
        <v>71</v>
      </c>
      <c r="AZ802">
        <v>41.27</v>
      </c>
      <c r="BA802">
        <v>25.79</v>
      </c>
      <c r="BB802" t="s">
        <v>73</v>
      </c>
    </row>
    <row r="803" spans="1:54" x14ac:dyDescent="0.4">
      <c r="A803">
        <v>841368</v>
      </c>
      <c r="D803" t="s">
        <v>54</v>
      </c>
      <c r="G803">
        <v>1</v>
      </c>
      <c r="H803" t="s">
        <v>56</v>
      </c>
      <c r="I803" t="s">
        <v>57</v>
      </c>
      <c r="K803" t="s">
        <v>80</v>
      </c>
      <c r="L803" t="s">
        <v>1192</v>
      </c>
      <c r="M803" t="s">
        <v>59</v>
      </c>
      <c r="P803" t="s">
        <v>83</v>
      </c>
      <c r="R803" t="s">
        <v>84</v>
      </c>
      <c r="S803" t="s">
        <v>61</v>
      </c>
      <c r="T803">
        <v>251.2</v>
      </c>
      <c r="U803">
        <v>246.7</v>
      </c>
      <c r="V803">
        <f>(T803+U803)/2</f>
        <v>248.95</v>
      </c>
      <c r="W803">
        <f>T803-U803</f>
        <v>4.5</v>
      </c>
      <c r="X803">
        <v>56.013331999999998</v>
      </c>
      <c r="Y803">
        <v>75.176108999999997</v>
      </c>
      <c r="Z803" t="s">
        <v>99</v>
      </c>
      <c r="AA803" t="s">
        <v>139</v>
      </c>
      <c r="AB803" t="s">
        <v>524</v>
      </c>
      <c r="AC803" t="s">
        <v>1206</v>
      </c>
      <c r="AD803" t="s">
        <v>1207</v>
      </c>
      <c r="AH803" t="s">
        <v>65</v>
      </c>
      <c r="AI803" t="s">
        <v>207</v>
      </c>
      <c r="AJ803">
        <v>1983</v>
      </c>
      <c r="AK803" t="s">
        <v>1208</v>
      </c>
      <c r="AM803" t="s">
        <v>1209</v>
      </c>
      <c r="AN803" t="s">
        <v>121</v>
      </c>
      <c r="AO803" t="s">
        <v>68</v>
      </c>
      <c r="AP803" t="s">
        <v>314</v>
      </c>
      <c r="AQ803" t="s">
        <v>1210</v>
      </c>
      <c r="AR803" t="s">
        <v>70</v>
      </c>
      <c r="AS803">
        <v>302</v>
      </c>
      <c r="AT803" t="s">
        <v>71</v>
      </c>
      <c r="AU803">
        <v>38.26</v>
      </c>
      <c r="AV803">
        <v>58.61</v>
      </c>
      <c r="AW803" t="s">
        <v>72</v>
      </c>
      <c r="AX803">
        <v>301</v>
      </c>
      <c r="AY803" t="s">
        <v>71</v>
      </c>
      <c r="AZ803">
        <v>21.04</v>
      </c>
      <c r="BA803">
        <v>46.79</v>
      </c>
      <c r="BB803" t="s">
        <v>73</v>
      </c>
    </row>
    <row r="804" spans="1:54" x14ac:dyDescent="0.4">
      <c r="A804">
        <v>841368</v>
      </c>
      <c r="D804" t="s">
        <v>54</v>
      </c>
      <c r="G804">
        <v>1</v>
      </c>
      <c r="H804" t="s">
        <v>56</v>
      </c>
      <c r="I804" t="s">
        <v>57</v>
      </c>
      <c r="K804" t="s">
        <v>80</v>
      </c>
      <c r="L804" t="s">
        <v>1192</v>
      </c>
      <c r="M804" t="s">
        <v>59</v>
      </c>
      <c r="P804" t="s">
        <v>83</v>
      </c>
      <c r="R804" t="s">
        <v>84</v>
      </c>
      <c r="S804" t="s">
        <v>61</v>
      </c>
      <c r="T804">
        <v>251.2</v>
      </c>
      <c r="U804">
        <v>246.7</v>
      </c>
      <c r="V804">
        <f>(T804+U804)/2</f>
        <v>248.95</v>
      </c>
      <c r="W804">
        <f>T804-U804</f>
        <v>4.5</v>
      </c>
      <c r="X804">
        <v>56.013331999999998</v>
      </c>
      <c r="Y804">
        <v>75.176108999999997</v>
      </c>
      <c r="Z804" t="s">
        <v>99</v>
      </c>
      <c r="AA804" t="s">
        <v>139</v>
      </c>
      <c r="AB804" t="s">
        <v>524</v>
      </c>
      <c r="AC804" t="s">
        <v>1206</v>
      </c>
      <c r="AD804" t="s">
        <v>1207</v>
      </c>
      <c r="AH804" t="s">
        <v>65</v>
      </c>
      <c r="AI804" t="s">
        <v>207</v>
      </c>
      <c r="AJ804">
        <v>1983</v>
      </c>
      <c r="AK804" t="s">
        <v>1208</v>
      </c>
      <c r="AM804" t="s">
        <v>1209</v>
      </c>
      <c r="AN804" t="s">
        <v>121</v>
      </c>
      <c r="AO804" t="s">
        <v>68</v>
      </c>
      <c r="AP804" t="s">
        <v>314</v>
      </c>
      <c r="AQ804" t="s">
        <v>1210</v>
      </c>
      <c r="AR804" t="s">
        <v>70</v>
      </c>
      <c r="AS804">
        <v>302</v>
      </c>
      <c r="AT804" t="s">
        <v>71</v>
      </c>
      <c r="AU804">
        <v>38.26</v>
      </c>
      <c r="AV804">
        <v>58.61</v>
      </c>
      <c r="AW804" t="s">
        <v>72</v>
      </c>
      <c r="AX804">
        <v>301</v>
      </c>
      <c r="AY804" t="s">
        <v>71</v>
      </c>
      <c r="AZ804">
        <v>21.04</v>
      </c>
      <c r="BA804">
        <v>46.79</v>
      </c>
      <c r="BB804" t="s">
        <v>73</v>
      </c>
    </row>
    <row r="805" spans="1:54" x14ac:dyDescent="0.4">
      <c r="A805">
        <v>841373</v>
      </c>
      <c r="D805" t="s">
        <v>54</v>
      </c>
      <c r="G805">
        <v>1</v>
      </c>
      <c r="H805" t="s">
        <v>228</v>
      </c>
      <c r="I805" t="s">
        <v>57</v>
      </c>
      <c r="K805" t="s">
        <v>80</v>
      </c>
      <c r="L805" t="s">
        <v>1192</v>
      </c>
      <c r="M805" t="s">
        <v>59</v>
      </c>
      <c r="P805" t="s">
        <v>83</v>
      </c>
      <c r="R805" t="s">
        <v>84</v>
      </c>
      <c r="S805" t="s">
        <v>61</v>
      </c>
      <c r="T805">
        <v>251.2</v>
      </c>
      <c r="U805">
        <v>246.7</v>
      </c>
      <c r="V805">
        <f>(T805+U805)/2</f>
        <v>248.95</v>
      </c>
      <c r="W805">
        <f>T805-U805</f>
        <v>4.5</v>
      </c>
      <c r="X805">
        <v>62.720554</v>
      </c>
      <c r="Y805">
        <v>68.615829000000005</v>
      </c>
      <c r="Z805" t="s">
        <v>99</v>
      </c>
      <c r="AA805" t="s">
        <v>139</v>
      </c>
      <c r="AB805" t="s">
        <v>524</v>
      </c>
      <c r="AC805" t="s">
        <v>1211</v>
      </c>
      <c r="AD805" t="s">
        <v>1212</v>
      </c>
      <c r="AH805" t="s">
        <v>65</v>
      </c>
      <c r="AI805" t="s">
        <v>643</v>
      </c>
      <c r="AJ805">
        <v>1991</v>
      </c>
      <c r="AK805" t="s">
        <v>1213</v>
      </c>
      <c r="AM805" t="s">
        <v>1214</v>
      </c>
      <c r="AN805" t="s">
        <v>121</v>
      </c>
      <c r="AO805" t="s">
        <v>68</v>
      </c>
      <c r="AP805" t="s">
        <v>95</v>
      </c>
      <c r="AQ805" t="s">
        <v>1215</v>
      </c>
      <c r="AR805" t="s">
        <v>70</v>
      </c>
      <c r="AS805">
        <v>302</v>
      </c>
      <c r="AT805" t="s">
        <v>71</v>
      </c>
      <c r="AU805">
        <v>49.68</v>
      </c>
      <c r="AV805">
        <v>55.62</v>
      </c>
      <c r="AW805" t="s">
        <v>72</v>
      </c>
      <c r="AX805">
        <v>301</v>
      </c>
      <c r="AY805" t="s">
        <v>71</v>
      </c>
      <c r="AZ805">
        <v>30.83</v>
      </c>
      <c r="BA805">
        <v>45.59</v>
      </c>
      <c r="BB805" t="s">
        <v>73</v>
      </c>
    </row>
    <row r="806" spans="1:54" x14ac:dyDescent="0.4">
      <c r="A806">
        <v>841374</v>
      </c>
      <c r="D806" t="s">
        <v>54</v>
      </c>
      <c r="G806">
        <v>1</v>
      </c>
      <c r="H806" t="s">
        <v>228</v>
      </c>
      <c r="I806" t="s">
        <v>57</v>
      </c>
      <c r="K806" t="s">
        <v>80</v>
      </c>
      <c r="L806" t="s">
        <v>1192</v>
      </c>
      <c r="M806" t="s">
        <v>59</v>
      </c>
      <c r="P806" t="s">
        <v>83</v>
      </c>
      <c r="R806" t="s">
        <v>84</v>
      </c>
      <c r="S806" t="s">
        <v>61</v>
      </c>
      <c r="T806">
        <v>251.2</v>
      </c>
      <c r="U806">
        <v>246.7</v>
      </c>
      <c r="V806">
        <f>(T806+U806)/2</f>
        <v>248.95</v>
      </c>
      <c r="W806">
        <f>T806-U806</f>
        <v>4.5</v>
      </c>
      <c r="X806">
        <v>62.720554</v>
      </c>
      <c r="Y806">
        <v>68.615829000000005</v>
      </c>
      <c r="Z806" t="s">
        <v>99</v>
      </c>
      <c r="AA806" t="s">
        <v>139</v>
      </c>
      <c r="AB806" t="s">
        <v>524</v>
      </c>
      <c r="AC806" t="s">
        <v>1211</v>
      </c>
      <c r="AD806" t="s">
        <v>1212</v>
      </c>
      <c r="AH806" t="s">
        <v>65</v>
      </c>
      <c r="AI806" t="s">
        <v>643</v>
      </c>
      <c r="AJ806">
        <v>1991</v>
      </c>
      <c r="AK806" t="s">
        <v>1213</v>
      </c>
      <c r="AM806" t="s">
        <v>1214</v>
      </c>
      <c r="AN806" t="s">
        <v>121</v>
      </c>
      <c r="AO806" t="s">
        <v>68</v>
      </c>
      <c r="AP806" t="s">
        <v>95</v>
      </c>
      <c r="AQ806" t="s">
        <v>1215</v>
      </c>
      <c r="AR806" t="s">
        <v>70</v>
      </c>
      <c r="AS806">
        <v>302</v>
      </c>
      <c r="AT806" t="s">
        <v>71</v>
      </c>
      <c r="AU806">
        <v>49.68</v>
      </c>
      <c r="AV806">
        <v>55.62</v>
      </c>
      <c r="AW806" t="s">
        <v>72</v>
      </c>
      <c r="AX806">
        <v>301</v>
      </c>
      <c r="AY806" t="s">
        <v>71</v>
      </c>
      <c r="AZ806">
        <v>30.83</v>
      </c>
      <c r="BA806">
        <v>45.59</v>
      </c>
      <c r="BB806" t="s">
        <v>73</v>
      </c>
    </row>
    <row r="807" spans="1:54" x14ac:dyDescent="0.4">
      <c r="A807">
        <v>841667</v>
      </c>
      <c r="D807" t="s">
        <v>54</v>
      </c>
      <c r="I807" t="s">
        <v>57</v>
      </c>
      <c r="K807" t="s">
        <v>80</v>
      </c>
      <c r="L807" t="s">
        <v>517</v>
      </c>
      <c r="M807" t="s">
        <v>59</v>
      </c>
      <c r="P807" t="s">
        <v>83</v>
      </c>
      <c r="R807" t="s">
        <v>84</v>
      </c>
      <c r="S807" t="s">
        <v>61</v>
      </c>
      <c r="T807">
        <v>251.2</v>
      </c>
      <c r="U807">
        <v>246.7</v>
      </c>
      <c r="V807">
        <f>(T807+U807)/2</f>
        <v>248.95</v>
      </c>
      <c r="W807">
        <f>T807-U807</f>
        <v>4.5</v>
      </c>
      <c r="X807">
        <v>55.640835000000003</v>
      </c>
      <c r="Y807">
        <v>52.027779000000002</v>
      </c>
      <c r="Z807" t="s">
        <v>239</v>
      </c>
      <c r="AA807" t="s">
        <v>139</v>
      </c>
      <c r="AB807" t="s">
        <v>316</v>
      </c>
      <c r="AD807" t="s">
        <v>518</v>
      </c>
      <c r="AF807" t="s">
        <v>519</v>
      </c>
      <c r="AH807" t="s">
        <v>65</v>
      </c>
      <c r="AI807" t="s">
        <v>716</v>
      </c>
      <c r="AJ807">
        <v>2003</v>
      </c>
      <c r="AK807" t="s">
        <v>521</v>
      </c>
      <c r="AN807" t="s">
        <v>121</v>
      </c>
      <c r="AO807" t="s">
        <v>68</v>
      </c>
      <c r="AP807" t="s">
        <v>182</v>
      </c>
      <c r="AQ807" t="s">
        <v>522</v>
      </c>
      <c r="AR807" t="s">
        <v>70</v>
      </c>
      <c r="AS807">
        <v>302</v>
      </c>
      <c r="AT807" t="s">
        <v>71</v>
      </c>
      <c r="AU807">
        <v>60.71</v>
      </c>
      <c r="AV807">
        <v>40.33</v>
      </c>
      <c r="AW807" t="s">
        <v>72</v>
      </c>
      <c r="AX807">
        <v>301</v>
      </c>
      <c r="AY807" t="s">
        <v>71</v>
      </c>
      <c r="AZ807">
        <v>45.5</v>
      </c>
      <c r="BA807">
        <v>32.97</v>
      </c>
      <c r="BB807" t="s">
        <v>73</v>
      </c>
    </row>
    <row r="808" spans="1:54" x14ac:dyDescent="0.4">
      <c r="A808">
        <v>842017</v>
      </c>
      <c r="D808" t="s">
        <v>54</v>
      </c>
      <c r="G808">
        <v>11</v>
      </c>
      <c r="H808" t="s">
        <v>74</v>
      </c>
      <c r="I808" t="s">
        <v>57</v>
      </c>
      <c r="K808" t="s">
        <v>80</v>
      </c>
      <c r="L808" t="s">
        <v>360</v>
      </c>
      <c r="M808" t="s">
        <v>59</v>
      </c>
      <c r="P808" t="s">
        <v>83</v>
      </c>
      <c r="R808" t="s">
        <v>84</v>
      </c>
      <c r="S808" t="s">
        <v>61</v>
      </c>
      <c r="T808">
        <v>251.2</v>
      </c>
      <c r="U808">
        <v>246.7</v>
      </c>
      <c r="V808">
        <f>(T808+U808)/2</f>
        <v>248.95</v>
      </c>
      <c r="W808">
        <f>T808-U808</f>
        <v>4.5</v>
      </c>
      <c r="X808">
        <v>48.775002000000001</v>
      </c>
      <c r="Y808">
        <v>64.555556999999993</v>
      </c>
      <c r="Z808" t="s">
        <v>99</v>
      </c>
      <c r="AA808" t="s">
        <v>139</v>
      </c>
      <c r="AB808" t="s">
        <v>524</v>
      </c>
      <c r="AC808" t="s">
        <v>1112</v>
      </c>
      <c r="AD808" t="s">
        <v>1216</v>
      </c>
      <c r="AH808" t="s">
        <v>65</v>
      </c>
      <c r="AI808" t="s">
        <v>643</v>
      </c>
      <c r="AJ808">
        <v>1991</v>
      </c>
      <c r="AK808" t="s">
        <v>1217</v>
      </c>
      <c r="AM808" t="s">
        <v>1218</v>
      </c>
      <c r="AN808" t="s">
        <v>94</v>
      </c>
      <c r="AO808" t="s">
        <v>68</v>
      </c>
      <c r="AP808" t="s">
        <v>182</v>
      </c>
      <c r="AQ808" t="s">
        <v>1219</v>
      </c>
      <c r="AR808" t="s">
        <v>70</v>
      </c>
      <c r="AS808">
        <v>302</v>
      </c>
      <c r="AT808" t="s">
        <v>71</v>
      </c>
      <c r="AU808">
        <v>46.96</v>
      </c>
      <c r="AV808">
        <v>48.98</v>
      </c>
      <c r="AW808" t="s">
        <v>72</v>
      </c>
      <c r="AX808">
        <v>301</v>
      </c>
      <c r="AY808" t="s">
        <v>71</v>
      </c>
      <c r="AZ808">
        <v>31.08</v>
      </c>
      <c r="BA808">
        <v>38.75</v>
      </c>
      <c r="BB808" t="s">
        <v>73</v>
      </c>
    </row>
    <row r="809" spans="1:54" x14ac:dyDescent="0.4">
      <c r="A809">
        <v>842020</v>
      </c>
      <c r="D809" t="s">
        <v>54</v>
      </c>
      <c r="G809">
        <v>3</v>
      </c>
      <c r="H809" t="s">
        <v>74</v>
      </c>
      <c r="I809" t="s">
        <v>57</v>
      </c>
      <c r="K809" t="s">
        <v>80</v>
      </c>
      <c r="L809" t="s">
        <v>360</v>
      </c>
      <c r="M809" t="s">
        <v>59</v>
      </c>
      <c r="P809" t="s">
        <v>83</v>
      </c>
      <c r="R809" t="s">
        <v>84</v>
      </c>
      <c r="S809" t="s">
        <v>61</v>
      </c>
      <c r="T809">
        <v>251.2</v>
      </c>
      <c r="U809">
        <v>246.7</v>
      </c>
      <c r="V809">
        <f>(T809+U809)/2</f>
        <v>248.95</v>
      </c>
      <c r="W809">
        <f>T809-U809</f>
        <v>4.5</v>
      </c>
      <c r="X809">
        <v>48.047221999999998</v>
      </c>
      <c r="Y809">
        <v>64.558334000000002</v>
      </c>
      <c r="Z809" t="s">
        <v>99</v>
      </c>
      <c r="AA809" t="s">
        <v>139</v>
      </c>
      <c r="AB809" t="s">
        <v>524</v>
      </c>
      <c r="AC809" t="s">
        <v>1112</v>
      </c>
      <c r="AD809" t="s">
        <v>1216</v>
      </c>
      <c r="AH809" t="s">
        <v>65</v>
      </c>
      <c r="AI809" t="s">
        <v>643</v>
      </c>
      <c r="AJ809">
        <v>1991</v>
      </c>
      <c r="AK809" t="s">
        <v>1220</v>
      </c>
      <c r="AM809" t="s">
        <v>1221</v>
      </c>
      <c r="AN809" t="s">
        <v>94</v>
      </c>
      <c r="AO809" t="s">
        <v>68</v>
      </c>
      <c r="AP809" t="s">
        <v>95</v>
      </c>
      <c r="AQ809" t="s">
        <v>1222</v>
      </c>
      <c r="AR809" t="s">
        <v>70</v>
      </c>
      <c r="AS809">
        <v>302</v>
      </c>
      <c r="AT809" t="s">
        <v>71</v>
      </c>
      <c r="AU809">
        <v>46.56</v>
      </c>
      <c r="AV809">
        <v>48.81</v>
      </c>
      <c r="AW809" t="s">
        <v>72</v>
      </c>
      <c r="AX809">
        <v>301</v>
      </c>
      <c r="AY809" t="s">
        <v>71</v>
      </c>
      <c r="AZ809">
        <v>30.82</v>
      </c>
      <c r="BA809">
        <v>38.51</v>
      </c>
      <c r="BB809" t="s">
        <v>73</v>
      </c>
    </row>
    <row r="810" spans="1:54" x14ac:dyDescent="0.4">
      <c r="A810">
        <v>843124</v>
      </c>
      <c r="D810" t="s">
        <v>54</v>
      </c>
      <c r="G810">
        <v>2</v>
      </c>
      <c r="H810" t="s">
        <v>74</v>
      </c>
      <c r="I810" t="s">
        <v>57</v>
      </c>
      <c r="K810" t="s">
        <v>102</v>
      </c>
      <c r="L810" t="s">
        <v>1247</v>
      </c>
      <c r="M810" t="s">
        <v>59</v>
      </c>
      <c r="P810" t="s">
        <v>83</v>
      </c>
      <c r="R810" t="s">
        <v>84</v>
      </c>
      <c r="S810" t="s">
        <v>61</v>
      </c>
      <c r="T810">
        <v>251.2</v>
      </c>
      <c r="U810">
        <v>246.7</v>
      </c>
      <c r="V810">
        <f>(T810+U810)/2</f>
        <v>248.95</v>
      </c>
      <c r="W810">
        <f>T810-U810</f>
        <v>4.5</v>
      </c>
      <c r="X810">
        <v>43.673057999999997</v>
      </c>
      <c r="Y810">
        <v>49.260834000000003</v>
      </c>
      <c r="Z810" t="s">
        <v>99</v>
      </c>
      <c r="AA810" t="s">
        <v>139</v>
      </c>
      <c r="AB810" t="s">
        <v>1200</v>
      </c>
      <c r="AC810" t="s">
        <v>1201</v>
      </c>
      <c r="AD810" t="s">
        <v>1202</v>
      </c>
      <c r="AH810" t="s">
        <v>65</v>
      </c>
      <c r="AI810" t="s">
        <v>1248</v>
      </c>
      <c r="AJ810">
        <v>2008</v>
      </c>
      <c r="AK810" t="s">
        <v>1203</v>
      </c>
      <c r="AM810" t="s">
        <v>1204</v>
      </c>
      <c r="AN810" t="s">
        <v>94</v>
      </c>
      <c r="AO810" t="s">
        <v>68</v>
      </c>
      <c r="AP810" t="s">
        <v>69</v>
      </c>
      <c r="AQ810" t="s">
        <v>1205</v>
      </c>
      <c r="AR810" t="s">
        <v>70</v>
      </c>
      <c r="AS810">
        <v>302</v>
      </c>
      <c r="AT810" t="s">
        <v>71</v>
      </c>
      <c r="AU810">
        <v>53.92</v>
      </c>
      <c r="AV810">
        <v>34.33</v>
      </c>
      <c r="AW810" t="s">
        <v>72</v>
      </c>
      <c r="AX810">
        <v>301</v>
      </c>
      <c r="AY810" t="s">
        <v>71</v>
      </c>
      <c r="AZ810">
        <v>41.27</v>
      </c>
      <c r="BA810">
        <v>25.79</v>
      </c>
      <c r="BB810" t="s">
        <v>73</v>
      </c>
    </row>
    <row r="811" spans="1:54" x14ac:dyDescent="0.4">
      <c r="A811">
        <v>843125</v>
      </c>
      <c r="D811" t="s">
        <v>54</v>
      </c>
      <c r="G811">
        <v>2</v>
      </c>
      <c r="H811" t="s">
        <v>74</v>
      </c>
      <c r="I811" t="s">
        <v>57</v>
      </c>
      <c r="K811" t="s">
        <v>102</v>
      </c>
      <c r="L811" t="s">
        <v>1247</v>
      </c>
      <c r="M811" t="s">
        <v>59</v>
      </c>
      <c r="P811" t="s">
        <v>83</v>
      </c>
      <c r="R811" t="s">
        <v>84</v>
      </c>
      <c r="S811" t="s">
        <v>61</v>
      </c>
      <c r="T811">
        <v>251.2</v>
      </c>
      <c r="U811">
        <v>246.7</v>
      </c>
      <c r="V811">
        <f>(T811+U811)/2</f>
        <v>248.95</v>
      </c>
      <c r="W811">
        <f>T811-U811</f>
        <v>4.5</v>
      </c>
      <c r="X811">
        <v>43.673057999999997</v>
      </c>
      <c r="Y811">
        <v>49.260834000000003</v>
      </c>
      <c r="Z811" t="s">
        <v>99</v>
      </c>
      <c r="AA811" t="s">
        <v>139</v>
      </c>
      <c r="AB811" t="s">
        <v>1200</v>
      </c>
      <c r="AC811" t="s">
        <v>1201</v>
      </c>
      <c r="AD811" t="s">
        <v>1202</v>
      </c>
      <c r="AH811" t="s">
        <v>65</v>
      </c>
      <c r="AI811" t="s">
        <v>1248</v>
      </c>
      <c r="AJ811">
        <v>2008</v>
      </c>
      <c r="AK811" t="s">
        <v>1203</v>
      </c>
      <c r="AM811" t="s">
        <v>1204</v>
      </c>
      <c r="AN811" t="s">
        <v>94</v>
      </c>
      <c r="AO811" t="s">
        <v>68</v>
      </c>
      <c r="AP811" t="s">
        <v>69</v>
      </c>
      <c r="AQ811" t="s">
        <v>1205</v>
      </c>
      <c r="AR811" t="s">
        <v>70</v>
      </c>
      <c r="AS811">
        <v>302</v>
      </c>
      <c r="AT811" t="s">
        <v>71</v>
      </c>
      <c r="AU811">
        <v>53.92</v>
      </c>
      <c r="AV811">
        <v>34.33</v>
      </c>
      <c r="AW811" t="s">
        <v>72</v>
      </c>
      <c r="AX811">
        <v>301</v>
      </c>
      <c r="AY811" t="s">
        <v>71</v>
      </c>
      <c r="AZ811">
        <v>41.27</v>
      </c>
      <c r="BA811">
        <v>25.79</v>
      </c>
      <c r="BB811" t="s">
        <v>73</v>
      </c>
    </row>
    <row r="812" spans="1:54" x14ac:dyDescent="0.4">
      <c r="A812">
        <v>843727</v>
      </c>
      <c r="D812" t="s">
        <v>54</v>
      </c>
      <c r="F812" t="s">
        <v>1180</v>
      </c>
      <c r="G812">
        <v>38</v>
      </c>
      <c r="H812" t="s">
        <v>228</v>
      </c>
      <c r="I812" t="s">
        <v>57</v>
      </c>
      <c r="K812" t="s">
        <v>1185</v>
      </c>
      <c r="L812" t="s">
        <v>1186</v>
      </c>
      <c r="M812" t="s">
        <v>59</v>
      </c>
      <c r="N812" t="s">
        <v>97</v>
      </c>
      <c r="O812" t="s">
        <v>76</v>
      </c>
      <c r="P812" t="s">
        <v>83</v>
      </c>
      <c r="R812" t="s">
        <v>84</v>
      </c>
      <c r="S812" t="s">
        <v>61</v>
      </c>
      <c r="T812">
        <v>251.2</v>
      </c>
      <c r="U812">
        <v>246.7</v>
      </c>
      <c r="V812">
        <f>(T812+U812)/2</f>
        <v>248.95</v>
      </c>
      <c r="W812">
        <f>T812-U812</f>
        <v>4.5</v>
      </c>
      <c r="X812">
        <v>45.174999</v>
      </c>
      <c r="Y812">
        <v>59.783332999999999</v>
      </c>
      <c r="Z812" t="s">
        <v>85</v>
      </c>
      <c r="AA812" t="s">
        <v>139</v>
      </c>
      <c r="AB812" t="s">
        <v>1125</v>
      </c>
      <c r="AC812" t="s">
        <v>1181</v>
      </c>
      <c r="AH812" t="s">
        <v>65</v>
      </c>
      <c r="AI812" t="s">
        <v>335</v>
      </c>
      <c r="AJ812">
        <v>1940</v>
      </c>
      <c r="AK812" t="s">
        <v>1182</v>
      </c>
      <c r="AM812" t="s">
        <v>1183</v>
      </c>
      <c r="AN812" t="s">
        <v>94</v>
      </c>
      <c r="AO812" t="s">
        <v>106</v>
      </c>
      <c r="AP812" t="s">
        <v>69</v>
      </c>
      <c r="AQ812" t="s">
        <v>1184</v>
      </c>
      <c r="AR812" t="s">
        <v>70</v>
      </c>
      <c r="AS812">
        <v>302</v>
      </c>
      <c r="AT812" t="s">
        <v>71</v>
      </c>
      <c r="AU812">
        <v>48.59</v>
      </c>
      <c r="AV812">
        <v>44.05</v>
      </c>
      <c r="AW812" t="s">
        <v>72</v>
      </c>
      <c r="AX812">
        <v>301</v>
      </c>
      <c r="AY812" t="s">
        <v>71</v>
      </c>
      <c r="AZ812">
        <v>33.950000000000003</v>
      </c>
      <c r="BA812">
        <v>34.25</v>
      </c>
      <c r="BB812" t="s">
        <v>73</v>
      </c>
    </row>
    <row r="813" spans="1:54" x14ac:dyDescent="0.4">
      <c r="A813">
        <v>843728</v>
      </c>
      <c r="D813" t="s">
        <v>54</v>
      </c>
      <c r="F813" t="s">
        <v>1256</v>
      </c>
      <c r="G813">
        <v>1</v>
      </c>
      <c r="H813" t="s">
        <v>228</v>
      </c>
      <c r="I813" t="s">
        <v>57</v>
      </c>
      <c r="K813" t="s">
        <v>1185</v>
      </c>
      <c r="L813" t="s">
        <v>1186</v>
      </c>
      <c r="M813" t="s">
        <v>59</v>
      </c>
      <c r="N813" t="s">
        <v>97</v>
      </c>
      <c r="O813" t="s">
        <v>76</v>
      </c>
      <c r="P813" t="s">
        <v>83</v>
      </c>
      <c r="R813" t="s">
        <v>84</v>
      </c>
      <c r="S813" t="s">
        <v>61</v>
      </c>
      <c r="T813">
        <v>251.2</v>
      </c>
      <c r="U813">
        <v>246.7</v>
      </c>
      <c r="V813">
        <f>(T813+U813)/2</f>
        <v>248.95</v>
      </c>
      <c r="W813">
        <f>T813-U813</f>
        <v>4.5</v>
      </c>
      <c r="X813">
        <v>45.5</v>
      </c>
      <c r="Y813">
        <v>59.716667000000001</v>
      </c>
      <c r="Z813" t="s">
        <v>99</v>
      </c>
      <c r="AA813" t="s">
        <v>139</v>
      </c>
      <c r="AB813" t="s">
        <v>1125</v>
      </c>
      <c r="AC813" t="s">
        <v>1181</v>
      </c>
      <c r="AH813" t="s">
        <v>65</v>
      </c>
      <c r="AI813" t="s">
        <v>300</v>
      </c>
      <c r="AJ813">
        <v>2008</v>
      </c>
      <c r="AK813" t="s">
        <v>1257</v>
      </c>
      <c r="AM813" t="s">
        <v>1258</v>
      </c>
      <c r="AN813" t="s">
        <v>94</v>
      </c>
      <c r="AO813" t="s">
        <v>106</v>
      </c>
      <c r="AP813" t="s">
        <v>95</v>
      </c>
      <c r="AQ813" t="s">
        <v>1259</v>
      </c>
      <c r="AR813" t="s">
        <v>70</v>
      </c>
      <c r="AS813">
        <v>302</v>
      </c>
      <c r="AT813" t="s">
        <v>71</v>
      </c>
      <c r="AU813">
        <v>48.84</v>
      </c>
      <c r="AV813">
        <v>44.08</v>
      </c>
      <c r="AW813" t="s">
        <v>72</v>
      </c>
      <c r="AX813">
        <v>301</v>
      </c>
      <c r="AY813" t="s">
        <v>71</v>
      </c>
      <c r="AZ813">
        <v>34.15</v>
      </c>
      <c r="BA813">
        <v>34.31</v>
      </c>
      <c r="BB813" t="s">
        <v>73</v>
      </c>
    </row>
    <row r="814" spans="1:54" x14ac:dyDescent="0.4">
      <c r="A814">
        <v>843729</v>
      </c>
      <c r="D814" t="s">
        <v>54</v>
      </c>
      <c r="F814" t="s">
        <v>1256</v>
      </c>
      <c r="G814">
        <v>1</v>
      </c>
      <c r="H814" t="s">
        <v>242</v>
      </c>
      <c r="I814" t="s">
        <v>57</v>
      </c>
      <c r="K814" t="s">
        <v>102</v>
      </c>
      <c r="L814" t="s">
        <v>307</v>
      </c>
      <c r="M814" t="s">
        <v>59</v>
      </c>
      <c r="P814" t="s">
        <v>83</v>
      </c>
      <c r="R814" t="s">
        <v>84</v>
      </c>
      <c r="S814" t="s">
        <v>61</v>
      </c>
      <c r="T814">
        <v>251.2</v>
      </c>
      <c r="U814">
        <v>246.7</v>
      </c>
      <c r="V814">
        <f>(T814+U814)/2</f>
        <v>248.95</v>
      </c>
      <c r="W814">
        <f>T814-U814</f>
        <v>4.5</v>
      </c>
      <c r="X814">
        <v>45.5</v>
      </c>
      <c r="Y814">
        <v>59.716667000000001</v>
      </c>
      <c r="Z814" t="s">
        <v>99</v>
      </c>
      <c r="AA814" t="s">
        <v>139</v>
      </c>
      <c r="AB814" t="s">
        <v>1125</v>
      </c>
      <c r="AC814" t="s">
        <v>1181</v>
      </c>
      <c r="AH814" t="s">
        <v>65</v>
      </c>
      <c r="AI814" t="s">
        <v>300</v>
      </c>
      <c r="AJ814">
        <v>2008</v>
      </c>
      <c r="AK814" t="s">
        <v>1257</v>
      </c>
      <c r="AM814" t="s">
        <v>1258</v>
      </c>
      <c r="AN814" t="s">
        <v>94</v>
      </c>
      <c r="AO814" t="s">
        <v>106</v>
      </c>
      <c r="AP814" t="s">
        <v>95</v>
      </c>
      <c r="AQ814" t="s">
        <v>1259</v>
      </c>
      <c r="AR814" t="s">
        <v>70</v>
      </c>
      <c r="AS814">
        <v>302</v>
      </c>
      <c r="AT814" t="s">
        <v>71</v>
      </c>
      <c r="AU814">
        <v>48.84</v>
      </c>
      <c r="AV814">
        <v>44.08</v>
      </c>
      <c r="AW814" t="s">
        <v>72</v>
      </c>
      <c r="AX814">
        <v>301</v>
      </c>
      <c r="AY814" t="s">
        <v>71</v>
      </c>
      <c r="AZ814">
        <v>34.15</v>
      </c>
      <c r="BA814">
        <v>34.31</v>
      </c>
      <c r="BB814" t="s">
        <v>73</v>
      </c>
    </row>
    <row r="815" spans="1:54" x14ac:dyDescent="0.4">
      <c r="A815">
        <v>847011</v>
      </c>
      <c r="D815" t="s">
        <v>54</v>
      </c>
      <c r="G815">
        <v>2</v>
      </c>
      <c r="H815" t="s">
        <v>74</v>
      </c>
      <c r="I815" t="s">
        <v>57</v>
      </c>
      <c r="K815" t="s">
        <v>80</v>
      </c>
      <c r="L815" t="s">
        <v>1192</v>
      </c>
      <c r="M815" t="s">
        <v>59</v>
      </c>
      <c r="P815" t="s">
        <v>83</v>
      </c>
      <c r="R815" t="s">
        <v>84</v>
      </c>
      <c r="S815" t="s">
        <v>61</v>
      </c>
      <c r="T815">
        <v>251.2</v>
      </c>
      <c r="U815">
        <v>246.7</v>
      </c>
      <c r="V815">
        <f>(T815+U815)/2</f>
        <v>248.95</v>
      </c>
      <c r="W815">
        <f>T815-U815</f>
        <v>4.5</v>
      </c>
      <c r="X815">
        <v>49.933334000000002</v>
      </c>
      <c r="Y815">
        <v>69.283332999999999</v>
      </c>
      <c r="Z815" t="s">
        <v>99</v>
      </c>
      <c r="AA815" t="s">
        <v>139</v>
      </c>
      <c r="AB815" t="s">
        <v>524</v>
      </c>
      <c r="AC815" t="s">
        <v>1211</v>
      </c>
      <c r="AD815" t="s">
        <v>361</v>
      </c>
      <c r="AH815" t="s">
        <v>65</v>
      </c>
      <c r="AI815" t="s">
        <v>1266</v>
      </c>
      <c r="AJ815">
        <v>1992</v>
      </c>
      <c r="AK815" t="s">
        <v>1267</v>
      </c>
      <c r="AM815" t="s">
        <v>1268</v>
      </c>
      <c r="AN815" t="s">
        <v>121</v>
      </c>
      <c r="AO815" t="s">
        <v>106</v>
      </c>
      <c r="AP815" t="s">
        <v>95</v>
      </c>
      <c r="AQ815" t="s">
        <v>1269</v>
      </c>
      <c r="AR815" t="s">
        <v>70</v>
      </c>
      <c r="AS815">
        <v>302</v>
      </c>
      <c r="AT815" t="s">
        <v>71</v>
      </c>
      <c r="AU815">
        <v>43.07</v>
      </c>
      <c r="AV815">
        <v>53.06</v>
      </c>
      <c r="AW815" t="s">
        <v>72</v>
      </c>
      <c r="AX815">
        <v>301</v>
      </c>
      <c r="AY815" t="s">
        <v>71</v>
      </c>
      <c r="AZ815">
        <v>26.63</v>
      </c>
      <c r="BA815">
        <v>42.08</v>
      </c>
      <c r="BB815" t="s">
        <v>73</v>
      </c>
    </row>
    <row r="816" spans="1:54" x14ac:dyDescent="0.4">
      <c r="A816">
        <v>847020</v>
      </c>
      <c r="D816" t="s">
        <v>54</v>
      </c>
      <c r="G816">
        <v>1</v>
      </c>
      <c r="H816" t="s">
        <v>228</v>
      </c>
      <c r="I816" t="s">
        <v>57</v>
      </c>
      <c r="K816" t="s">
        <v>102</v>
      </c>
      <c r="L816" t="s">
        <v>1270</v>
      </c>
      <c r="M816" t="s">
        <v>59</v>
      </c>
      <c r="P816" t="s">
        <v>83</v>
      </c>
      <c r="R816" t="s">
        <v>84</v>
      </c>
      <c r="S816" t="s">
        <v>61</v>
      </c>
      <c r="T816">
        <v>251.2</v>
      </c>
      <c r="U816">
        <v>246.7</v>
      </c>
      <c r="V816">
        <f>(T816+U816)/2</f>
        <v>248.95</v>
      </c>
      <c r="W816">
        <f>T816-U816</f>
        <v>4.5</v>
      </c>
      <c r="X816">
        <v>49.933334000000002</v>
      </c>
      <c r="Y816">
        <v>69.283332999999999</v>
      </c>
      <c r="Z816" t="s">
        <v>99</v>
      </c>
      <c r="AA816" t="s">
        <v>139</v>
      </c>
      <c r="AB816" t="s">
        <v>524</v>
      </c>
      <c r="AC816" t="s">
        <v>1211</v>
      </c>
      <c r="AD816" t="s">
        <v>361</v>
      </c>
      <c r="AH816" t="s">
        <v>11</v>
      </c>
      <c r="AI816" t="s">
        <v>1266</v>
      </c>
      <c r="AJ816">
        <v>1992</v>
      </c>
      <c r="AK816" t="s">
        <v>1271</v>
      </c>
      <c r="AM816" t="s">
        <v>1272</v>
      </c>
      <c r="AN816" t="s">
        <v>121</v>
      </c>
      <c r="AO816" t="s">
        <v>106</v>
      </c>
      <c r="AP816" t="s">
        <v>95</v>
      </c>
      <c r="AQ816" t="s">
        <v>1273</v>
      </c>
      <c r="AR816" t="s">
        <v>70</v>
      </c>
      <c r="AS816">
        <v>302</v>
      </c>
      <c r="AT816" t="s">
        <v>71</v>
      </c>
      <c r="AU816">
        <v>43.07</v>
      </c>
      <c r="AV816">
        <v>53.06</v>
      </c>
      <c r="AW816" t="s">
        <v>72</v>
      </c>
      <c r="AX816">
        <v>301</v>
      </c>
      <c r="AY816" t="s">
        <v>71</v>
      </c>
      <c r="AZ816">
        <v>26.63</v>
      </c>
      <c r="BA816">
        <v>42.08</v>
      </c>
      <c r="BB816" t="s">
        <v>73</v>
      </c>
    </row>
    <row r="817" spans="1:54" x14ac:dyDescent="0.4">
      <c r="A817">
        <v>847023</v>
      </c>
      <c r="D817" t="s">
        <v>54</v>
      </c>
      <c r="G817">
        <v>1</v>
      </c>
      <c r="H817" t="s">
        <v>228</v>
      </c>
      <c r="I817" t="s">
        <v>57</v>
      </c>
      <c r="K817" t="s">
        <v>80</v>
      </c>
      <c r="L817" t="s">
        <v>1192</v>
      </c>
      <c r="M817" t="s">
        <v>59</v>
      </c>
      <c r="P817" t="s">
        <v>83</v>
      </c>
      <c r="R817" t="s">
        <v>84</v>
      </c>
      <c r="S817" t="s">
        <v>61</v>
      </c>
      <c r="T817">
        <v>251.2</v>
      </c>
      <c r="U817">
        <v>246.7</v>
      </c>
      <c r="V817">
        <f>(T817+U817)/2</f>
        <v>248.95</v>
      </c>
      <c r="W817">
        <f>T817-U817</f>
        <v>4.5</v>
      </c>
      <c r="X817">
        <v>49.933334000000002</v>
      </c>
      <c r="Y817">
        <v>69.283332999999999</v>
      </c>
      <c r="Z817" t="s">
        <v>99</v>
      </c>
      <c r="AA817" t="s">
        <v>139</v>
      </c>
      <c r="AB817" t="s">
        <v>524</v>
      </c>
      <c r="AC817" t="s">
        <v>1211</v>
      </c>
      <c r="AD817" t="s">
        <v>361</v>
      </c>
      <c r="AH817" t="s">
        <v>11</v>
      </c>
      <c r="AI817" t="s">
        <v>1266</v>
      </c>
      <c r="AJ817">
        <v>1992</v>
      </c>
      <c r="AK817" t="s">
        <v>1271</v>
      </c>
      <c r="AM817" t="s">
        <v>1272</v>
      </c>
      <c r="AN817" t="s">
        <v>121</v>
      </c>
      <c r="AO817" t="s">
        <v>106</v>
      </c>
      <c r="AP817" t="s">
        <v>95</v>
      </c>
      <c r="AQ817" t="s">
        <v>1273</v>
      </c>
      <c r="AR817" t="s">
        <v>70</v>
      </c>
      <c r="AS817">
        <v>302</v>
      </c>
      <c r="AT817" t="s">
        <v>71</v>
      </c>
      <c r="AU817">
        <v>43.07</v>
      </c>
      <c r="AV817">
        <v>53.06</v>
      </c>
      <c r="AW817" t="s">
        <v>72</v>
      </c>
      <c r="AX817">
        <v>301</v>
      </c>
      <c r="AY817" t="s">
        <v>71</v>
      </c>
      <c r="AZ817">
        <v>26.63</v>
      </c>
      <c r="BA817">
        <v>42.08</v>
      </c>
      <c r="BB817" t="s">
        <v>73</v>
      </c>
    </row>
    <row r="818" spans="1:54" x14ac:dyDescent="0.4">
      <c r="A818">
        <v>847025</v>
      </c>
      <c r="D818" t="s">
        <v>54</v>
      </c>
      <c r="G818">
        <v>1</v>
      </c>
      <c r="H818" t="s">
        <v>56</v>
      </c>
      <c r="I818" t="s">
        <v>57</v>
      </c>
      <c r="K818" t="s">
        <v>102</v>
      </c>
      <c r="L818" t="s">
        <v>1270</v>
      </c>
      <c r="M818" t="s">
        <v>59</v>
      </c>
      <c r="P818" t="s">
        <v>83</v>
      </c>
      <c r="R818" t="s">
        <v>84</v>
      </c>
      <c r="S818" t="s">
        <v>61</v>
      </c>
      <c r="T818">
        <v>251.2</v>
      </c>
      <c r="U818">
        <v>246.7</v>
      </c>
      <c r="V818">
        <f>(T818+U818)/2</f>
        <v>248.95</v>
      </c>
      <c r="W818">
        <f>T818-U818</f>
        <v>4.5</v>
      </c>
      <c r="X818">
        <v>49.933334000000002</v>
      </c>
      <c r="Y818">
        <v>69.283332999999999</v>
      </c>
      <c r="Z818" t="s">
        <v>99</v>
      </c>
      <c r="AA818" t="s">
        <v>139</v>
      </c>
      <c r="AB818" t="s">
        <v>524</v>
      </c>
      <c r="AC818" t="s">
        <v>1211</v>
      </c>
      <c r="AD818" t="s">
        <v>361</v>
      </c>
      <c r="AH818" t="s">
        <v>65</v>
      </c>
      <c r="AI818" t="s">
        <v>1274</v>
      </c>
      <c r="AJ818">
        <v>1978</v>
      </c>
      <c r="AK818" t="s">
        <v>1275</v>
      </c>
      <c r="AM818" t="s">
        <v>1276</v>
      </c>
      <c r="AN818" t="s">
        <v>121</v>
      </c>
      <c r="AO818" t="s">
        <v>106</v>
      </c>
      <c r="AP818" t="s">
        <v>95</v>
      </c>
      <c r="AQ818" t="s">
        <v>1273</v>
      </c>
      <c r="AR818" t="s">
        <v>70</v>
      </c>
      <c r="AS818">
        <v>302</v>
      </c>
      <c r="AT818" t="s">
        <v>71</v>
      </c>
      <c r="AU818">
        <v>43.07</v>
      </c>
      <c r="AV818">
        <v>53.06</v>
      </c>
      <c r="AW818" t="s">
        <v>72</v>
      </c>
      <c r="AX818">
        <v>301</v>
      </c>
      <c r="AY818" t="s">
        <v>71</v>
      </c>
      <c r="AZ818">
        <v>26.63</v>
      </c>
      <c r="BA818">
        <v>42.08</v>
      </c>
      <c r="BB818" t="s">
        <v>73</v>
      </c>
    </row>
    <row r="819" spans="1:54" x14ac:dyDescent="0.4">
      <c r="A819">
        <v>848404</v>
      </c>
      <c r="D819" t="s">
        <v>54</v>
      </c>
      <c r="G819">
        <v>1</v>
      </c>
      <c r="H819" t="s">
        <v>228</v>
      </c>
      <c r="I819" t="s">
        <v>57</v>
      </c>
      <c r="K819" t="s">
        <v>80</v>
      </c>
      <c r="L819" t="s">
        <v>1169</v>
      </c>
      <c r="M819" t="s">
        <v>59</v>
      </c>
      <c r="P819" t="s">
        <v>83</v>
      </c>
      <c r="R819" t="s">
        <v>84</v>
      </c>
      <c r="S819" t="s">
        <v>61</v>
      </c>
      <c r="T819">
        <v>251.2</v>
      </c>
      <c r="U819">
        <v>246.7</v>
      </c>
      <c r="V819">
        <f>(T819+U819)/2</f>
        <v>248.95</v>
      </c>
      <c r="W819">
        <f>T819-U819</f>
        <v>4.5</v>
      </c>
      <c r="X819">
        <v>55.275002000000001</v>
      </c>
      <c r="Y819">
        <v>51.387501</v>
      </c>
      <c r="Z819" t="s">
        <v>239</v>
      </c>
      <c r="AA819" t="s">
        <v>139</v>
      </c>
      <c r="AB819" t="s">
        <v>316</v>
      </c>
      <c r="AC819" t="s">
        <v>1175</v>
      </c>
      <c r="AD819" t="s">
        <v>518</v>
      </c>
      <c r="AH819" t="s">
        <v>65</v>
      </c>
      <c r="AI819" t="s">
        <v>643</v>
      </c>
      <c r="AJ819">
        <v>1991</v>
      </c>
      <c r="AK819" t="s">
        <v>1289</v>
      </c>
      <c r="AM819" t="s">
        <v>1290</v>
      </c>
      <c r="AN819" t="s">
        <v>94</v>
      </c>
      <c r="AO819" t="s">
        <v>68</v>
      </c>
      <c r="AP819" t="s">
        <v>95</v>
      </c>
      <c r="AQ819" t="s">
        <v>1291</v>
      </c>
      <c r="AR819" t="s">
        <v>70</v>
      </c>
      <c r="AS819">
        <v>302</v>
      </c>
      <c r="AT819" t="s">
        <v>71</v>
      </c>
      <c r="AU819">
        <v>60.87</v>
      </c>
      <c r="AV819">
        <v>39.67</v>
      </c>
      <c r="AW819" t="s">
        <v>72</v>
      </c>
      <c r="AX819">
        <v>301</v>
      </c>
      <c r="AY819" t="s">
        <v>71</v>
      </c>
      <c r="AZ819">
        <v>45.87</v>
      </c>
      <c r="BA819">
        <v>32.36</v>
      </c>
      <c r="BB819" t="s">
        <v>73</v>
      </c>
    </row>
    <row r="820" spans="1:54" x14ac:dyDescent="0.4">
      <c r="A820">
        <v>890991</v>
      </c>
      <c r="D820" t="s">
        <v>54</v>
      </c>
      <c r="F820" t="s">
        <v>294</v>
      </c>
      <c r="I820" t="s">
        <v>57</v>
      </c>
      <c r="K820" t="s">
        <v>652</v>
      </c>
      <c r="L820" t="s">
        <v>1199</v>
      </c>
      <c r="M820" t="s">
        <v>59</v>
      </c>
      <c r="P820" t="s">
        <v>83</v>
      </c>
      <c r="R820" t="s">
        <v>84</v>
      </c>
      <c r="S820" t="s">
        <v>61</v>
      </c>
      <c r="T820">
        <v>251.2</v>
      </c>
      <c r="U820">
        <v>246.7</v>
      </c>
      <c r="V820">
        <f>(T820+U820)/2</f>
        <v>248.95</v>
      </c>
      <c r="W820">
        <f>T820-U820</f>
        <v>4.5</v>
      </c>
      <c r="X820">
        <v>55.083331999999999</v>
      </c>
      <c r="Y820">
        <v>51.75</v>
      </c>
      <c r="Z820" t="s">
        <v>99</v>
      </c>
      <c r="AA820" t="s">
        <v>139</v>
      </c>
      <c r="AB820" t="s">
        <v>316</v>
      </c>
      <c r="AC820" t="s">
        <v>1386</v>
      </c>
      <c r="AD820" t="s">
        <v>518</v>
      </c>
      <c r="AH820" t="s">
        <v>65</v>
      </c>
      <c r="AI820" t="s">
        <v>335</v>
      </c>
      <c r="AJ820">
        <v>1960</v>
      </c>
      <c r="AK820" t="s">
        <v>1387</v>
      </c>
      <c r="AM820" t="s">
        <v>1388</v>
      </c>
      <c r="AN820" t="s">
        <v>94</v>
      </c>
      <c r="AO820" t="s">
        <v>106</v>
      </c>
      <c r="AP820" t="s">
        <v>95</v>
      </c>
      <c r="AQ820" t="s">
        <v>1389</v>
      </c>
      <c r="AR820" t="s">
        <v>70</v>
      </c>
      <c r="AS820">
        <v>302</v>
      </c>
      <c r="AT820" t="s">
        <v>71</v>
      </c>
      <c r="AU820">
        <v>60.5</v>
      </c>
      <c r="AV820">
        <v>39.92</v>
      </c>
      <c r="AW820" t="s">
        <v>72</v>
      </c>
      <c r="AX820">
        <v>301</v>
      </c>
      <c r="AY820" t="s">
        <v>71</v>
      </c>
      <c r="AZ820">
        <v>45.46</v>
      </c>
      <c r="BA820">
        <v>32.53</v>
      </c>
      <c r="BB820" t="s">
        <v>73</v>
      </c>
    </row>
    <row r="821" spans="1:54" x14ac:dyDescent="0.4">
      <c r="A821">
        <v>929821</v>
      </c>
      <c r="D821" t="s">
        <v>54</v>
      </c>
      <c r="G821">
        <v>60</v>
      </c>
      <c r="H821" t="s">
        <v>228</v>
      </c>
      <c r="I821" t="s">
        <v>57</v>
      </c>
      <c r="K821" t="s">
        <v>355</v>
      </c>
      <c r="L821" t="s">
        <v>1569</v>
      </c>
      <c r="M821" t="s">
        <v>59</v>
      </c>
      <c r="P821" t="s">
        <v>83</v>
      </c>
      <c r="R821" t="s">
        <v>84</v>
      </c>
      <c r="S821" t="s">
        <v>61</v>
      </c>
      <c r="T821">
        <v>251.2</v>
      </c>
      <c r="U821">
        <v>246.7</v>
      </c>
      <c r="V821">
        <f>(T821+U821)/2</f>
        <v>248.95</v>
      </c>
      <c r="W821">
        <f>T821-U821</f>
        <v>4.5</v>
      </c>
      <c r="X821">
        <v>43.673057999999997</v>
      </c>
      <c r="Y821">
        <v>49.260834000000003</v>
      </c>
      <c r="Z821" t="s">
        <v>99</v>
      </c>
      <c r="AA821" t="s">
        <v>139</v>
      </c>
      <c r="AB821" t="s">
        <v>1200</v>
      </c>
      <c r="AC821" t="s">
        <v>1201</v>
      </c>
      <c r="AD821" t="s">
        <v>1202</v>
      </c>
      <c r="AH821" t="s">
        <v>65</v>
      </c>
      <c r="AI821" t="s">
        <v>300</v>
      </c>
      <c r="AJ821">
        <v>2011</v>
      </c>
      <c r="AK821" t="s">
        <v>1203</v>
      </c>
      <c r="AM821" t="s">
        <v>1204</v>
      </c>
      <c r="AN821" t="s">
        <v>94</v>
      </c>
      <c r="AO821" t="s">
        <v>68</v>
      </c>
      <c r="AP821" t="s">
        <v>69</v>
      </c>
      <c r="AQ821" t="s">
        <v>1205</v>
      </c>
      <c r="AR821" t="s">
        <v>70</v>
      </c>
      <c r="AS821">
        <v>302</v>
      </c>
      <c r="AT821" t="s">
        <v>71</v>
      </c>
      <c r="AU821">
        <v>53.92</v>
      </c>
      <c r="AV821">
        <v>34.33</v>
      </c>
      <c r="AW821" t="s">
        <v>72</v>
      </c>
      <c r="AX821">
        <v>301</v>
      </c>
      <c r="AY821" t="s">
        <v>71</v>
      </c>
      <c r="AZ821">
        <v>41.27</v>
      </c>
      <c r="BA821">
        <v>25.79</v>
      </c>
      <c r="BB821" t="s">
        <v>73</v>
      </c>
    </row>
    <row r="822" spans="1:54" x14ac:dyDescent="0.4">
      <c r="A822">
        <v>929822</v>
      </c>
      <c r="D822" t="s">
        <v>54</v>
      </c>
      <c r="G822">
        <v>1</v>
      </c>
      <c r="H822" t="s">
        <v>228</v>
      </c>
      <c r="I822" t="s">
        <v>57</v>
      </c>
      <c r="K822" t="s">
        <v>355</v>
      </c>
      <c r="L822" t="s">
        <v>1569</v>
      </c>
      <c r="M822" t="s">
        <v>59</v>
      </c>
      <c r="P822" t="s">
        <v>83</v>
      </c>
      <c r="R822" t="s">
        <v>84</v>
      </c>
      <c r="S822" t="s">
        <v>61</v>
      </c>
      <c r="T822">
        <v>251.2</v>
      </c>
      <c r="U822">
        <v>246.7</v>
      </c>
      <c r="V822">
        <f>(T822+U822)/2</f>
        <v>248.95</v>
      </c>
      <c r="W822">
        <f>T822-U822</f>
        <v>4.5</v>
      </c>
      <c r="X822">
        <v>62.720554</v>
      </c>
      <c r="Y822">
        <v>68.615829000000005</v>
      </c>
      <c r="Z822" t="s">
        <v>99</v>
      </c>
      <c r="AA822" t="s">
        <v>139</v>
      </c>
      <c r="AB822" t="s">
        <v>524</v>
      </c>
      <c r="AC822" t="s">
        <v>1211</v>
      </c>
      <c r="AD822" t="s">
        <v>1212</v>
      </c>
      <c r="AH822" t="s">
        <v>65</v>
      </c>
      <c r="AI822" t="s">
        <v>300</v>
      </c>
      <c r="AJ822">
        <v>2011</v>
      </c>
      <c r="AK822" t="s">
        <v>1213</v>
      </c>
      <c r="AM822" t="s">
        <v>1214</v>
      </c>
      <c r="AN822" t="s">
        <v>121</v>
      </c>
      <c r="AO822" t="s">
        <v>68</v>
      </c>
      <c r="AP822" t="s">
        <v>95</v>
      </c>
      <c r="AQ822" t="s">
        <v>1215</v>
      </c>
      <c r="AR822" t="s">
        <v>70</v>
      </c>
      <c r="AS822">
        <v>302</v>
      </c>
      <c r="AT822" t="s">
        <v>71</v>
      </c>
      <c r="AU822">
        <v>49.68</v>
      </c>
      <c r="AV822">
        <v>55.62</v>
      </c>
      <c r="AW822" t="s">
        <v>72</v>
      </c>
      <c r="AX822">
        <v>301</v>
      </c>
      <c r="AY822" t="s">
        <v>71</v>
      </c>
      <c r="AZ822">
        <v>30.83</v>
      </c>
      <c r="BA822">
        <v>45.59</v>
      </c>
      <c r="BB822" t="s">
        <v>73</v>
      </c>
    </row>
    <row r="823" spans="1:54" x14ac:dyDescent="0.4">
      <c r="A823">
        <v>958043</v>
      </c>
      <c r="D823" t="s">
        <v>54</v>
      </c>
      <c r="I823" t="s">
        <v>57</v>
      </c>
      <c r="K823" t="s">
        <v>102</v>
      </c>
      <c r="L823" t="s">
        <v>1620</v>
      </c>
      <c r="M823" t="s">
        <v>59</v>
      </c>
      <c r="O823" t="s">
        <v>76</v>
      </c>
      <c r="P823" t="s">
        <v>83</v>
      </c>
      <c r="R823" t="s">
        <v>84</v>
      </c>
      <c r="S823" t="s">
        <v>61</v>
      </c>
      <c r="T823">
        <v>251.2</v>
      </c>
      <c r="U823">
        <v>246.7</v>
      </c>
      <c r="V823">
        <f>(T823+U823)/2</f>
        <v>248.95</v>
      </c>
      <c r="W823">
        <f>T823-U823</f>
        <v>4.5</v>
      </c>
      <c r="X823">
        <v>49.558334000000002</v>
      </c>
      <c r="Y823">
        <v>62.058334000000002</v>
      </c>
      <c r="Z823" t="s">
        <v>99</v>
      </c>
      <c r="AA823" t="s">
        <v>139</v>
      </c>
      <c r="AB823" t="s">
        <v>308</v>
      </c>
      <c r="AC823" t="s">
        <v>644</v>
      </c>
      <c r="AD823" t="s">
        <v>645</v>
      </c>
      <c r="AE823" t="s">
        <v>646</v>
      </c>
      <c r="AH823" t="s">
        <v>65</v>
      </c>
      <c r="AI823" t="s">
        <v>656</v>
      </c>
      <c r="AJ823">
        <v>2000</v>
      </c>
      <c r="AK823" t="s">
        <v>648</v>
      </c>
      <c r="AM823" t="s">
        <v>649</v>
      </c>
      <c r="AN823" t="s">
        <v>94</v>
      </c>
      <c r="AO823" t="s">
        <v>68</v>
      </c>
      <c r="AP823" t="s">
        <v>95</v>
      </c>
      <c r="AQ823" t="s">
        <v>650</v>
      </c>
      <c r="AR823" t="s">
        <v>70</v>
      </c>
      <c r="AS823">
        <v>302</v>
      </c>
      <c r="AT823" t="s">
        <v>71</v>
      </c>
      <c r="AU823">
        <v>49.48</v>
      </c>
      <c r="AV823">
        <v>47.11</v>
      </c>
      <c r="AW823" t="s">
        <v>72</v>
      </c>
      <c r="AX823">
        <v>301</v>
      </c>
      <c r="AY823" t="s">
        <v>71</v>
      </c>
      <c r="AZ823">
        <v>33.75</v>
      </c>
      <c r="BA823">
        <v>37.36</v>
      </c>
      <c r="BB823" t="s">
        <v>73</v>
      </c>
    </row>
    <row r="824" spans="1:54" x14ac:dyDescent="0.4">
      <c r="A824">
        <v>984557</v>
      </c>
      <c r="D824" t="s">
        <v>54</v>
      </c>
      <c r="E824" t="s">
        <v>153</v>
      </c>
      <c r="G824">
        <v>20</v>
      </c>
      <c r="H824" t="s">
        <v>228</v>
      </c>
      <c r="I824" t="s">
        <v>57</v>
      </c>
      <c r="K824" t="s">
        <v>102</v>
      </c>
      <c r="L824" t="s">
        <v>1679</v>
      </c>
      <c r="M824" t="s">
        <v>59</v>
      </c>
      <c r="P824" t="s">
        <v>83</v>
      </c>
      <c r="R824" t="s">
        <v>84</v>
      </c>
      <c r="S824" t="s">
        <v>61</v>
      </c>
      <c r="T824">
        <v>251.2</v>
      </c>
      <c r="U824">
        <v>246.7</v>
      </c>
      <c r="V824">
        <f>(T824+U824)/2</f>
        <v>248.95</v>
      </c>
      <c r="W824">
        <f>T824-U824</f>
        <v>4.5</v>
      </c>
      <c r="X824">
        <v>19.633333</v>
      </c>
      <c r="Y824">
        <v>50.133330999999998</v>
      </c>
      <c r="Z824" t="s">
        <v>77</v>
      </c>
      <c r="AA824" t="s">
        <v>337</v>
      </c>
      <c r="AB824" t="s">
        <v>338</v>
      </c>
      <c r="AC824" t="s">
        <v>339</v>
      </c>
      <c r="AH824" t="s">
        <v>65</v>
      </c>
      <c r="AI824" t="s">
        <v>1680</v>
      </c>
      <c r="AJ824">
        <v>2009</v>
      </c>
      <c r="AK824" t="s">
        <v>341</v>
      </c>
      <c r="AN824" t="s">
        <v>94</v>
      </c>
      <c r="AO824" t="s">
        <v>106</v>
      </c>
      <c r="AP824" t="s">
        <v>69</v>
      </c>
      <c r="AQ824" t="s">
        <v>342</v>
      </c>
      <c r="AR824" t="s">
        <v>70</v>
      </c>
      <c r="AS824">
        <v>305</v>
      </c>
      <c r="AT824" t="s">
        <v>71</v>
      </c>
      <c r="AU824">
        <v>36.5</v>
      </c>
      <c r="AV824">
        <v>29.56</v>
      </c>
      <c r="AW824" t="s">
        <v>72</v>
      </c>
      <c r="AX824">
        <v>305</v>
      </c>
      <c r="AY824" t="s">
        <v>71</v>
      </c>
      <c r="AZ824">
        <v>26.73</v>
      </c>
      <c r="BA824">
        <v>18.100000000000001</v>
      </c>
      <c r="BB824" t="s">
        <v>73</v>
      </c>
    </row>
    <row r="825" spans="1:54" x14ac:dyDescent="0.4">
      <c r="A825">
        <v>1113776</v>
      </c>
      <c r="D825" t="s">
        <v>54</v>
      </c>
      <c r="G825">
        <v>7</v>
      </c>
      <c r="H825" t="s">
        <v>228</v>
      </c>
      <c r="I825" t="s">
        <v>57</v>
      </c>
      <c r="K825" t="s">
        <v>279</v>
      </c>
      <c r="L825" t="s">
        <v>1749</v>
      </c>
      <c r="M825" t="s">
        <v>59</v>
      </c>
      <c r="O825" t="s">
        <v>76</v>
      </c>
      <c r="P825" t="s">
        <v>83</v>
      </c>
      <c r="R825" t="s">
        <v>84</v>
      </c>
      <c r="S825" t="s">
        <v>61</v>
      </c>
      <c r="T825">
        <v>251.2</v>
      </c>
      <c r="U825">
        <v>246.7</v>
      </c>
      <c r="V825">
        <f>(T825+U825)/2</f>
        <v>248.95</v>
      </c>
      <c r="W825">
        <f>T825-U825</f>
        <v>4.5</v>
      </c>
      <c r="X825">
        <v>43.673057999999997</v>
      </c>
      <c r="Y825">
        <v>49.260834000000003</v>
      </c>
      <c r="Z825" t="s">
        <v>99</v>
      </c>
      <c r="AA825" t="s">
        <v>139</v>
      </c>
      <c r="AB825" t="s">
        <v>1200</v>
      </c>
      <c r="AC825" t="s">
        <v>1201</v>
      </c>
      <c r="AD825" t="s">
        <v>1202</v>
      </c>
      <c r="AH825" t="s">
        <v>65</v>
      </c>
      <c r="AI825" t="s">
        <v>300</v>
      </c>
      <c r="AJ825">
        <v>2012</v>
      </c>
      <c r="AK825" t="s">
        <v>1203</v>
      </c>
      <c r="AM825" t="s">
        <v>1204</v>
      </c>
      <c r="AN825" t="s">
        <v>94</v>
      </c>
      <c r="AO825" t="s">
        <v>68</v>
      </c>
      <c r="AP825" t="s">
        <v>69</v>
      </c>
      <c r="AQ825" t="s">
        <v>1205</v>
      </c>
      <c r="AR825" t="s">
        <v>70</v>
      </c>
      <c r="AS825">
        <v>302</v>
      </c>
      <c r="AT825" t="s">
        <v>71</v>
      </c>
      <c r="AU825">
        <v>53.92</v>
      </c>
      <c r="AV825">
        <v>34.33</v>
      </c>
      <c r="AW825" t="s">
        <v>72</v>
      </c>
      <c r="AX825">
        <v>301</v>
      </c>
      <c r="AY825" t="s">
        <v>71</v>
      </c>
      <c r="AZ825">
        <v>41.27</v>
      </c>
      <c r="BA825">
        <v>25.79</v>
      </c>
      <c r="BB825" t="s">
        <v>73</v>
      </c>
    </row>
    <row r="826" spans="1:54" x14ac:dyDescent="0.4">
      <c r="A826">
        <v>1127411</v>
      </c>
      <c r="D826" t="s">
        <v>54</v>
      </c>
      <c r="G826">
        <v>114</v>
      </c>
      <c r="H826" t="s">
        <v>228</v>
      </c>
      <c r="I826" t="s">
        <v>57</v>
      </c>
      <c r="K826" t="s">
        <v>125</v>
      </c>
      <c r="L826" t="s">
        <v>1750</v>
      </c>
      <c r="M826" t="s">
        <v>59</v>
      </c>
      <c r="O826" t="s">
        <v>76</v>
      </c>
      <c r="P826" t="s">
        <v>83</v>
      </c>
      <c r="R826" t="s">
        <v>84</v>
      </c>
      <c r="S826" t="s">
        <v>61</v>
      </c>
      <c r="T826">
        <v>251.2</v>
      </c>
      <c r="U826">
        <v>246.7</v>
      </c>
      <c r="V826">
        <f>(T826+U826)/2</f>
        <v>248.95</v>
      </c>
      <c r="W826">
        <f>T826-U826</f>
        <v>4.5</v>
      </c>
      <c r="X826">
        <v>43.673057999999997</v>
      </c>
      <c r="Y826">
        <v>49.260834000000003</v>
      </c>
      <c r="Z826" t="s">
        <v>99</v>
      </c>
      <c r="AA826" t="s">
        <v>139</v>
      </c>
      <c r="AB826" t="s">
        <v>1200</v>
      </c>
      <c r="AC826" t="s">
        <v>1201</v>
      </c>
      <c r="AD826" t="s">
        <v>1202</v>
      </c>
      <c r="AH826" t="s">
        <v>65</v>
      </c>
      <c r="AI826" t="s">
        <v>300</v>
      </c>
      <c r="AJ826">
        <v>1999</v>
      </c>
      <c r="AK826" t="s">
        <v>1203</v>
      </c>
      <c r="AM826" t="s">
        <v>1204</v>
      </c>
      <c r="AN826" t="s">
        <v>94</v>
      </c>
      <c r="AO826" t="s">
        <v>68</v>
      </c>
      <c r="AP826" t="s">
        <v>69</v>
      </c>
      <c r="AQ826" t="s">
        <v>1205</v>
      </c>
      <c r="AR826" t="s">
        <v>70</v>
      </c>
      <c r="AS826">
        <v>302</v>
      </c>
      <c r="AT826" t="s">
        <v>71</v>
      </c>
      <c r="AU826">
        <v>53.92</v>
      </c>
      <c r="AV826">
        <v>34.33</v>
      </c>
      <c r="AW826" t="s">
        <v>72</v>
      </c>
      <c r="AX826">
        <v>301</v>
      </c>
      <c r="AY826" t="s">
        <v>71</v>
      </c>
      <c r="AZ826">
        <v>41.27</v>
      </c>
      <c r="BA826">
        <v>25.79</v>
      </c>
      <c r="BB826" t="s">
        <v>73</v>
      </c>
    </row>
    <row r="827" spans="1:54" x14ac:dyDescent="0.4">
      <c r="A827">
        <v>1127431</v>
      </c>
      <c r="D827" t="s">
        <v>54</v>
      </c>
      <c r="I827" t="s">
        <v>57</v>
      </c>
      <c r="K827" t="s">
        <v>80</v>
      </c>
      <c r="L827" t="s">
        <v>517</v>
      </c>
      <c r="M827" t="s">
        <v>59</v>
      </c>
      <c r="P827" t="s">
        <v>83</v>
      </c>
      <c r="R827" t="s">
        <v>84</v>
      </c>
      <c r="S827" t="s">
        <v>61</v>
      </c>
      <c r="T827">
        <v>251.2</v>
      </c>
      <c r="U827">
        <v>246.7</v>
      </c>
      <c r="V827">
        <f>(T827+U827)/2</f>
        <v>248.95</v>
      </c>
      <c r="W827">
        <f>T827-U827</f>
        <v>4.5</v>
      </c>
      <c r="X827">
        <v>43.673057999999997</v>
      </c>
      <c r="Y827">
        <v>49.260834000000003</v>
      </c>
      <c r="Z827" t="s">
        <v>99</v>
      </c>
      <c r="AA827" t="s">
        <v>139</v>
      </c>
      <c r="AB827" t="s">
        <v>1200</v>
      </c>
      <c r="AC827" t="s">
        <v>1201</v>
      </c>
      <c r="AD827" t="s">
        <v>1202</v>
      </c>
      <c r="AH827" t="s">
        <v>11</v>
      </c>
      <c r="AI827" t="s">
        <v>643</v>
      </c>
      <c r="AJ827">
        <v>2010</v>
      </c>
      <c r="AK827" t="s">
        <v>1203</v>
      </c>
      <c r="AM827" t="s">
        <v>1204</v>
      </c>
      <c r="AN827" t="s">
        <v>94</v>
      </c>
      <c r="AO827" t="s">
        <v>68</v>
      </c>
      <c r="AP827" t="s">
        <v>69</v>
      </c>
      <c r="AQ827" t="s">
        <v>1205</v>
      </c>
      <c r="AR827" t="s">
        <v>70</v>
      </c>
      <c r="AS827">
        <v>302</v>
      </c>
      <c r="AT827" t="s">
        <v>71</v>
      </c>
      <c r="AU827">
        <v>53.92</v>
      </c>
      <c r="AV827">
        <v>34.33</v>
      </c>
      <c r="AW827" t="s">
        <v>72</v>
      </c>
      <c r="AX827">
        <v>301</v>
      </c>
      <c r="AY827" t="s">
        <v>71</v>
      </c>
      <c r="AZ827">
        <v>41.27</v>
      </c>
      <c r="BA827">
        <v>25.79</v>
      </c>
      <c r="BB827" t="s">
        <v>73</v>
      </c>
    </row>
    <row r="828" spans="1:54" x14ac:dyDescent="0.4">
      <c r="A828">
        <v>1127575</v>
      </c>
      <c r="D828" t="s">
        <v>54</v>
      </c>
      <c r="F828" t="s">
        <v>294</v>
      </c>
      <c r="G828">
        <v>5</v>
      </c>
      <c r="H828" t="s">
        <v>228</v>
      </c>
      <c r="I828" t="s">
        <v>57</v>
      </c>
      <c r="K828" t="s">
        <v>724</v>
      </c>
      <c r="L828" t="s">
        <v>1751</v>
      </c>
      <c r="M828" t="s">
        <v>59</v>
      </c>
      <c r="P828" t="s">
        <v>83</v>
      </c>
      <c r="R828" t="s">
        <v>84</v>
      </c>
      <c r="S828" t="s">
        <v>61</v>
      </c>
      <c r="T828">
        <v>251.2</v>
      </c>
      <c r="U828">
        <v>246.7</v>
      </c>
      <c r="V828">
        <f>(T828+U828)/2</f>
        <v>248.95</v>
      </c>
      <c r="W828">
        <f>T828-U828</f>
        <v>4.5</v>
      </c>
      <c r="X828">
        <v>55.083331999999999</v>
      </c>
      <c r="Y828">
        <v>51.75</v>
      </c>
      <c r="Z828" t="s">
        <v>99</v>
      </c>
      <c r="AA828" t="s">
        <v>139</v>
      </c>
      <c r="AB828" t="s">
        <v>316</v>
      </c>
      <c r="AC828" t="s">
        <v>1386</v>
      </c>
      <c r="AD828" t="s">
        <v>518</v>
      </c>
      <c r="AH828" t="s">
        <v>65</v>
      </c>
      <c r="AI828" t="s">
        <v>300</v>
      </c>
      <c r="AJ828">
        <v>2005</v>
      </c>
      <c r="AK828" t="s">
        <v>1387</v>
      </c>
      <c r="AM828" t="s">
        <v>1388</v>
      </c>
      <c r="AN828" t="s">
        <v>94</v>
      </c>
      <c r="AO828" t="s">
        <v>106</v>
      </c>
      <c r="AP828" t="s">
        <v>95</v>
      </c>
      <c r="AQ828" t="s">
        <v>1389</v>
      </c>
      <c r="AR828" t="s">
        <v>70</v>
      </c>
      <c r="AS828">
        <v>302</v>
      </c>
      <c r="AT828" t="s">
        <v>71</v>
      </c>
      <c r="AU828">
        <v>60.5</v>
      </c>
      <c r="AV828">
        <v>39.92</v>
      </c>
      <c r="AW828" t="s">
        <v>72</v>
      </c>
      <c r="AX828">
        <v>301</v>
      </c>
      <c r="AY828" t="s">
        <v>71</v>
      </c>
      <c r="AZ828">
        <v>45.46</v>
      </c>
      <c r="BA828">
        <v>32.53</v>
      </c>
      <c r="BB828" t="s">
        <v>73</v>
      </c>
    </row>
    <row r="829" spans="1:54" x14ac:dyDescent="0.4">
      <c r="A829">
        <v>1127583</v>
      </c>
      <c r="D829" t="s">
        <v>54</v>
      </c>
      <c r="G829">
        <v>3</v>
      </c>
      <c r="H829" t="s">
        <v>228</v>
      </c>
      <c r="I829" t="s">
        <v>57</v>
      </c>
      <c r="K829" t="s">
        <v>102</v>
      </c>
      <c r="L829" t="s">
        <v>307</v>
      </c>
      <c r="M829" t="s">
        <v>59</v>
      </c>
      <c r="P829" t="s">
        <v>83</v>
      </c>
      <c r="R829" t="s">
        <v>84</v>
      </c>
      <c r="S829" t="s">
        <v>61</v>
      </c>
      <c r="T829">
        <v>251.2</v>
      </c>
      <c r="U829">
        <v>246.7</v>
      </c>
      <c r="V829">
        <f>(T829+U829)/2</f>
        <v>248.95</v>
      </c>
      <c r="W829">
        <f>T829-U829</f>
        <v>4.5</v>
      </c>
      <c r="X829">
        <v>51.769168999999998</v>
      </c>
      <c r="Y829">
        <v>52.805</v>
      </c>
      <c r="Z829" t="s">
        <v>239</v>
      </c>
      <c r="AA829" t="s">
        <v>139</v>
      </c>
      <c r="AB829" t="s">
        <v>316</v>
      </c>
      <c r="AD829" t="s">
        <v>1755</v>
      </c>
      <c r="AH829" t="s">
        <v>65</v>
      </c>
      <c r="AI829" t="s">
        <v>300</v>
      </c>
      <c r="AJ829">
        <v>1990</v>
      </c>
      <c r="AK829" t="s">
        <v>1756</v>
      </c>
      <c r="AM829" t="s">
        <v>1757</v>
      </c>
      <c r="AN829" t="s">
        <v>121</v>
      </c>
      <c r="AO829" t="s">
        <v>68</v>
      </c>
      <c r="AP829" t="s">
        <v>69</v>
      </c>
      <c r="AQ829" t="s">
        <v>1758</v>
      </c>
      <c r="AR829" t="s">
        <v>70</v>
      </c>
      <c r="AS829">
        <v>302</v>
      </c>
      <c r="AT829" t="s">
        <v>71</v>
      </c>
      <c r="AU829">
        <v>57.53</v>
      </c>
      <c r="AV829">
        <v>39.82</v>
      </c>
      <c r="AW829" t="s">
        <v>72</v>
      </c>
      <c r="AX829">
        <v>301</v>
      </c>
      <c r="AY829" t="s">
        <v>71</v>
      </c>
      <c r="AZ829">
        <v>42.89</v>
      </c>
      <c r="BA829">
        <v>31.82</v>
      </c>
      <c r="BB829" t="s">
        <v>73</v>
      </c>
    </row>
    <row r="830" spans="1:54" x14ac:dyDescent="0.4">
      <c r="A830">
        <v>1142139</v>
      </c>
      <c r="D830" t="s">
        <v>54</v>
      </c>
      <c r="E830" t="s">
        <v>104</v>
      </c>
      <c r="I830" t="s">
        <v>57</v>
      </c>
      <c r="K830" t="s">
        <v>80</v>
      </c>
      <c r="L830" t="s">
        <v>81</v>
      </c>
      <c r="M830" t="s">
        <v>59</v>
      </c>
      <c r="P830" t="s">
        <v>83</v>
      </c>
      <c r="R830" t="s">
        <v>84</v>
      </c>
      <c r="S830" t="s">
        <v>61</v>
      </c>
      <c r="T830">
        <v>251.2</v>
      </c>
      <c r="U830">
        <v>246.7</v>
      </c>
      <c r="V830">
        <f>(T830+U830)/2</f>
        <v>248.95</v>
      </c>
      <c r="W830">
        <f>T830-U830</f>
        <v>4.5</v>
      </c>
      <c r="X830">
        <v>26.366667</v>
      </c>
      <c r="Y830">
        <v>-30.594443999999999</v>
      </c>
      <c r="Z830" t="s">
        <v>99</v>
      </c>
      <c r="AA830" t="s">
        <v>86</v>
      </c>
      <c r="AB830" t="s">
        <v>87</v>
      </c>
      <c r="AD830" t="s">
        <v>89</v>
      </c>
      <c r="AE830" t="s">
        <v>90</v>
      </c>
      <c r="AG830" t="s">
        <v>1513</v>
      </c>
      <c r="AH830" t="s">
        <v>11</v>
      </c>
      <c r="AI830" t="s">
        <v>1781</v>
      </c>
      <c r="AJ830">
        <v>2000</v>
      </c>
      <c r="AK830" t="s">
        <v>1782</v>
      </c>
      <c r="AN830" t="s">
        <v>94</v>
      </c>
      <c r="AO830" t="s">
        <v>68</v>
      </c>
      <c r="AP830" t="s">
        <v>69</v>
      </c>
      <c r="AQ830" t="s">
        <v>1783</v>
      </c>
      <c r="AR830" t="s">
        <v>70</v>
      </c>
      <c r="AS830">
        <v>701</v>
      </c>
      <c r="AT830" t="s">
        <v>71</v>
      </c>
      <c r="AU830">
        <v>-9.3800000000000008</v>
      </c>
      <c r="AV830">
        <v>-50.41</v>
      </c>
      <c r="AW830" t="s">
        <v>72</v>
      </c>
      <c r="AX830">
        <v>701</v>
      </c>
      <c r="AY830" t="s">
        <v>71</v>
      </c>
      <c r="AZ830">
        <v>-17.850000000000001</v>
      </c>
      <c r="BA830">
        <v>-64.91</v>
      </c>
      <c r="BB830" t="s">
        <v>73</v>
      </c>
    </row>
    <row r="831" spans="1:54" x14ac:dyDescent="0.4">
      <c r="A831">
        <v>1142841</v>
      </c>
      <c r="D831" t="s">
        <v>54</v>
      </c>
      <c r="G831">
        <v>1</v>
      </c>
      <c r="H831" t="s">
        <v>74</v>
      </c>
      <c r="I831" t="s">
        <v>57</v>
      </c>
      <c r="K831" t="s">
        <v>102</v>
      </c>
      <c r="L831" t="s">
        <v>1297</v>
      </c>
      <c r="M831" t="s">
        <v>59</v>
      </c>
      <c r="P831" t="s">
        <v>83</v>
      </c>
      <c r="R831" t="s">
        <v>84</v>
      </c>
      <c r="S831" t="s">
        <v>61</v>
      </c>
      <c r="T831">
        <v>251.2</v>
      </c>
      <c r="U831">
        <v>246.7</v>
      </c>
      <c r="V831">
        <f>(T831+U831)/2</f>
        <v>248.95</v>
      </c>
      <c r="W831">
        <f>T831-U831</f>
        <v>4.5</v>
      </c>
      <c r="X831">
        <v>27.959999</v>
      </c>
      <c r="Y831">
        <v>-28.181944000000001</v>
      </c>
      <c r="Z831" t="s">
        <v>85</v>
      </c>
      <c r="AA831" t="s">
        <v>86</v>
      </c>
      <c r="AB831" t="s">
        <v>546</v>
      </c>
      <c r="AC831" t="s">
        <v>1784</v>
      </c>
      <c r="AD831" t="s">
        <v>777</v>
      </c>
      <c r="AE831" t="s">
        <v>90</v>
      </c>
      <c r="AG831" t="s">
        <v>1731</v>
      </c>
      <c r="AH831" t="s">
        <v>65</v>
      </c>
      <c r="AI831" t="s">
        <v>554</v>
      </c>
      <c r="AJ831">
        <v>1999</v>
      </c>
      <c r="AK831" t="s">
        <v>1785</v>
      </c>
      <c r="AN831" t="s">
        <v>121</v>
      </c>
      <c r="AO831" t="s">
        <v>68</v>
      </c>
      <c r="AP831" t="s">
        <v>69</v>
      </c>
      <c r="AQ831" t="s">
        <v>1786</v>
      </c>
      <c r="AR831" t="s">
        <v>70</v>
      </c>
      <c r="AS831">
        <v>701</v>
      </c>
      <c r="AT831" t="s">
        <v>71</v>
      </c>
      <c r="AU831">
        <v>-5.09</v>
      </c>
      <c r="AV831">
        <v>-49.96</v>
      </c>
      <c r="AW831" t="s">
        <v>72</v>
      </c>
      <c r="AX831">
        <v>701</v>
      </c>
      <c r="AY831" t="s">
        <v>71</v>
      </c>
      <c r="AZ831">
        <v>-11.38</v>
      </c>
      <c r="BA831">
        <v>-64.56</v>
      </c>
      <c r="BB831" t="s">
        <v>73</v>
      </c>
    </row>
    <row r="832" spans="1:54" x14ac:dyDescent="0.4">
      <c r="A832">
        <v>1347708</v>
      </c>
      <c r="D832" t="s">
        <v>54</v>
      </c>
      <c r="F832" t="s">
        <v>294</v>
      </c>
      <c r="G832">
        <v>1</v>
      </c>
      <c r="H832" t="s">
        <v>74</v>
      </c>
      <c r="I832" t="s">
        <v>57</v>
      </c>
      <c r="K832" t="s">
        <v>102</v>
      </c>
      <c r="L832" t="s">
        <v>307</v>
      </c>
      <c r="M832" t="s">
        <v>59</v>
      </c>
      <c r="P832" t="s">
        <v>83</v>
      </c>
      <c r="R832" t="s">
        <v>84</v>
      </c>
      <c r="S832" t="s">
        <v>61</v>
      </c>
      <c r="T832">
        <v>251.2</v>
      </c>
      <c r="U832">
        <v>246.7</v>
      </c>
      <c r="V832">
        <f>(T832+U832)/2</f>
        <v>248.95</v>
      </c>
      <c r="W832">
        <f>T832-U832</f>
        <v>4.5</v>
      </c>
      <c r="X832">
        <v>55.083331999999999</v>
      </c>
      <c r="Y832">
        <v>51.75</v>
      </c>
      <c r="Z832" t="s">
        <v>99</v>
      </c>
      <c r="AA832" t="s">
        <v>139</v>
      </c>
      <c r="AB832" t="s">
        <v>316</v>
      </c>
      <c r="AC832" t="s">
        <v>1386</v>
      </c>
      <c r="AD832" t="s">
        <v>518</v>
      </c>
      <c r="AH832" t="s">
        <v>65</v>
      </c>
      <c r="AI832" t="s">
        <v>1195</v>
      </c>
      <c r="AJ832">
        <v>1979</v>
      </c>
      <c r="AK832" t="s">
        <v>1387</v>
      </c>
      <c r="AM832" t="s">
        <v>1388</v>
      </c>
      <c r="AN832" t="s">
        <v>94</v>
      </c>
      <c r="AO832" t="s">
        <v>106</v>
      </c>
      <c r="AP832" t="s">
        <v>95</v>
      </c>
      <c r="AQ832" t="s">
        <v>1389</v>
      </c>
      <c r="AR832" t="s">
        <v>70</v>
      </c>
      <c r="AS832">
        <v>302</v>
      </c>
      <c r="AT832" t="s">
        <v>71</v>
      </c>
      <c r="AU832">
        <v>60.5</v>
      </c>
      <c r="AV832">
        <v>39.92</v>
      </c>
      <c r="AW832" t="s">
        <v>72</v>
      </c>
      <c r="AX832">
        <v>301</v>
      </c>
      <c r="AY832" t="s">
        <v>71</v>
      </c>
      <c r="AZ832">
        <v>45.46</v>
      </c>
      <c r="BA832">
        <v>32.53</v>
      </c>
      <c r="BB832" t="s">
        <v>73</v>
      </c>
    </row>
    <row r="833" spans="1:54" x14ac:dyDescent="0.4">
      <c r="A833">
        <v>1347709</v>
      </c>
      <c r="D833" t="s">
        <v>54</v>
      </c>
      <c r="G833">
        <v>6</v>
      </c>
      <c r="H833" t="s">
        <v>74</v>
      </c>
      <c r="I833" t="s">
        <v>57</v>
      </c>
      <c r="K833" t="s">
        <v>102</v>
      </c>
      <c r="L833" t="s">
        <v>307</v>
      </c>
      <c r="M833" t="s">
        <v>59</v>
      </c>
      <c r="P833" t="s">
        <v>83</v>
      </c>
      <c r="R833" t="s">
        <v>84</v>
      </c>
      <c r="S833" t="s">
        <v>61</v>
      </c>
      <c r="T833">
        <v>251.2</v>
      </c>
      <c r="U833">
        <v>246.7</v>
      </c>
      <c r="V833">
        <f>(T833+U833)/2</f>
        <v>248.95</v>
      </c>
      <c r="W833">
        <f>T833-U833</f>
        <v>4.5</v>
      </c>
      <c r="X833">
        <v>49.558334000000002</v>
      </c>
      <c r="Y833">
        <v>62.058334000000002</v>
      </c>
      <c r="Z833" t="s">
        <v>99</v>
      </c>
      <c r="AA833" t="s">
        <v>139</v>
      </c>
      <c r="AB833" t="s">
        <v>308</v>
      </c>
      <c r="AC833" t="s">
        <v>644</v>
      </c>
      <c r="AD833" t="s">
        <v>645</v>
      </c>
      <c r="AE833" t="s">
        <v>646</v>
      </c>
      <c r="AH833" t="s">
        <v>65</v>
      </c>
      <c r="AI833" t="s">
        <v>1195</v>
      </c>
      <c r="AJ833">
        <v>1979</v>
      </c>
      <c r="AK833" t="s">
        <v>648</v>
      </c>
      <c r="AM833" t="s">
        <v>649</v>
      </c>
      <c r="AN833" t="s">
        <v>94</v>
      </c>
      <c r="AO833" t="s">
        <v>68</v>
      </c>
      <c r="AP833" t="s">
        <v>95</v>
      </c>
      <c r="AQ833" t="s">
        <v>650</v>
      </c>
      <c r="AR833" t="s">
        <v>70</v>
      </c>
      <c r="AS833">
        <v>302</v>
      </c>
      <c r="AT833" t="s">
        <v>71</v>
      </c>
      <c r="AU833">
        <v>49.48</v>
      </c>
      <c r="AV833">
        <v>47.11</v>
      </c>
      <c r="AW833" t="s">
        <v>72</v>
      </c>
      <c r="AX833">
        <v>301</v>
      </c>
      <c r="AY833" t="s">
        <v>71</v>
      </c>
      <c r="AZ833">
        <v>33.75</v>
      </c>
      <c r="BA833">
        <v>37.36</v>
      </c>
      <c r="BB833" t="s">
        <v>73</v>
      </c>
    </row>
    <row r="834" spans="1:54" x14ac:dyDescent="0.4">
      <c r="A834">
        <v>1349935</v>
      </c>
      <c r="D834" t="s">
        <v>54</v>
      </c>
      <c r="I834" t="s">
        <v>57</v>
      </c>
      <c r="K834" t="s">
        <v>652</v>
      </c>
      <c r="L834" t="s">
        <v>1199</v>
      </c>
      <c r="M834" t="s">
        <v>59</v>
      </c>
      <c r="P834" t="s">
        <v>83</v>
      </c>
      <c r="R834" t="s">
        <v>84</v>
      </c>
      <c r="S834" t="s">
        <v>61</v>
      </c>
      <c r="T834">
        <v>251.2</v>
      </c>
      <c r="U834">
        <v>246.7</v>
      </c>
      <c r="V834">
        <f>(T834+U834)/2</f>
        <v>248.95</v>
      </c>
      <c r="W834">
        <f>T834-U834</f>
        <v>4.5</v>
      </c>
      <c r="X834">
        <v>27.959999</v>
      </c>
      <c r="Y834">
        <v>-28.181944000000001</v>
      </c>
      <c r="Z834" t="s">
        <v>85</v>
      </c>
      <c r="AA834" t="s">
        <v>86</v>
      </c>
      <c r="AB834" t="s">
        <v>546</v>
      </c>
      <c r="AC834" t="s">
        <v>1784</v>
      </c>
      <c r="AD834" t="s">
        <v>777</v>
      </c>
      <c r="AE834" t="s">
        <v>90</v>
      </c>
      <c r="AG834" t="s">
        <v>1731</v>
      </c>
      <c r="AH834" t="s">
        <v>65</v>
      </c>
      <c r="AI834" t="s">
        <v>1943</v>
      </c>
      <c r="AJ834">
        <v>2014</v>
      </c>
      <c r="AK834" t="s">
        <v>1785</v>
      </c>
      <c r="AN834" t="s">
        <v>121</v>
      </c>
      <c r="AO834" t="s">
        <v>68</v>
      </c>
      <c r="AP834" t="s">
        <v>69</v>
      </c>
      <c r="AQ834" t="s">
        <v>1786</v>
      </c>
      <c r="AR834" t="s">
        <v>70</v>
      </c>
      <c r="AS834">
        <v>701</v>
      </c>
      <c r="AT834" t="s">
        <v>71</v>
      </c>
      <c r="AU834">
        <v>-5.09</v>
      </c>
      <c r="AV834">
        <v>-49.96</v>
      </c>
      <c r="AW834" t="s">
        <v>72</v>
      </c>
      <c r="AX834">
        <v>701</v>
      </c>
      <c r="AY834" t="s">
        <v>71</v>
      </c>
      <c r="AZ834">
        <v>-11.38</v>
      </c>
      <c r="BA834">
        <v>-64.56</v>
      </c>
      <c r="BB834" t="s">
        <v>73</v>
      </c>
    </row>
    <row r="835" spans="1:54" x14ac:dyDescent="0.4">
      <c r="A835">
        <v>1349936</v>
      </c>
      <c r="D835" t="s">
        <v>54</v>
      </c>
      <c r="G835">
        <v>4</v>
      </c>
      <c r="H835" t="s">
        <v>74</v>
      </c>
      <c r="I835" t="s">
        <v>57</v>
      </c>
      <c r="K835" t="s">
        <v>652</v>
      </c>
      <c r="L835" t="s">
        <v>1199</v>
      </c>
      <c r="M835" t="s">
        <v>59</v>
      </c>
      <c r="P835" t="s">
        <v>83</v>
      </c>
      <c r="R835" t="s">
        <v>84</v>
      </c>
      <c r="S835" t="s">
        <v>61</v>
      </c>
      <c r="T835">
        <v>251.2</v>
      </c>
      <c r="U835">
        <v>246.7</v>
      </c>
      <c r="V835">
        <f>(T835+U835)/2</f>
        <v>248.95</v>
      </c>
      <c r="W835">
        <f>T835-U835</f>
        <v>4.5</v>
      </c>
      <c r="X835">
        <v>27.696387999999999</v>
      </c>
      <c r="Y835">
        <v>-28.297222000000001</v>
      </c>
      <c r="Z835" t="s">
        <v>85</v>
      </c>
      <c r="AA835" t="s">
        <v>86</v>
      </c>
      <c r="AB835" t="s">
        <v>546</v>
      </c>
      <c r="AC835" t="s">
        <v>1784</v>
      </c>
      <c r="AD835" t="s">
        <v>777</v>
      </c>
      <c r="AE835" t="s">
        <v>90</v>
      </c>
      <c r="AG835" t="s">
        <v>1731</v>
      </c>
      <c r="AH835" t="s">
        <v>65</v>
      </c>
      <c r="AI835" t="s">
        <v>1943</v>
      </c>
      <c r="AJ835">
        <v>2014</v>
      </c>
      <c r="AK835" t="s">
        <v>1944</v>
      </c>
      <c r="AM835" t="s">
        <v>1945</v>
      </c>
      <c r="AN835" t="s">
        <v>121</v>
      </c>
      <c r="AO835" t="s">
        <v>68</v>
      </c>
      <c r="AP835" t="s">
        <v>69</v>
      </c>
      <c r="AQ835" t="s">
        <v>1946</v>
      </c>
      <c r="AR835" t="s">
        <v>70</v>
      </c>
      <c r="AS835">
        <v>701</v>
      </c>
      <c r="AT835" t="s">
        <v>71</v>
      </c>
      <c r="AU835">
        <v>-5.46</v>
      </c>
      <c r="AV835">
        <v>-49.86</v>
      </c>
      <c r="AW835" t="s">
        <v>72</v>
      </c>
      <c r="AX835">
        <v>701</v>
      </c>
      <c r="AY835" t="s">
        <v>71</v>
      </c>
      <c r="AZ835">
        <v>-11.93</v>
      </c>
      <c r="BA835">
        <v>-64.459999999999994</v>
      </c>
      <c r="BB835" t="s">
        <v>73</v>
      </c>
    </row>
    <row r="836" spans="1:54" x14ac:dyDescent="0.4">
      <c r="A836">
        <v>1349937</v>
      </c>
      <c r="D836" t="s">
        <v>54</v>
      </c>
      <c r="G836">
        <v>1</v>
      </c>
      <c r="H836" t="s">
        <v>74</v>
      </c>
      <c r="I836" t="s">
        <v>57</v>
      </c>
      <c r="K836" t="s">
        <v>652</v>
      </c>
      <c r="L836" t="s">
        <v>1199</v>
      </c>
      <c r="M836" t="s">
        <v>59</v>
      </c>
      <c r="P836" t="s">
        <v>83</v>
      </c>
      <c r="R836" t="s">
        <v>84</v>
      </c>
      <c r="S836" t="s">
        <v>61</v>
      </c>
      <c r="T836">
        <v>251.2</v>
      </c>
      <c r="U836">
        <v>246.7</v>
      </c>
      <c r="V836">
        <f>(T836+U836)/2</f>
        <v>248.95</v>
      </c>
      <c r="W836">
        <f>T836-U836</f>
        <v>4.5</v>
      </c>
      <c r="X836">
        <v>27.819721000000001</v>
      </c>
      <c r="Y836">
        <v>-28.457778999999999</v>
      </c>
      <c r="Z836" t="s">
        <v>85</v>
      </c>
      <c r="AA836" t="s">
        <v>86</v>
      </c>
      <c r="AB836" t="s">
        <v>546</v>
      </c>
      <c r="AC836" t="s">
        <v>1784</v>
      </c>
      <c r="AD836" t="s">
        <v>777</v>
      </c>
      <c r="AE836" t="s">
        <v>90</v>
      </c>
      <c r="AG836" t="s">
        <v>1731</v>
      </c>
      <c r="AH836" t="s">
        <v>65</v>
      </c>
      <c r="AI836" t="s">
        <v>1943</v>
      </c>
      <c r="AJ836">
        <v>2014</v>
      </c>
      <c r="AK836" t="s">
        <v>1947</v>
      </c>
      <c r="AN836" t="s">
        <v>121</v>
      </c>
      <c r="AO836" t="s">
        <v>68</v>
      </c>
      <c r="AP836" t="s">
        <v>69</v>
      </c>
      <c r="AR836" t="s">
        <v>70</v>
      </c>
      <c r="AS836">
        <v>701</v>
      </c>
      <c r="AT836" t="s">
        <v>71</v>
      </c>
      <c r="AU836">
        <v>-5.54</v>
      </c>
      <c r="AV836">
        <v>-50.05</v>
      </c>
      <c r="AW836" t="s">
        <v>72</v>
      </c>
      <c r="AX836">
        <v>701</v>
      </c>
      <c r="AY836" t="s">
        <v>71</v>
      </c>
      <c r="AZ836">
        <v>-12.06</v>
      </c>
      <c r="BA836">
        <v>-64.64</v>
      </c>
      <c r="BB836" t="s">
        <v>73</v>
      </c>
    </row>
    <row r="837" spans="1:54" x14ac:dyDescent="0.4">
      <c r="A837">
        <v>1349938</v>
      </c>
      <c r="D837" t="s">
        <v>54</v>
      </c>
      <c r="G837">
        <v>1</v>
      </c>
      <c r="H837" t="s">
        <v>74</v>
      </c>
      <c r="I837" t="s">
        <v>57</v>
      </c>
      <c r="K837" t="s">
        <v>652</v>
      </c>
      <c r="L837" t="s">
        <v>1199</v>
      </c>
      <c r="M837" t="s">
        <v>59</v>
      </c>
      <c r="P837" t="s">
        <v>83</v>
      </c>
      <c r="R837" t="s">
        <v>84</v>
      </c>
      <c r="S837" t="s">
        <v>61</v>
      </c>
      <c r="T837">
        <v>251.2</v>
      </c>
      <c r="U837">
        <v>246.7</v>
      </c>
      <c r="V837">
        <f>(T837+U837)/2</f>
        <v>248.95</v>
      </c>
      <c r="W837">
        <f>T837-U837</f>
        <v>4.5</v>
      </c>
      <c r="X837">
        <v>27.819721000000001</v>
      </c>
      <c r="Y837">
        <v>-28.457778999999999</v>
      </c>
      <c r="Z837" t="s">
        <v>85</v>
      </c>
      <c r="AA837" t="s">
        <v>86</v>
      </c>
      <c r="AB837" t="s">
        <v>546</v>
      </c>
      <c r="AC837" t="s">
        <v>1784</v>
      </c>
      <c r="AD837" t="s">
        <v>777</v>
      </c>
      <c r="AE837" t="s">
        <v>90</v>
      </c>
      <c r="AG837" t="s">
        <v>1731</v>
      </c>
      <c r="AH837" t="s">
        <v>65</v>
      </c>
      <c r="AI837" t="s">
        <v>1943</v>
      </c>
      <c r="AJ837">
        <v>2014</v>
      </c>
      <c r="AK837" t="s">
        <v>1948</v>
      </c>
      <c r="AN837" t="s">
        <v>121</v>
      </c>
      <c r="AO837" t="s">
        <v>68</v>
      </c>
      <c r="AP837" t="s">
        <v>69</v>
      </c>
      <c r="AR837" t="s">
        <v>70</v>
      </c>
      <c r="AS837">
        <v>701</v>
      </c>
      <c r="AT837" t="s">
        <v>71</v>
      </c>
      <c r="AU837">
        <v>-5.54</v>
      </c>
      <c r="AV837">
        <v>-50.05</v>
      </c>
      <c r="AW837" t="s">
        <v>72</v>
      </c>
      <c r="AX837">
        <v>701</v>
      </c>
      <c r="AY837" t="s">
        <v>71</v>
      </c>
      <c r="AZ837">
        <v>-12.06</v>
      </c>
      <c r="BA837">
        <v>-64.64</v>
      </c>
      <c r="BB837" t="s">
        <v>73</v>
      </c>
    </row>
    <row r="838" spans="1:54" x14ac:dyDescent="0.4">
      <c r="A838">
        <v>1349939</v>
      </c>
      <c r="D838" t="s">
        <v>54</v>
      </c>
      <c r="F838" t="s">
        <v>352</v>
      </c>
      <c r="G838">
        <v>1</v>
      </c>
      <c r="H838" t="s">
        <v>74</v>
      </c>
      <c r="I838" t="s">
        <v>57</v>
      </c>
      <c r="K838" t="s">
        <v>652</v>
      </c>
      <c r="L838" t="s">
        <v>1199</v>
      </c>
      <c r="M838" t="s">
        <v>59</v>
      </c>
      <c r="P838" t="s">
        <v>83</v>
      </c>
      <c r="R838" t="s">
        <v>84</v>
      </c>
      <c r="S838" t="s">
        <v>61</v>
      </c>
      <c r="T838">
        <v>251.2</v>
      </c>
      <c r="U838">
        <v>246.7</v>
      </c>
      <c r="V838">
        <f>(T838+U838)/2</f>
        <v>248.95</v>
      </c>
      <c r="W838">
        <f>T838-U838</f>
        <v>4.5</v>
      </c>
      <c r="X838">
        <v>27.965834000000001</v>
      </c>
      <c r="Y838">
        <v>-28.23</v>
      </c>
      <c r="Z838" t="s">
        <v>99</v>
      </c>
      <c r="AA838" t="s">
        <v>86</v>
      </c>
      <c r="AB838" t="s">
        <v>546</v>
      </c>
      <c r="AC838" t="s">
        <v>1949</v>
      </c>
      <c r="AD838" t="s">
        <v>777</v>
      </c>
      <c r="AE838" t="s">
        <v>90</v>
      </c>
      <c r="AG838" t="s">
        <v>1950</v>
      </c>
      <c r="AH838" t="s">
        <v>65</v>
      </c>
      <c r="AI838" t="s">
        <v>1943</v>
      </c>
      <c r="AJ838">
        <v>2014</v>
      </c>
      <c r="AK838" t="s">
        <v>1951</v>
      </c>
      <c r="AN838" t="s">
        <v>67</v>
      </c>
      <c r="AO838" t="s">
        <v>68</v>
      </c>
      <c r="AP838" t="s">
        <v>182</v>
      </c>
      <c r="AQ838" t="s">
        <v>1952</v>
      </c>
      <c r="AR838" t="s">
        <v>70</v>
      </c>
      <c r="AS838">
        <v>701</v>
      </c>
      <c r="AT838" t="s">
        <v>71</v>
      </c>
      <c r="AU838">
        <v>-5.14</v>
      </c>
      <c r="AV838">
        <v>-50</v>
      </c>
      <c r="AW838" t="s">
        <v>72</v>
      </c>
      <c r="AX838">
        <v>701</v>
      </c>
      <c r="AY838" t="s">
        <v>71</v>
      </c>
      <c r="AZ838">
        <v>-11.46</v>
      </c>
      <c r="BA838">
        <v>-64.599999999999994</v>
      </c>
      <c r="BB838" t="s">
        <v>73</v>
      </c>
    </row>
    <row r="839" spans="1:54" x14ac:dyDescent="0.4">
      <c r="A839">
        <v>1349940</v>
      </c>
      <c r="D839" t="s">
        <v>54</v>
      </c>
      <c r="G839">
        <v>1</v>
      </c>
      <c r="H839" t="s">
        <v>74</v>
      </c>
      <c r="I839" t="s">
        <v>57</v>
      </c>
      <c r="K839" t="s">
        <v>652</v>
      </c>
      <c r="L839" t="s">
        <v>1199</v>
      </c>
      <c r="M839" t="s">
        <v>59</v>
      </c>
      <c r="P839" t="s">
        <v>83</v>
      </c>
      <c r="R839" t="s">
        <v>84</v>
      </c>
      <c r="S839" t="s">
        <v>61</v>
      </c>
      <c r="T839">
        <v>251.2</v>
      </c>
      <c r="U839">
        <v>246.7</v>
      </c>
      <c r="V839">
        <f>(T839+U839)/2</f>
        <v>248.95</v>
      </c>
      <c r="W839">
        <f>T839-U839</f>
        <v>4.5</v>
      </c>
      <c r="X839">
        <v>27.620000999999998</v>
      </c>
      <c r="Y839">
        <v>-28.32</v>
      </c>
      <c r="Z839" t="s">
        <v>99</v>
      </c>
      <c r="AA839" t="s">
        <v>86</v>
      </c>
      <c r="AB839" t="s">
        <v>546</v>
      </c>
      <c r="AC839" t="s">
        <v>1953</v>
      </c>
      <c r="AD839" t="s">
        <v>777</v>
      </c>
      <c r="AE839" t="s">
        <v>90</v>
      </c>
      <c r="AG839" t="s">
        <v>1950</v>
      </c>
      <c r="AH839" t="s">
        <v>65</v>
      </c>
      <c r="AI839" t="s">
        <v>1943</v>
      </c>
      <c r="AJ839">
        <v>2014</v>
      </c>
      <c r="AK839" t="s">
        <v>1947</v>
      </c>
      <c r="AN839" t="s">
        <v>94</v>
      </c>
      <c r="AO839">
        <v>2</v>
      </c>
      <c r="AP839" t="s">
        <v>182</v>
      </c>
      <c r="AQ839" t="s">
        <v>1954</v>
      </c>
      <c r="AR839" t="s">
        <v>70</v>
      </c>
      <c r="AS839">
        <v>701</v>
      </c>
      <c r="AT839" t="s">
        <v>71</v>
      </c>
      <c r="AU839">
        <v>-5.56</v>
      </c>
      <c r="AV839">
        <v>-49.82</v>
      </c>
      <c r="AW839" t="s">
        <v>72</v>
      </c>
      <c r="AX839">
        <v>701</v>
      </c>
      <c r="AY839" t="s">
        <v>71</v>
      </c>
      <c r="AZ839">
        <v>-12.07</v>
      </c>
      <c r="BA839">
        <v>-64.42</v>
      </c>
      <c r="BB839" t="s">
        <v>73</v>
      </c>
    </row>
    <row r="840" spans="1:54" x14ac:dyDescent="0.4">
      <c r="A840">
        <v>1349941</v>
      </c>
      <c r="D840" t="s">
        <v>381</v>
      </c>
      <c r="G840">
        <v>2</v>
      </c>
      <c r="H840" t="s">
        <v>74</v>
      </c>
      <c r="I840" t="s">
        <v>57</v>
      </c>
      <c r="K840" t="s">
        <v>652</v>
      </c>
      <c r="L840" t="s">
        <v>1199</v>
      </c>
      <c r="M840" t="s">
        <v>59</v>
      </c>
      <c r="P840" t="s">
        <v>83</v>
      </c>
      <c r="R840" t="s">
        <v>84</v>
      </c>
      <c r="S840" t="s">
        <v>61</v>
      </c>
      <c r="T840">
        <v>251.2</v>
      </c>
      <c r="U840">
        <v>246.7</v>
      </c>
      <c r="V840">
        <f>(T840+U840)/2</f>
        <v>248.95</v>
      </c>
      <c r="W840">
        <f>T840-U840</f>
        <v>4.5</v>
      </c>
      <c r="X840">
        <v>28.700001</v>
      </c>
      <c r="Y840">
        <v>-28.32</v>
      </c>
      <c r="Z840" t="s">
        <v>99</v>
      </c>
      <c r="AA840" t="s">
        <v>86</v>
      </c>
      <c r="AB840" t="s">
        <v>546</v>
      </c>
      <c r="AC840" t="s">
        <v>1955</v>
      </c>
      <c r="AD840" t="s">
        <v>777</v>
      </c>
      <c r="AE840" t="s">
        <v>90</v>
      </c>
      <c r="AG840" t="s">
        <v>1950</v>
      </c>
      <c r="AH840" t="s">
        <v>65</v>
      </c>
      <c r="AI840" t="s">
        <v>1943</v>
      </c>
      <c r="AJ840">
        <v>2014</v>
      </c>
      <c r="AK840" t="s">
        <v>1956</v>
      </c>
      <c r="AM840" t="s">
        <v>1957</v>
      </c>
      <c r="AN840" t="s">
        <v>94</v>
      </c>
      <c r="AO840">
        <v>2</v>
      </c>
      <c r="AP840" t="s">
        <v>182</v>
      </c>
      <c r="AQ840" t="s">
        <v>1958</v>
      </c>
      <c r="AR840" t="s">
        <v>70</v>
      </c>
      <c r="AS840">
        <v>701</v>
      </c>
      <c r="AT840" t="s">
        <v>71</v>
      </c>
      <c r="AU840">
        <v>-4.5999999999999996</v>
      </c>
      <c r="AV840">
        <v>-50.55</v>
      </c>
      <c r="AW840" t="s">
        <v>72</v>
      </c>
      <c r="AX840">
        <v>701</v>
      </c>
      <c r="AY840" t="s">
        <v>71</v>
      </c>
      <c r="AZ840">
        <v>-10.64</v>
      </c>
      <c r="BA840">
        <v>-65.150000000000006</v>
      </c>
      <c r="BB840" t="s">
        <v>73</v>
      </c>
    </row>
    <row r="841" spans="1:54" x14ac:dyDescent="0.4">
      <c r="A841">
        <v>1412684</v>
      </c>
      <c r="D841" t="s">
        <v>54</v>
      </c>
      <c r="I841" t="s">
        <v>57</v>
      </c>
      <c r="K841" t="s">
        <v>1621</v>
      </c>
      <c r="L841" t="s">
        <v>1622</v>
      </c>
      <c r="M841" t="s">
        <v>59</v>
      </c>
      <c r="P841" t="s">
        <v>83</v>
      </c>
      <c r="R841" t="s">
        <v>84</v>
      </c>
      <c r="S841" t="s">
        <v>61</v>
      </c>
      <c r="T841">
        <v>251.2</v>
      </c>
      <c r="U841">
        <v>246.7</v>
      </c>
      <c r="V841">
        <f>(T841+U841)/2</f>
        <v>248.95</v>
      </c>
      <c r="W841">
        <f>T841-U841</f>
        <v>4.5</v>
      </c>
      <c r="X841">
        <v>111.566109</v>
      </c>
      <c r="Y841">
        <v>31.164722000000001</v>
      </c>
      <c r="Z841" t="s">
        <v>268</v>
      </c>
      <c r="AA841" t="s">
        <v>186</v>
      </c>
      <c r="AB841" t="s">
        <v>1358</v>
      </c>
      <c r="AC841" t="s">
        <v>1413</v>
      </c>
      <c r="AD841" t="s">
        <v>1378</v>
      </c>
      <c r="AH841" t="s">
        <v>65</v>
      </c>
      <c r="AI841" t="s">
        <v>1585</v>
      </c>
      <c r="AJ841">
        <v>2016</v>
      </c>
      <c r="AK841" t="s">
        <v>2058</v>
      </c>
      <c r="AN841" t="s">
        <v>94</v>
      </c>
      <c r="AO841" t="s">
        <v>68</v>
      </c>
      <c r="AR841" t="s">
        <v>70</v>
      </c>
      <c r="AS841">
        <v>611</v>
      </c>
      <c r="AT841" t="s">
        <v>71</v>
      </c>
      <c r="AU841">
        <v>111.73</v>
      </c>
      <c r="AV841">
        <v>-6.56</v>
      </c>
      <c r="AW841" t="s">
        <v>72</v>
      </c>
      <c r="AX841">
        <v>611</v>
      </c>
      <c r="AY841" t="s">
        <v>71</v>
      </c>
      <c r="AZ841">
        <v>97.83</v>
      </c>
      <c r="BA841">
        <v>15.65</v>
      </c>
      <c r="BB841" t="s">
        <v>73</v>
      </c>
    </row>
    <row r="842" spans="1:54" x14ac:dyDescent="0.4">
      <c r="A842">
        <v>1416148</v>
      </c>
      <c r="D842" t="s">
        <v>54</v>
      </c>
      <c r="I842" t="s">
        <v>57</v>
      </c>
      <c r="K842" t="s">
        <v>1185</v>
      </c>
      <c r="L842" t="s">
        <v>1186</v>
      </c>
      <c r="M842" t="s">
        <v>59</v>
      </c>
      <c r="N842" t="s">
        <v>97</v>
      </c>
      <c r="O842" t="s">
        <v>76</v>
      </c>
      <c r="P842" t="s">
        <v>83</v>
      </c>
      <c r="R842" t="s">
        <v>84</v>
      </c>
      <c r="S842" t="s">
        <v>61</v>
      </c>
      <c r="T842">
        <v>251.2</v>
      </c>
      <c r="U842">
        <v>246.7</v>
      </c>
      <c r="V842">
        <f>(T842+U842)/2</f>
        <v>248.95</v>
      </c>
      <c r="W842">
        <f>T842-U842</f>
        <v>4.5</v>
      </c>
      <c r="X842">
        <v>51.696109999999997</v>
      </c>
      <c r="Y842">
        <v>52.807499</v>
      </c>
      <c r="Z842" t="s">
        <v>99</v>
      </c>
      <c r="AA842" t="s">
        <v>139</v>
      </c>
      <c r="AB842" t="s">
        <v>2067</v>
      </c>
      <c r="AD842" t="s">
        <v>2068</v>
      </c>
      <c r="AF842" t="s">
        <v>2069</v>
      </c>
      <c r="AH842" t="s">
        <v>11</v>
      </c>
      <c r="AI842" t="s">
        <v>643</v>
      </c>
      <c r="AJ842">
        <v>2012</v>
      </c>
      <c r="AK842" t="s">
        <v>2070</v>
      </c>
      <c r="AN842" t="s">
        <v>94</v>
      </c>
      <c r="AO842" t="s">
        <v>68</v>
      </c>
      <c r="AQ842" t="s">
        <v>2071</v>
      </c>
      <c r="AR842" t="s">
        <v>70</v>
      </c>
      <c r="AS842">
        <v>302</v>
      </c>
      <c r="AT842" t="s">
        <v>71</v>
      </c>
      <c r="AU842">
        <v>57.47</v>
      </c>
      <c r="AV842">
        <v>39.799999999999997</v>
      </c>
      <c r="AW842" t="s">
        <v>72</v>
      </c>
      <c r="AX842">
        <v>301</v>
      </c>
      <c r="AY842" t="s">
        <v>71</v>
      </c>
      <c r="AZ842">
        <v>42.85</v>
      </c>
      <c r="BA842">
        <v>31.8</v>
      </c>
      <c r="BB842" t="s">
        <v>73</v>
      </c>
    </row>
    <row r="843" spans="1:54" x14ac:dyDescent="0.4">
      <c r="A843">
        <v>1416149</v>
      </c>
      <c r="D843" t="s">
        <v>54</v>
      </c>
      <c r="I843" t="s">
        <v>57</v>
      </c>
      <c r="K843" t="s">
        <v>102</v>
      </c>
      <c r="L843" t="s">
        <v>307</v>
      </c>
      <c r="M843" t="s">
        <v>59</v>
      </c>
      <c r="P843" t="s">
        <v>83</v>
      </c>
      <c r="R843" t="s">
        <v>84</v>
      </c>
      <c r="S843" t="s">
        <v>61</v>
      </c>
      <c r="T843">
        <v>251.2</v>
      </c>
      <c r="U843">
        <v>246.7</v>
      </c>
      <c r="V843">
        <f>(T843+U843)/2</f>
        <v>248.95</v>
      </c>
      <c r="W843">
        <f>T843-U843</f>
        <v>4.5</v>
      </c>
      <c r="X843">
        <v>51.696109999999997</v>
      </c>
      <c r="Y843">
        <v>52.807499</v>
      </c>
      <c r="Z843" t="s">
        <v>99</v>
      </c>
      <c r="AA843" t="s">
        <v>139</v>
      </c>
      <c r="AB843" t="s">
        <v>2067</v>
      </c>
      <c r="AD843" t="s">
        <v>2068</v>
      </c>
      <c r="AF843" t="s">
        <v>2069</v>
      </c>
      <c r="AH843" t="s">
        <v>11</v>
      </c>
      <c r="AI843" t="s">
        <v>643</v>
      </c>
      <c r="AJ843">
        <v>2012</v>
      </c>
      <c r="AK843" t="s">
        <v>2070</v>
      </c>
      <c r="AN843" t="s">
        <v>94</v>
      </c>
      <c r="AO843" t="s">
        <v>68</v>
      </c>
      <c r="AQ843" t="s">
        <v>2071</v>
      </c>
      <c r="AR843" t="s">
        <v>70</v>
      </c>
      <c r="AS843">
        <v>302</v>
      </c>
      <c r="AT843" t="s">
        <v>71</v>
      </c>
      <c r="AU843">
        <v>57.47</v>
      </c>
      <c r="AV843">
        <v>39.799999999999997</v>
      </c>
      <c r="AW843" t="s">
        <v>72</v>
      </c>
      <c r="AX843">
        <v>301</v>
      </c>
      <c r="AY843" t="s">
        <v>71</v>
      </c>
      <c r="AZ843">
        <v>42.85</v>
      </c>
      <c r="BA843">
        <v>31.8</v>
      </c>
      <c r="BB843" t="s">
        <v>73</v>
      </c>
    </row>
    <row r="844" spans="1:54" x14ac:dyDescent="0.4">
      <c r="A844">
        <v>1416154</v>
      </c>
      <c r="D844" t="s">
        <v>54</v>
      </c>
      <c r="I844" t="s">
        <v>57</v>
      </c>
      <c r="K844" t="s">
        <v>102</v>
      </c>
      <c r="L844" t="s">
        <v>307</v>
      </c>
      <c r="M844" t="s">
        <v>59</v>
      </c>
      <c r="P844" t="s">
        <v>83</v>
      </c>
      <c r="R844" t="s">
        <v>84</v>
      </c>
      <c r="S844" t="s">
        <v>61</v>
      </c>
      <c r="T844">
        <v>251.2</v>
      </c>
      <c r="U844">
        <v>246.7</v>
      </c>
      <c r="V844">
        <f>(T844+U844)/2</f>
        <v>248.95</v>
      </c>
      <c r="W844">
        <f>T844-U844</f>
        <v>4.5</v>
      </c>
      <c r="X844">
        <v>51.779167000000001</v>
      </c>
      <c r="Y844">
        <v>52.797221999999998</v>
      </c>
      <c r="Z844" t="s">
        <v>239</v>
      </c>
      <c r="AA844" t="s">
        <v>139</v>
      </c>
      <c r="AB844" t="s">
        <v>316</v>
      </c>
      <c r="AD844" t="s">
        <v>2072</v>
      </c>
      <c r="AF844" t="s">
        <v>2073</v>
      </c>
      <c r="AH844" t="s">
        <v>11</v>
      </c>
      <c r="AI844" t="s">
        <v>643</v>
      </c>
      <c r="AJ844">
        <v>2012</v>
      </c>
      <c r="AK844" t="s">
        <v>2074</v>
      </c>
      <c r="AM844" t="s">
        <v>2075</v>
      </c>
      <c r="AN844" t="s">
        <v>94</v>
      </c>
      <c r="AO844" t="s">
        <v>68</v>
      </c>
      <c r="AP844" t="s">
        <v>95</v>
      </c>
      <c r="AQ844" t="s">
        <v>2076</v>
      </c>
      <c r="AR844" t="s">
        <v>70</v>
      </c>
      <c r="AS844">
        <v>302</v>
      </c>
      <c r="AT844" t="s">
        <v>71</v>
      </c>
      <c r="AU844">
        <v>57.54</v>
      </c>
      <c r="AV844">
        <v>39.82</v>
      </c>
      <c r="AW844" t="s">
        <v>72</v>
      </c>
      <c r="AX844">
        <v>301</v>
      </c>
      <c r="AY844" t="s">
        <v>71</v>
      </c>
      <c r="AZ844">
        <v>42.9</v>
      </c>
      <c r="BA844">
        <v>31.82</v>
      </c>
      <c r="BB844" t="s">
        <v>73</v>
      </c>
    </row>
    <row r="845" spans="1:54" x14ac:dyDescent="0.4">
      <c r="A845">
        <v>1416307</v>
      </c>
      <c r="D845" t="s">
        <v>54</v>
      </c>
      <c r="I845" t="s">
        <v>57</v>
      </c>
      <c r="K845" t="s">
        <v>102</v>
      </c>
      <c r="L845" t="s">
        <v>307</v>
      </c>
      <c r="M845" t="s">
        <v>59</v>
      </c>
      <c r="P845" t="s">
        <v>83</v>
      </c>
      <c r="R845" t="s">
        <v>84</v>
      </c>
      <c r="S845" t="s">
        <v>61</v>
      </c>
      <c r="T845">
        <v>251.2</v>
      </c>
      <c r="U845">
        <v>246.7</v>
      </c>
      <c r="V845">
        <f>(T845+U845)/2</f>
        <v>248.95</v>
      </c>
      <c r="W845">
        <f>T845-U845</f>
        <v>4.5</v>
      </c>
      <c r="X845">
        <v>53.640555999999997</v>
      </c>
      <c r="Y845">
        <v>51.888888999999999</v>
      </c>
      <c r="Z845" t="s">
        <v>239</v>
      </c>
      <c r="AA845" t="s">
        <v>139</v>
      </c>
      <c r="AB845" t="s">
        <v>316</v>
      </c>
      <c r="AD845" t="s">
        <v>1188</v>
      </c>
      <c r="AH845" t="s">
        <v>11</v>
      </c>
      <c r="AI845" t="s">
        <v>716</v>
      </c>
      <c r="AJ845">
        <v>2003</v>
      </c>
      <c r="AK845" t="s">
        <v>2095</v>
      </c>
      <c r="AN845" t="s">
        <v>121</v>
      </c>
      <c r="AO845" t="s">
        <v>68</v>
      </c>
      <c r="AP845" t="s">
        <v>69</v>
      </c>
      <c r="AQ845" t="s">
        <v>2096</v>
      </c>
      <c r="AR845" t="s">
        <v>70</v>
      </c>
      <c r="AS845">
        <v>302</v>
      </c>
      <c r="AT845" t="s">
        <v>71</v>
      </c>
      <c r="AU845">
        <v>59.41</v>
      </c>
      <c r="AV845">
        <v>39.590000000000003</v>
      </c>
      <c r="AW845" t="s">
        <v>72</v>
      </c>
      <c r="AX845">
        <v>301</v>
      </c>
      <c r="AY845" t="s">
        <v>71</v>
      </c>
      <c r="AZ845">
        <v>44.6</v>
      </c>
      <c r="BA845">
        <v>31.99</v>
      </c>
      <c r="BB845" t="s">
        <v>73</v>
      </c>
    </row>
    <row r="846" spans="1:54" x14ac:dyDescent="0.4">
      <c r="A846">
        <v>1416308</v>
      </c>
      <c r="D846" t="s">
        <v>54</v>
      </c>
      <c r="I846" t="s">
        <v>57</v>
      </c>
      <c r="K846" t="s">
        <v>80</v>
      </c>
      <c r="L846" t="s">
        <v>1169</v>
      </c>
      <c r="M846" t="s">
        <v>59</v>
      </c>
      <c r="P846" t="s">
        <v>83</v>
      </c>
      <c r="R846" t="s">
        <v>84</v>
      </c>
      <c r="S846" t="s">
        <v>61</v>
      </c>
      <c r="T846">
        <v>251.2</v>
      </c>
      <c r="U846">
        <v>246.7</v>
      </c>
      <c r="V846">
        <f>(T846+U846)/2</f>
        <v>248.95</v>
      </c>
      <c r="W846">
        <f>T846-U846</f>
        <v>4.5</v>
      </c>
      <c r="X846">
        <v>53.343055999999997</v>
      </c>
      <c r="Y846">
        <v>52.22139</v>
      </c>
      <c r="Z846" t="s">
        <v>239</v>
      </c>
      <c r="AA846" t="s">
        <v>139</v>
      </c>
      <c r="AB846" t="s">
        <v>316</v>
      </c>
      <c r="AD846" t="s">
        <v>1188</v>
      </c>
      <c r="AH846" t="s">
        <v>11</v>
      </c>
      <c r="AI846" t="s">
        <v>716</v>
      </c>
      <c r="AJ846">
        <v>2003</v>
      </c>
      <c r="AK846" t="s">
        <v>2097</v>
      </c>
      <c r="AN846" t="s">
        <v>121</v>
      </c>
      <c r="AO846" t="s">
        <v>68</v>
      </c>
      <c r="AP846" t="s">
        <v>69</v>
      </c>
      <c r="AQ846" t="s">
        <v>2098</v>
      </c>
      <c r="AR846" t="s">
        <v>70</v>
      </c>
      <c r="AS846">
        <v>302</v>
      </c>
      <c r="AT846" t="s">
        <v>71</v>
      </c>
      <c r="AU846">
        <v>58.99</v>
      </c>
      <c r="AV846">
        <v>39.79</v>
      </c>
      <c r="AW846" t="s">
        <v>72</v>
      </c>
      <c r="AX846">
        <v>301</v>
      </c>
      <c r="AY846" t="s">
        <v>71</v>
      </c>
      <c r="AZ846">
        <v>44.17</v>
      </c>
      <c r="BA846">
        <v>32.090000000000003</v>
      </c>
      <c r="BB846" t="s">
        <v>73</v>
      </c>
    </row>
    <row r="847" spans="1:54" x14ac:dyDescent="0.4">
      <c r="A847">
        <v>1416309</v>
      </c>
      <c r="D847" t="s">
        <v>54</v>
      </c>
      <c r="I847" t="s">
        <v>57</v>
      </c>
      <c r="K847" t="s">
        <v>102</v>
      </c>
      <c r="L847" t="s">
        <v>307</v>
      </c>
      <c r="M847" t="s">
        <v>59</v>
      </c>
      <c r="P847" t="s">
        <v>83</v>
      </c>
      <c r="R847" t="s">
        <v>84</v>
      </c>
      <c r="S847" t="s">
        <v>61</v>
      </c>
      <c r="T847">
        <v>251.2</v>
      </c>
      <c r="U847">
        <v>246.7</v>
      </c>
      <c r="V847">
        <f>(T847+U847)/2</f>
        <v>248.95</v>
      </c>
      <c r="W847">
        <f>T847-U847</f>
        <v>4.5</v>
      </c>
      <c r="X847">
        <v>53.328887999999999</v>
      </c>
      <c r="Y847">
        <v>52.223610000000001</v>
      </c>
      <c r="Z847" t="s">
        <v>239</v>
      </c>
      <c r="AA847" t="s">
        <v>139</v>
      </c>
      <c r="AB847" t="s">
        <v>316</v>
      </c>
      <c r="AD847" t="s">
        <v>1188</v>
      </c>
      <c r="AH847" t="s">
        <v>11</v>
      </c>
      <c r="AI847" t="s">
        <v>716</v>
      </c>
      <c r="AJ847">
        <v>2003</v>
      </c>
      <c r="AK847" t="s">
        <v>2099</v>
      </c>
      <c r="AN847" t="s">
        <v>121</v>
      </c>
      <c r="AO847" t="s">
        <v>68</v>
      </c>
      <c r="AP847" t="s">
        <v>69</v>
      </c>
      <c r="AQ847" t="s">
        <v>2100</v>
      </c>
      <c r="AR847" t="s">
        <v>70</v>
      </c>
      <c r="AS847">
        <v>302</v>
      </c>
      <c r="AT847" t="s">
        <v>71</v>
      </c>
      <c r="AU847">
        <v>58.97</v>
      </c>
      <c r="AV847">
        <v>39.79</v>
      </c>
      <c r="AW847" t="s">
        <v>72</v>
      </c>
      <c r="AX847">
        <v>301</v>
      </c>
      <c r="AY847" t="s">
        <v>71</v>
      </c>
      <c r="AZ847">
        <v>44.17</v>
      </c>
      <c r="BA847">
        <v>32.090000000000003</v>
      </c>
      <c r="BB847" t="s">
        <v>73</v>
      </c>
    </row>
    <row r="848" spans="1:54" x14ac:dyDescent="0.4">
      <c r="A848">
        <v>1417067</v>
      </c>
      <c r="D848" t="s">
        <v>54</v>
      </c>
      <c r="I848" t="s">
        <v>57</v>
      </c>
      <c r="K848" t="s">
        <v>102</v>
      </c>
      <c r="L848" t="s">
        <v>307</v>
      </c>
      <c r="M848" t="s">
        <v>59</v>
      </c>
      <c r="P848" t="s">
        <v>83</v>
      </c>
      <c r="R848" t="s">
        <v>84</v>
      </c>
      <c r="S848" t="s">
        <v>61</v>
      </c>
      <c r="T848">
        <v>251.2</v>
      </c>
      <c r="U848">
        <v>246.7</v>
      </c>
      <c r="V848">
        <f>(T848+U848)/2</f>
        <v>248.95</v>
      </c>
      <c r="W848">
        <f>T848-U848</f>
        <v>4.5</v>
      </c>
      <c r="X848">
        <v>51.927222999999998</v>
      </c>
      <c r="Y848">
        <v>52.497779999999999</v>
      </c>
      <c r="Z848" t="s">
        <v>239</v>
      </c>
      <c r="AA848" t="s">
        <v>139</v>
      </c>
      <c r="AB848" t="s">
        <v>316</v>
      </c>
      <c r="AD848" t="s">
        <v>1188</v>
      </c>
      <c r="AH848" t="s">
        <v>11</v>
      </c>
      <c r="AI848" t="s">
        <v>716</v>
      </c>
      <c r="AJ848">
        <v>2003</v>
      </c>
      <c r="AK848" t="s">
        <v>2117</v>
      </c>
      <c r="AN848" t="s">
        <v>94</v>
      </c>
      <c r="AO848" t="s">
        <v>68</v>
      </c>
      <c r="AP848" t="s">
        <v>95</v>
      </c>
      <c r="AQ848" t="s">
        <v>2118</v>
      </c>
      <c r="AR848" t="s">
        <v>70</v>
      </c>
      <c r="AS848">
        <v>302</v>
      </c>
      <c r="AT848" t="s">
        <v>71</v>
      </c>
      <c r="AU848">
        <v>57.83</v>
      </c>
      <c r="AV848">
        <v>39.6</v>
      </c>
      <c r="AW848" t="s">
        <v>72</v>
      </c>
      <c r="AX848">
        <v>301</v>
      </c>
      <c r="AY848" t="s">
        <v>71</v>
      </c>
      <c r="AZ848">
        <v>43.22</v>
      </c>
      <c r="BA848">
        <v>31.67</v>
      </c>
      <c r="BB848" t="s">
        <v>73</v>
      </c>
    </row>
    <row r="849" spans="1:54" x14ac:dyDescent="0.4">
      <c r="A849">
        <v>1417069</v>
      </c>
      <c r="D849" t="s">
        <v>54</v>
      </c>
      <c r="I849" t="s">
        <v>57</v>
      </c>
      <c r="K849" t="s">
        <v>102</v>
      </c>
      <c r="L849" t="s">
        <v>307</v>
      </c>
      <c r="M849" t="s">
        <v>59</v>
      </c>
      <c r="P849" t="s">
        <v>83</v>
      </c>
      <c r="R849" t="s">
        <v>84</v>
      </c>
      <c r="S849" t="s">
        <v>61</v>
      </c>
      <c r="T849">
        <v>251.2</v>
      </c>
      <c r="U849">
        <v>246.7</v>
      </c>
      <c r="V849">
        <f>(T849+U849)/2</f>
        <v>248.95</v>
      </c>
      <c r="W849">
        <f>T849-U849</f>
        <v>4.5</v>
      </c>
      <c r="X849">
        <v>52.008609999999997</v>
      </c>
      <c r="Y849">
        <v>52.624167999999997</v>
      </c>
      <c r="Z849" t="s">
        <v>239</v>
      </c>
      <c r="AA849" t="s">
        <v>139</v>
      </c>
      <c r="AB849" t="s">
        <v>316</v>
      </c>
      <c r="AD849" t="s">
        <v>1188</v>
      </c>
      <c r="AH849" t="s">
        <v>11</v>
      </c>
      <c r="AI849" t="s">
        <v>716</v>
      </c>
      <c r="AJ849">
        <v>2003</v>
      </c>
      <c r="AK849" t="s">
        <v>2119</v>
      </c>
      <c r="AN849" t="s">
        <v>94</v>
      </c>
      <c r="AO849" t="s">
        <v>68</v>
      </c>
      <c r="AP849" t="s">
        <v>95</v>
      </c>
      <c r="AQ849" t="s">
        <v>2120</v>
      </c>
      <c r="AR849" t="s">
        <v>70</v>
      </c>
      <c r="AS849">
        <v>302</v>
      </c>
      <c r="AT849" t="s">
        <v>71</v>
      </c>
      <c r="AU849">
        <v>57.81</v>
      </c>
      <c r="AV849">
        <v>39.74</v>
      </c>
      <c r="AW849" t="s">
        <v>72</v>
      </c>
      <c r="AX849">
        <v>301</v>
      </c>
      <c r="AY849" t="s">
        <v>71</v>
      </c>
      <c r="AZ849">
        <v>43.16</v>
      </c>
      <c r="BA849">
        <v>31.8</v>
      </c>
      <c r="BB849" t="s">
        <v>73</v>
      </c>
    </row>
    <row r="850" spans="1:54" x14ac:dyDescent="0.4">
      <c r="A850">
        <v>1626504</v>
      </c>
      <c r="D850" t="s">
        <v>54</v>
      </c>
      <c r="I850" t="s">
        <v>57</v>
      </c>
      <c r="K850" t="s">
        <v>125</v>
      </c>
      <c r="L850" t="s">
        <v>2255</v>
      </c>
      <c r="M850" t="s">
        <v>59</v>
      </c>
      <c r="O850" t="s">
        <v>76</v>
      </c>
      <c r="P850" t="s">
        <v>83</v>
      </c>
      <c r="R850" t="s">
        <v>84</v>
      </c>
      <c r="S850" t="s">
        <v>61</v>
      </c>
      <c r="T850">
        <v>251.2</v>
      </c>
      <c r="U850">
        <v>246.7</v>
      </c>
      <c r="V850">
        <f>(T850+U850)/2</f>
        <v>248.95</v>
      </c>
      <c r="W850">
        <f>T850-U850</f>
        <v>4.5</v>
      </c>
      <c r="X850">
        <v>43.673057999999997</v>
      </c>
      <c r="Y850">
        <v>49.260834000000003</v>
      </c>
      <c r="Z850" t="s">
        <v>99</v>
      </c>
      <c r="AA850" t="s">
        <v>139</v>
      </c>
      <c r="AB850" t="s">
        <v>1200</v>
      </c>
      <c r="AC850" t="s">
        <v>1201</v>
      </c>
      <c r="AD850" t="s">
        <v>1202</v>
      </c>
      <c r="AH850" t="s">
        <v>65</v>
      </c>
      <c r="AI850" t="s">
        <v>300</v>
      </c>
      <c r="AJ850">
        <v>2022</v>
      </c>
      <c r="AK850" t="s">
        <v>1203</v>
      </c>
      <c r="AM850" t="s">
        <v>1204</v>
      </c>
      <c r="AN850" t="s">
        <v>94</v>
      </c>
      <c r="AO850" t="s">
        <v>68</v>
      </c>
      <c r="AP850" t="s">
        <v>69</v>
      </c>
      <c r="AQ850" t="s">
        <v>1205</v>
      </c>
      <c r="AR850" t="s">
        <v>70</v>
      </c>
      <c r="AS850">
        <v>302</v>
      </c>
      <c r="AT850" t="s">
        <v>71</v>
      </c>
      <c r="AU850">
        <v>53.92</v>
      </c>
      <c r="AV850">
        <v>34.33</v>
      </c>
      <c r="AW850" t="s">
        <v>72</v>
      </c>
      <c r="AX850">
        <v>301</v>
      </c>
      <c r="AY850" t="s">
        <v>71</v>
      </c>
      <c r="AZ850">
        <v>41.27</v>
      </c>
      <c r="BA850">
        <v>25.79</v>
      </c>
      <c r="BB850" t="s">
        <v>73</v>
      </c>
    </row>
    <row r="851" spans="1:54" x14ac:dyDescent="0.4">
      <c r="A851">
        <v>789759</v>
      </c>
      <c r="D851" t="s">
        <v>54</v>
      </c>
      <c r="G851">
        <v>1</v>
      </c>
      <c r="H851" t="s">
        <v>56</v>
      </c>
      <c r="I851" t="s">
        <v>57</v>
      </c>
      <c r="K851" t="s">
        <v>475</v>
      </c>
      <c r="L851" t="s">
        <v>635</v>
      </c>
      <c r="M851" t="s">
        <v>59</v>
      </c>
      <c r="P851" t="s">
        <v>83</v>
      </c>
      <c r="R851" t="s">
        <v>84</v>
      </c>
      <c r="S851" t="s">
        <v>61</v>
      </c>
      <c r="T851">
        <v>251.2</v>
      </c>
      <c r="U851">
        <v>246.7</v>
      </c>
      <c r="V851">
        <f>(T851+U851)/2</f>
        <v>248.95</v>
      </c>
      <c r="W851">
        <f>T851-U851</f>
        <v>4.5</v>
      </c>
      <c r="X851">
        <v>-121.673058</v>
      </c>
      <c r="Y851">
        <v>54.531387000000002</v>
      </c>
      <c r="Z851" t="s">
        <v>636</v>
      </c>
      <c r="AA851" t="s">
        <v>470</v>
      </c>
      <c r="AB851" t="s">
        <v>637</v>
      </c>
      <c r="AD851" t="s">
        <v>638</v>
      </c>
      <c r="AF851" t="s">
        <v>639</v>
      </c>
      <c r="AH851" t="s">
        <v>65</v>
      </c>
      <c r="AI851" t="s">
        <v>640</v>
      </c>
      <c r="AJ851">
        <v>1988</v>
      </c>
      <c r="AK851" t="s">
        <v>641</v>
      </c>
      <c r="AN851" t="s">
        <v>67</v>
      </c>
      <c r="AO851" t="s">
        <v>68</v>
      </c>
      <c r="AP851" t="s">
        <v>314</v>
      </c>
      <c r="AQ851" t="s">
        <v>642</v>
      </c>
      <c r="AR851" t="s">
        <v>70</v>
      </c>
      <c r="AS851">
        <v>101</v>
      </c>
      <c r="AT851" t="s">
        <v>71</v>
      </c>
      <c r="AU851">
        <v>-32.71</v>
      </c>
      <c r="AV851">
        <v>39.53</v>
      </c>
      <c r="AW851" t="s">
        <v>72</v>
      </c>
      <c r="AX851">
        <v>124</v>
      </c>
      <c r="AY851" t="s">
        <v>71</v>
      </c>
      <c r="AZ851">
        <v>-37.47</v>
      </c>
      <c r="BA851">
        <v>27.66</v>
      </c>
      <c r="BB851" t="s">
        <v>73</v>
      </c>
    </row>
    <row r="852" spans="1:54" x14ac:dyDescent="0.4">
      <c r="A852">
        <v>880949</v>
      </c>
      <c r="D852" t="s">
        <v>54</v>
      </c>
      <c r="G852">
        <v>1</v>
      </c>
      <c r="H852" t="s">
        <v>56</v>
      </c>
      <c r="I852" t="s">
        <v>57</v>
      </c>
      <c r="K852" t="s">
        <v>75</v>
      </c>
      <c r="L852" t="s">
        <v>356</v>
      </c>
      <c r="M852" t="s">
        <v>59</v>
      </c>
      <c r="O852" t="s">
        <v>76</v>
      </c>
      <c r="P852" t="s">
        <v>83</v>
      </c>
      <c r="R852" t="s">
        <v>84</v>
      </c>
      <c r="S852" t="s">
        <v>61</v>
      </c>
      <c r="T852">
        <v>251.2</v>
      </c>
      <c r="U852">
        <v>246.7</v>
      </c>
      <c r="V852">
        <f>(T852+U852)/2</f>
        <v>248.95</v>
      </c>
      <c r="W852">
        <f>T852-U852</f>
        <v>4.5</v>
      </c>
      <c r="X852">
        <v>11.706111</v>
      </c>
      <c r="Y852">
        <v>51.788891</v>
      </c>
      <c r="Z852" t="s">
        <v>99</v>
      </c>
      <c r="AA852" t="s">
        <v>128</v>
      </c>
      <c r="AB852" t="s">
        <v>146</v>
      </c>
      <c r="AC852" t="s">
        <v>1373</v>
      </c>
      <c r="AE852" t="s">
        <v>797</v>
      </c>
      <c r="AH852" t="s">
        <v>11</v>
      </c>
      <c r="AI852" t="s">
        <v>366</v>
      </c>
      <c r="AJ852">
        <v>1991</v>
      </c>
      <c r="AK852" t="s">
        <v>1374</v>
      </c>
      <c r="AM852" t="s">
        <v>1375</v>
      </c>
      <c r="AN852" t="s">
        <v>94</v>
      </c>
      <c r="AO852" t="s">
        <v>68</v>
      </c>
      <c r="AP852" t="s">
        <v>95</v>
      </c>
      <c r="AQ852" t="s">
        <v>1376</v>
      </c>
      <c r="AR852" t="s">
        <v>70</v>
      </c>
      <c r="AS852">
        <v>315</v>
      </c>
      <c r="AT852" t="s">
        <v>71</v>
      </c>
      <c r="AU852">
        <v>30.46</v>
      </c>
      <c r="AV852">
        <v>29.89</v>
      </c>
      <c r="AW852" t="s">
        <v>72</v>
      </c>
      <c r="AX852">
        <v>315</v>
      </c>
      <c r="AY852" t="s">
        <v>71</v>
      </c>
      <c r="AZ852">
        <v>21.24</v>
      </c>
      <c r="BA852">
        <v>17.579999999999998</v>
      </c>
      <c r="BB852" t="s">
        <v>73</v>
      </c>
    </row>
    <row r="853" spans="1:54" x14ac:dyDescent="0.4">
      <c r="A853">
        <v>1416385</v>
      </c>
      <c r="D853" t="s">
        <v>54</v>
      </c>
      <c r="I853" t="s">
        <v>57</v>
      </c>
      <c r="K853" t="s">
        <v>102</v>
      </c>
      <c r="L853" t="s">
        <v>307</v>
      </c>
      <c r="M853" t="s">
        <v>59</v>
      </c>
      <c r="P853" t="s">
        <v>83</v>
      </c>
      <c r="R853" t="s">
        <v>84</v>
      </c>
      <c r="S853" t="s">
        <v>61</v>
      </c>
      <c r="T853">
        <v>251.2</v>
      </c>
      <c r="U853">
        <v>246.7</v>
      </c>
      <c r="V853">
        <f>(T853+U853)/2</f>
        <v>248.95</v>
      </c>
      <c r="W853">
        <f>T853-U853</f>
        <v>4.5</v>
      </c>
      <c r="X853">
        <v>53.076388999999999</v>
      </c>
      <c r="Y853">
        <v>52.206111999999997</v>
      </c>
      <c r="Z853" t="s">
        <v>239</v>
      </c>
      <c r="AA853" t="s">
        <v>139</v>
      </c>
      <c r="AB853" t="s">
        <v>316</v>
      </c>
      <c r="AD853" t="s">
        <v>1755</v>
      </c>
      <c r="AH853" t="s">
        <v>11</v>
      </c>
      <c r="AI853" t="s">
        <v>716</v>
      </c>
      <c r="AJ853">
        <v>2003</v>
      </c>
      <c r="AK853" t="s">
        <v>2101</v>
      </c>
      <c r="AN853" t="s">
        <v>121</v>
      </c>
      <c r="AO853" t="s">
        <v>68</v>
      </c>
      <c r="AP853" t="s">
        <v>69</v>
      </c>
      <c r="AQ853" t="s">
        <v>2102</v>
      </c>
      <c r="AR853" t="s">
        <v>70</v>
      </c>
      <c r="AS853">
        <v>302</v>
      </c>
      <c r="AT853" t="s">
        <v>71</v>
      </c>
      <c r="AU853">
        <v>58.81</v>
      </c>
      <c r="AV853">
        <v>39.700000000000003</v>
      </c>
      <c r="AW853" t="s">
        <v>72</v>
      </c>
      <c r="AX853">
        <v>301</v>
      </c>
      <c r="AY853" t="s">
        <v>71</v>
      </c>
      <c r="AZ853">
        <v>44.05</v>
      </c>
      <c r="BA853">
        <v>31.96</v>
      </c>
      <c r="BB853" t="s">
        <v>73</v>
      </c>
    </row>
    <row r="854" spans="1:54" x14ac:dyDescent="0.4">
      <c r="A854">
        <v>1416386</v>
      </c>
      <c r="D854" t="s">
        <v>54</v>
      </c>
      <c r="I854" t="s">
        <v>57</v>
      </c>
      <c r="K854" t="s">
        <v>102</v>
      </c>
      <c r="L854" t="s">
        <v>307</v>
      </c>
      <c r="M854" t="s">
        <v>59</v>
      </c>
      <c r="P854" t="s">
        <v>83</v>
      </c>
      <c r="R854" t="s">
        <v>84</v>
      </c>
      <c r="S854" t="s">
        <v>61</v>
      </c>
      <c r="T854">
        <v>251.2</v>
      </c>
      <c r="U854">
        <v>246.7</v>
      </c>
      <c r="V854">
        <f>(T854+U854)/2</f>
        <v>248.95</v>
      </c>
      <c r="W854">
        <f>T854-U854</f>
        <v>4.5</v>
      </c>
      <c r="X854">
        <v>53.053890000000003</v>
      </c>
      <c r="Y854">
        <v>52.211109</v>
      </c>
      <c r="Z854" t="s">
        <v>239</v>
      </c>
      <c r="AA854" t="s">
        <v>139</v>
      </c>
      <c r="AB854" t="s">
        <v>316</v>
      </c>
      <c r="AD854" t="s">
        <v>1755</v>
      </c>
      <c r="AH854" t="s">
        <v>11</v>
      </c>
      <c r="AI854" t="s">
        <v>716</v>
      </c>
      <c r="AJ854">
        <v>2003</v>
      </c>
      <c r="AK854" t="s">
        <v>2103</v>
      </c>
      <c r="AN854" t="s">
        <v>121</v>
      </c>
      <c r="AO854" t="s">
        <v>68</v>
      </c>
      <c r="AP854" t="s">
        <v>69</v>
      </c>
      <c r="AQ854" t="s">
        <v>2104</v>
      </c>
      <c r="AR854" t="s">
        <v>70</v>
      </c>
      <c r="AS854">
        <v>302</v>
      </c>
      <c r="AT854" t="s">
        <v>71</v>
      </c>
      <c r="AU854">
        <v>58.79</v>
      </c>
      <c r="AV854">
        <v>39.69</v>
      </c>
      <c r="AW854" t="s">
        <v>72</v>
      </c>
      <c r="AX854">
        <v>301</v>
      </c>
      <c r="AY854" t="s">
        <v>71</v>
      </c>
      <c r="AZ854">
        <v>44.04</v>
      </c>
      <c r="BA854">
        <v>31.96</v>
      </c>
      <c r="BB854" t="s">
        <v>73</v>
      </c>
    </row>
    <row r="855" spans="1:54" x14ac:dyDescent="0.4">
      <c r="A855">
        <v>1416420</v>
      </c>
      <c r="D855" t="s">
        <v>54</v>
      </c>
      <c r="I855" t="s">
        <v>57</v>
      </c>
      <c r="K855" t="s">
        <v>102</v>
      </c>
      <c r="L855" t="s">
        <v>307</v>
      </c>
      <c r="M855" t="s">
        <v>59</v>
      </c>
      <c r="P855" t="s">
        <v>83</v>
      </c>
      <c r="R855" t="s">
        <v>84</v>
      </c>
      <c r="S855" t="s">
        <v>61</v>
      </c>
      <c r="T855">
        <v>251.2</v>
      </c>
      <c r="U855">
        <v>246.7</v>
      </c>
      <c r="V855">
        <f>(T855+U855)/2</f>
        <v>248.95</v>
      </c>
      <c r="W855">
        <f>T855-U855</f>
        <v>4.5</v>
      </c>
      <c r="X855">
        <v>53.081668999999998</v>
      </c>
      <c r="Y855">
        <v>52.299168000000002</v>
      </c>
      <c r="Z855" t="s">
        <v>239</v>
      </c>
      <c r="AA855" t="s">
        <v>139</v>
      </c>
      <c r="AB855" t="s">
        <v>316</v>
      </c>
      <c r="AD855" t="s">
        <v>1755</v>
      </c>
      <c r="AH855" t="s">
        <v>11</v>
      </c>
      <c r="AI855" t="s">
        <v>716</v>
      </c>
      <c r="AJ855">
        <v>2003</v>
      </c>
      <c r="AK855" t="s">
        <v>2105</v>
      </c>
      <c r="AN855" t="s">
        <v>121</v>
      </c>
      <c r="AO855" t="s">
        <v>68</v>
      </c>
      <c r="AP855" t="s">
        <v>69</v>
      </c>
      <c r="AQ855" t="s">
        <v>2106</v>
      </c>
      <c r="AR855" t="s">
        <v>70</v>
      </c>
      <c r="AS855">
        <v>302</v>
      </c>
      <c r="AT855" t="s">
        <v>71</v>
      </c>
      <c r="AU855">
        <v>58.75</v>
      </c>
      <c r="AV855">
        <v>39.78</v>
      </c>
      <c r="AW855" t="s">
        <v>72</v>
      </c>
      <c r="AX855">
        <v>301</v>
      </c>
      <c r="AY855" t="s">
        <v>71</v>
      </c>
      <c r="AZ855">
        <v>43.98</v>
      </c>
      <c r="BA855">
        <v>32.03</v>
      </c>
      <c r="BB855" t="s">
        <v>73</v>
      </c>
    </row>
    <row r="856" spans="1:54" x14ac:dyDescent="0.4">
      <c r="A856">
        <v>1416563</v>
      </c>
      <c r="D856" t="s">
        <v>54</v>
      </c>
      <c r="I856" t="s">
        <v>57</v>
      </c>
      <c r="K856" t="s">
        <v>102</v>
      </c>
      <c r="L856" t="s">
        <v>307</v>
      </c>
      <c r="M856" t="s">
        <v>59</v>
      </c>
      <c r="P856" t="s">
        <v>83</v>
      </c>
      <c r="R856" t="s">
        <v>84</v>
      </c>
      <c r="S856" t="s">
        <v>61</v>
      </c>
      <c r="T856">
        <v>251.2</v>
      </c>
      <c r="U856">
        <v>246.7</v>
      </c>
      <c r="V856">
        <f>(T856+U856)/2</f>
        <v>248.95</v>
      </c>
      <c r="W856">
        <f>T856-U856</f>
        <v>4.5</v>
      </c>
      <c r="X856">
        <v>52.690834000000002</v>
      </c>
      <c r="Y856">
        <v>52.369999</v>
      </c>
      <c r="Z856" t="s">
        <v>239</v>
      </c>
      <c r="AA856" t="s">
        <v>139</v>
      </c>
      <c r="AB856" t="s">
        <v>316</v>
      </c>
      <c r="AC856" t="s">
        <v>1187</v>
      </c>
      <c r="AD856" t="s">
        <v>1755</v>
      </c>
      <c r="AH856" t="s">
        <v>11</v>
      </c>
      <c r="AI856" t="s">
        <v>716</v>
      </c>
      <c r="AJ856">
        <v>2003</v>
      </c>
      <c r="AK856" t="s">
        <v>2111</v>
      </c>
      <c r="AM856" t="s">
        <v>2112</v>
      </c>
      <c r="AN856" t="s">
        <v>121</v>
      </c>
      <c r="AO856" t="s">
        <v>68</v>
      </c>
      <c r="AP856" t="s">
        <v>95</v>
      </c>
      <c r="AQ856" t="s">
        <v>2110</v>
      </c>
      <c r="AR856" t="s">
        <v>70</v>
      </c>
      <c r="AS856">
        <v>302</v>
      </c>
      <c r="AT856" t="s">
        <v>71</v>
      </c>
      <c r="AU856">
        <v>58.44</v>
      </c>
      <c r="AV856">
        <v>39.72</v>
      </c>
      <c r="AW856" t="s">
        <v>72</v>
      </c>
      <c r="AX856">
        <v>301</v>
      </c>
      <c r="AY856" t="s">
        <v>71</v>
      </c>
      <c r="AZ856">
        <v>43.72</v>
      </c>
      <c r="BA856">
        <v>31.91</v>
      </c>
      <c r="BB856" t="s">
        <v>73</v>
      </c>
    </row>
    <row r="857" spans="1:54" x14ac:dyDescent="0.4">
      <c r="A857">
        <v>1417046</v>
      </c>
      <c r="D857" t="s">
        <v>54</v>
      </c>
      <c r="I857" t="s">
        <v>57</v>
      </c>
      <c r="K857" t="s">
        <v>102</v>
      </c>
      <c r="L857" t="s">
        <v>307</v>
      </c>
      <c r="M857" t="s">
        <v>59</v>
      </c>
      <c r="P857" t="s">
        <v>83</v>
      </c>
      <c r="R857" t="s">
        <v>84</v>
      </c>
      <c r="S857" t="s">
        <v>61</v>
      </c>
      <c r="T857">
        <v>251.2</v>
      </c>
      <c r="U857">
        <v>246.7</v>
      </c>
      <c r="V857">
        <f>(T857+U857)/2</f>
        <v>248.95</v>
      </c>
      <c r="W857">
        <f>T857-U857</f>
        <v>4.5</v>
      </c>
      <c r="X857">
        <v>52.358612000000001</v>
      </c>
      <c r="Y857">
        <v>52.542220999999998</v>
      </c>
      <c r="Z857" t="s">
        <v>213</v>
      </c>
      <c r="AA857" t="s">
        <v>139</v>
      </c>
      <c r="AB857" t="s">
        <v>316</v>
      </c>
      <c r="AD857" t="s">
        <v>1755</v>
      </c>
      <c r="AH857" t="s">
        <v>11</v>
      </c>
      <c r="AI857" t="s">
        <v>716</v>
      </c>
      <c r="AJ857">
        <v>2003</v>
      </c>
      <c r="AK857" t="s">
        <v>2113</v>
      </c>
      <c r="AN857" t="s">
        <v>121</v>
      </c>
      <c r="AO857" t="s">
        <v>68</v>
      </c>
      <c r="AP857" t="s">
        <v>69</v>
      </c>
      <c r="AQ857" t="s">
        <v>2114</v>
      </c>
      <c r="AR857" t="s">
        <v>70</v>
      </c>
      <c r="AS857">
        <v>302</v>
      </c>
      <c r="AT857" t="s">
        <v>71</v>
      </c>
      <c r="AU857">
        <v>58.1</v>
      </c>
      <c r="AV857">
        <v>39.770000000000003</v>
      </c>
      <c r="AW857" t="s">
        <v>72</v>
      </c>
      <c r="AX857">
        <v>301</v>
      </c>
      <c r="AY857" t="s">
        <v>71</v>
      </c>
      <c r="AZ857">
        <v>43.41</v>
      </c>
      <c r="BA857">
        <v>31.89</v>
      </c>
      <c r="BB857" t="s">
        <v>73</v>
      </c>
    </row>
    <row r="858" spans="1:54" x14ac:dyDescent="0.4">
      <c r="A858">
        <v>1417051</v>
      </c>
      <c r="D858" t="s">
        <v>54</v>
      </c>
      <c r="I858" t="s">
        <v>57</v>
      </c>
      <c r="K858" t="s">
        <v>102</v>
      </c>
      <c r="L858" t="s">
        <v>307</v>
      </c>
      <c r="M858" t="s">
        <v>59</v>
      </c>
      <c r="P858" t="s">
        <v>83</v>
      </c>
      <c r="R858" t="s">
        <v>84</v>
      </c>
      <c r="S858" t="s">
        <v>61</v>
      </c>
      <c r="T858">
        <v>251.2</v>
      </c>
      <c r="U858">
        <v>246.7</v>
      </c>
      <c r="V858">
        <f>(T858+U858)/2</f>
        <v>248.95</v>
      </c>
      <c r="W858">
        <f>T858-U858</f>
        <v>4.5</v>
      </c>
      <c r="X858">
        <v>52.347777999999998</v>
      </c>
      <c r="Y858">
        <v>52.830832999999998</v>
      </c>
      <c r="Z858" t="s">
        <v>239</v>
      </c>
      <c r="AA858" t="s">
        <v>139</v>
      </c>
      <c r="AB858" t="s">
        <v>316</v>
      </c>
      <c r="AD858" t="s">
        <v>1755</v>
      </c>
      <c r="AH858" t="s">
        <v>11</v>
      </c>
      <c r="AI858" t="s">
        <v>716</v>
      </c>
      <c r="AJ858">
        <v>2003</v>
      </c>
      <c r="AK858" t="s">
        <v>2115</v>
      </c>
      <c r="AN858" t="s">
        <v>121</v>
      </c>
      <c r="AO858" t="s">
        <v>68</v>
      </c>
      <c r="AP858" t="s">
        <v>69</v>
      </c>
      <c r="AQ858" t="s">
        <v>2116</v>
      </c>
      <c r="AR858" t="s">
        <v>70</v>
      </c>
      <c r="AS858">
        <v>302</v>
      </c>
      <c r="AT858" t="s">
        <v>71</v>
      </c>
      <c r="AU858">
        <v>57.91</v>
      </c>
      <c r="AV858">
        <v>40.020000000000003</v>
      </c>
      <c r="AW858" t="s">
        <v>72</v>
      </c>
      <c r="AX858">
        <v>301</v>
      </c>
      <c r="AY858" t="s">
        <v>71</v>
      </c>
      <c r="AZ858">
        <v>43.16</v>
      </c>
      <c r="BA858">
        <v>32.090000000000003</v>
      </c>
      <c r="BB858" t="s">
        <v>73</v>
      </c>
    </row>
    <row r="859" spans="1:54" x14ac:dyDescent="0.4">
      <c r="A859">
        <v>1417154</v>
      </c>
      <c r="D859" t="s">
        <v>54</v>
      </c>
      <c r="I859" t="s">
        <v>57</v>
      </c>
      <c r="K859" t="s">
        <v>80</v>
      </c>
      <c r="L859" t="s">
        <v>1169</v>
      </c>
      <c r="M859" t="s">
        <v>59</v>
      </c>
      <c r="P859" t="s">
        <v>83</v>
      </c>
      <c r="R859" t="s">
        <v>84</v>
      </c>
      <c r="S859" t="s">
        <v>61</v>
      </c>
      <c r="T859">
        <v>251.2</v>
      </c>
      <c r="U859">
        <v>246.7</v>
      </c>
      <c r="V859">
        <f>(T859+U859)/2</f>
        <v>248.95</v>
      </c>
      <c r="W859">
        <f>T859-U859</f>
        <v>4.5</v>
      </c>
      <c r="X859">
        <v>51.734164999999997</v>
      </c>
      <c r="Y859">
        <v>52.810001</v>
      </c>
      <c r="Z859" t="s">
        <v>239</v>
      </c>
      <c r="AA859" t="s">
        <v>139</v>
      </c>
      <c r="AB859" t="s">
        <v>316</v>
      </c>
      <c r="AD859" t="s">
        <v>1755</v>
      </c>
      <c r="AH859" t="s">
        <v>11</v>
      </c>
      <c r="AI859" t="s">
        <v>716</v>
      </c>
      <c r="AJ859">
        <v>2003</v>
      </c>
      <c r="AK859" t="s">
        <v>2126</v>
      </c>
      <c r="AM859" t="s">
        <v>2127</v>
      </c>
      <c r="AN859" t="s">
        <v>94</v>
      </c>
      <c r="AO859" t="s">
        <v>68</v>
      </c>
      <c r="AP859" t="s">
        <v>95</v>
      </c>
      <c r="AQ859" t="s">
        <v>2128</v>
      </c>
      <c r="AR859" t="s">
        <v>70</v>
      </c>
      <c r="AS859">
        <v>302</v>
      </c>
      <c r="AT859" t="s">
        <v>71</v>
      </c>
      <c r="AU859">
        <v>57.5</v>
      </c>
      <c r="AV859">
        <v>39.81</v>
      </c>
      <c r="AW859" t="s">
        <v>72</v>
      </c>
      <c r="AX859">
        <v>301</v>
      </c>
      <c r="AY859" t="s">
        <v>71</v>
      </c>
      <c r="AZ859">
        <v>42.87</v>
      </c>
      <c r="BA859">
        <v>31.81</v>
      </c>
      <c r="BB859" t="s">
        <v>73</v>
      </c>
    </row>
    <row r="860" spans="1:54" x14ac:dyDescent="0.4">
      <c r="A860">
        <v>1417155</v>
      </c>
      <c r="D860" t="s">
        <v>54</v>
      </c>
      <c r="I860" t="s">
        <v>57</v>
      </c>
      <c r="K860" t="s">
        <v>102</v>
      </c>
      <c r="L860" t="s">
        <v>307</v>
      </c>
      <c r="M860" t="s">
        <v>59</v>
      </c>
      <c r="P860" t="s">
        <v>83</v>
      </c>
      <c r="R860" t="s">
        <v>84</v>
      </c>
      <c r="S860" t="s">
        <v>61</v>
      </c>
      <c r="T860">
        <v>251.2</v>
      </c>
      <c r="U860">
        <v>246.7</v>
      </c>
      <c r="V860">
        <f>(T860+U860)/2</f>
        <v>248.95</v>
      </c>
      <c r="W860">
        <f>T860-U860</f>
        <v>4.5</v>
      </c>
      <c r="X860">
        <v>51.734164999999997</v>
      </c>
      <c r="Y860">
        <v>52.810001</v>
      </c>
      <c r="Z860" t="s">
        <v>239</v>
      </c>
      <c r="AA860" t="s">
        <v>139</v>
      </c>
      <c r="AB860" t="s">
        <v>316</v>
      </c>
      <c r="AD860" t="s">
        <v>1755</v>
      </c>
      <c r="AH860" t="s">
        <v>11</v>
      </c>
      <c r="AI860" t="s">
        <v>716</v>
      </c>
      <c r="AJ860">
        <v>2003</v>
      </c>
      <c r="AK860" t="s">
        <v>2126</v>
      </c>
      <c r="AM860" t="s">
        <v>2127</v>
      </c>
      <c r="AN860" t="s">
        <v>94</v>
      </c>
      <c r="AO860" t="s">
        <v>68</v>
      </c>
      <c r="AP860" t="s">
        <v>95</v>
      </c>
      <c r="AQ860" t="s">
        <v>2128</v>
      </c>
      <c r="AR860" t="s">
        <v>70</v>
      </c>
      <c r="AS860">
        <v>302</v>
      </c>
      <c r="AT860" t="s">
        <v>71</v>
      </c>
      <c r="AU860">
        <v>57.5</v>
      </c>
      <c r="AV860">
        <v>39.81</v>
      </c>
      <c r="AW860" t="s">
        <v>72</v>
      </c>
      <c r="AX860">
        <v>301</v>
      </c>
      <c r="AY860" t="s">
        <v>71</v>
      </c>
      <c r="AZ860">
        <v>42.87</v>
      </c>
      <c r="BA860">
        <v>31.81</v>
      </c>
      <c r="BB860" t="s">
        <v>73</v>
      </c>
    </row>
    <row r="861" spans="1:54" x14ac:dyDescent="0.4">
      <c r="A861">
        <v>1417175</v>
      </c>
      <c r="D861" t="s">
        <v>54</v>
      </c>
      <c r="I861" t="s">
        <v>57</v>
      </c>
      <c r="K861" t="s">
        <v>102</v>
      </c>
      <c r="L861" t="s">
        <v>307</v>
      </c>
      <c r="M861" t="s">
        <v>59</v>
      </c>
      <c r="P861" t="s">
        <v>83</v>
      </c>
      <c r="R861" t="s">
        <v>84</v>
      </c>
      <c r="S861" t="s">
        <v>61</v>
      </c>
      <c r="T861">
        <v>251.2</v>
      </c>
      <c r="U861">
        <v>246.7</v>
      </c>
      <c r="V861">
        <f>(T861+U861)/2</f>
        <v>248.95</v>
      </c>
      <c r="W861">
        <f>T861-U861</f>
        <v>4.5</v>
      </c>
      <c r="X861">
        <v>51.068610999999997</v>
      </c>
      <c r="Y861">
        <v>52.499442999999999</v>
      </c>
      <c r="Z861" t="s">
        <v>239</v>
      </c>
      <c r="AA861" t="s">
        <v>139</v>
      </c>
      <c r="AB861" t="s">
        <v>2067</v>
      </c>
      <c r="AC861" t="s">
        <v>2129</v>
      </c>
      <c r="AD861" t="s">
        <v>1755</v>
      </c>
      <c r="AH861" t="s">
        <v>11</v>
      </c>
      <c r="AI861" t="s">
        <v>716</v>
      </c>
      <c r="AJ861">
        <v>2003</v>
      </c>
      <c r="AK861" t="s">
        <v>2132</v>
      </c>
      <c r="AN861" t="s">
        <v>121</v>
      </c>
      <c r="AO861" t="s">
        <v>68</v>
      </c>
      <c r="AP861" t="s">
        <v>69</v>
      </c>
      <c r="AQ861" t="s">
        <v>2133</v>
      </c>
      <c r="AR861" t="s">
        <v>70</v>
      </c>
      <c r="AS861">
        <v>302</v>
      </c>
      <c r="AT861" t="s">
        <v>71</v>
      </c>
      <c r="AU861">
        <v>57.24</v>
      </c>
      <c r="AV861">
        <v>39.35</v>
      </c>
      <c r="AW861" t="s">
        <v>72</v>
      </c>
      <c r="AX861">
        <v>301</v>
      </c>
      <c r="AY861" t="s">
        <v>71</v>
      </c>
      <c r="AZ861">
        <v>42.79</v>
      </c>
      <c r="BA861">
        <v>31.31</v>
      </c>
      <c r="BB861" t="s">
        <v>73</v>
      </c>
    </row>
    <row r="862" spans="1:54" x14ac:dyDescent="0.4">
      <c r="A862">
        <v>943872</v>
      </c>
      <c r="D862" t="s">
        <v>376</v>
      </c>
      <c r="E862" t="s">
        <v>104</v>
      </c>
      <c r="G862">
        <v>1</v>
      </c>
      <c r="H862" t="s">
        <v>56</v>
      </c>
      <c r="I862" t="s">
        <v>57</v>
      </c>
      <c r="K862" t="s">
        <v>279</v>
      </c>
      <c r="L862" t="s">
        <v>1607</v>
      </c>
      <c r="M862" t="s">
        <v>59</v>
      </c>
      <c r="O862" t="s">
        <v>76</v>
      </c>
      <c r="P862" t="s">
        <v>83</v>
      </c>
      <c r="R862" t="s">
        <v>84</v>
      </c>
      <c r="S862" t="s">
        <v>61</v>
      </c>
      <c r="T862">
        <v>251.2</v>
      </c>
      <c r="U862">
        <v>246.7</v>
      </c>
      <c r="V862">
        <f>(T862+U862)/2</f>
        <v>248.95</v>
      </c>
      <c r="W862">
        <f>T862-U862</f>
        <v>4.5</v>
      </c>
      <c r="X862">
        <v>10.011111</v>
      </c>
      <c r="Y862">
        <v>51.465000000000003</v>
      </c>
      <c r="Z862" t="s">
        <v>85</v>
      </c>
      <c r="AA862" t="s">
        <v>128</v>
      </c>
      <c r="AB862" t="s">
        <v>414</v>
      </c>
      <c r="AC862" t="s">
        <v>1577</v>
      </c>
      <c r="AD862" t="s">
        <v>796</v>
      </c>
      <c r="AE862" t="s">
        <v>797</v>
      </c>
      <c r="AF862" t="s">
        <v>1608</v>
      </c>
      <c r="AH862" t="s">
        <v>65</v>
      </c>
      <c r="AI862" t="s">
        <v>335</v>
      </c>
      <c r="AJ862">
        <v>1902</v>
      </c>
      <c r="AK862" t="s">
        <v>1609</v>
      </c>
      <c r="AM862" t="s">
        <v>1610</v>
      </c>
      <c r="AN862" t="s">
        <v>121</v>
      </c>
      <c r="AO862" t="s">
        <v>68</v>
      </c>
      <c r="AP862" t="s">
        <v>95</v>
      </c>
      <c r="AQ862" t="s">
        <v>1611</v>
      </c>
      <c r="AR862" t="s">
        <v>70</v>
      </c>
      <c r="AS862">
        <v>315</v>
      </c>
      <c r="AT862" t="s">
        <v>71</v>
      </c>
      <c r="AU862">
        <v>29.36</v>
      </c>
      <c r="AV862">
        <v>29.34</v>
      </c>
      <c r="AW862" t="s">
        <v>72</v>
      </c>
      <c r="AX862">
        <v>315</v>
      </c>
      <c r="AY862" t="s">
        <v>71</v>
      </c>
      <c r="AZ862">
        <v>20.329999999999998</v>
      </c>
      <c r="BA862">
        <v>16.89</v>
      </c>
      <c r="BB862" t="s">
        <v>73</v>
      </c>
    </row>
    <row r="863" spans="1:54" x14ac:dyDescent="0.4">
      <c r="A863">
        <v>1091077</v>
      </c>
      <c r="D863" t="s">
        <v>54</v>
      </c>
      <c r="I863" t="s">
        <v>57</v>
      </c>
      <c r="K863" t="s">
        <v>652</v>
      </c>
      <c r="L863" t="s">
        <v>1199</v>
      </c>
      <c r="M863" t="s">
        <v>59</v>
      </c>
      <c r="P863" t="s">
        <v>83</v>
      </c>
      <c r="R863" t="s">
        <v>84</v>
      </c>
      <c r="S863" t="s">
        <v>61</v>
      </c>
      <c r="T863">
        <v>251.2</v>
      </c>
      <c r="U863">
        <v>246.7</v>
      </c>
      <c r="V863">
        <f>(T863+U863)/2</f>
        <v>248.95</v>
      </c>
      <c r="W863">
        <f>T863-U863</f>
        <v>4.5</v>
      </c>
      <c r="X863">
        <v>27.805834000000001</v>
      </c>
      <c r="Y863">
        <v>-28.456388</v>
      </c>
      <c r="Z863" t="s">
        <v>99</v>
      </c>
      <c r="AA863" t="s">
        <v>86</v>
      </c>
      <c r="AB863" t="s">
        <v>546</v>
      </c>
      <c r="AD863" t="s">
        <v>777</v>
      </c>
      <c r="AE863" t="s">
        <v>90</v>
      </c>
      <c r="AG863" t="s">
        <v>1731</v>
      </c>
      <c r="AH863" t="s">
        <v>11</v>
      </c>
      <c r="AI863" t="s">
        <v>1732</v>
      </c>
      <c r="AJ863">
        <v>2000</v>
      </c>
      <c r="AK863" t="s">
        <v>1733</v>
      </c>
      <c r="AN863" t="s">
        <v>375</v>
      </c>
      <c r="AO863" t="s">
        <v>68</v>
      </c>
      <c r="AP863" t="s">
        <v>69</v>
      </c>
      <c r="AR863" t="s">
        <v>70</v>
      </c>
      <c r="AS863">
        <v>701</v>
      </c>
      <c r="AT863" t="s">
        <v>71</v>
      </c>
      <c r="AU863">
        <v>-5.55</v>
      </c>
      <c r="AV863">
        <v>-50.04</v>
      </c>
      <c r="AW863" t="s">
        <v>72</v>
      </c>
      <c r="AX863">
        <v>701</v>
      </c>
      <c r="AY863" t="s">
        <v>71</v>
      </c>
      <c r="AZ863">
        <v>-12.07</v>
      </c>
      <c r="BA863">
        <v>-64.63</v>
      </c>
      <c r="BB863" t="s">
        <v>73</v>
      </c>
    </row>
    <row r="864" spans="1:54" x14ac:dyDescent="0.4">
      <c r="A864">
        <v>1200768</v>
      </c>
      <c r="D864" t="s">
        <v>855</v>
      </c>
      <c r="G864">
        <v>1</v>
      </c>
      <c r="H864" t="s">
        <v>74</v>
      </c>
      <c r="I864" t="s">
        <v>57</v>
      </c>
      <c r="K864" t="s">
        <v>1621</v>
      </c>
      <c r="L864" t="s">
        <v>1802</v>
      </c>
      <c r="M864" t="s">
        <v>59</v>
      </c>
      <c r="P864" t="s">
        <v>83</v>
      </c>
      <c r="R864" t="s">
        <v>84</v>
      </c>
      <c r="S864" t="s">
        <v>61</v>
      </c>
      <c r="T864">
        <v>251.2</v>
      </c>
      <c r="U864">
        <v>246.7</v>
      </c>
      <c r="V864">
        <f>(T864+U864)/2</f>
        <v>248.95</v>
      </c>
      <c r="W864">
        <f>T864-U864</f>
        <v>4.5</v>
      </c>
      <c r="X864">
        <v>111.640556</v>
      </c>
      <c r="Y864">
        <v>31.060832999999999</v>
      </c>
      <c r="Z864" t="s">
        <v>268</v>
      </c>
      <c r="AA864" t="s">
        <v>186</v>
      </c>
      <c r="AB864" t="s">
        <v>1358</v>
      </c>
      <c r="AC864" t="s">
        <v>1413</v>
      </c>
      <c r="AH864" t="s">
        <v>65</v>
      </c>
      <c r="AI864" t="s">
        <v>1775</v>
      </c>
      <c r="AJ864">
        <v>2014</v>
      </c>
      <c r="AK864" t="s">
        <v>1803</v>
      </c>
      <c r="AO864" t="s">
        <v>68</v>
      </c>
      <c r="AR864" t="s">
        <v>70</v>
      </c>
      <c r="AS864">
        <v>611</v>
      </c>
      <c r="AT864" t="s">
        <v>71</v>
      </c>
      <c r="AU864">
        <v>111.81</v>
      </c>
      <c r="AV864">
        <v>-6.65</v>
      </c>
      <c r="AW864" t="s">
        <v>72</v>
      </c>
      <c r="AX864">
        <v>611</v>
      </c>
      <c r="AY864" t="s">
        <v>71</v>
      </c>
      <c r="AZ864">
        <v>97.94</v>
      </c>
      <c r="BA864">
        <v>15.6</v>
      </c>
      <c r="BB864" t="s">
        <v>73</v>
      </c>
    </row>
    <row r="865" spans="1:54" x14ac:dyDescent="0.4">
      <c r="A865">
        <v>1301648</v>
      </c>
      <c r="D865" t="s">
        <v>54</v>
      </c>
      <c r="I865" t="s">
        <v>57</v>
      </c>
      <c r="K865" t="s">
        <v>102</v>
      </c>
      <c r="L865" t="s">
        <v>1866</v>
      </c>
      <c r="M865" t="s">
        <v>59</v>
      </c>
      <c r="P865" t="s">
        <v>83</v>
      </c>
      <c r="R865" t="s">
        <v>84</v>
      </c>
      <c r="S865" t="s">
        <v>61</v>
      </c>
      <c r="T865">
        <v>251.2</v>
      </c>
      <c r="U865">
        <v>246.7</v>
      </c>
      <c r="V865">
        <f>(T865+U865)/2</f>
        <v>248.95</v>
      </c>
      <c r="W865">
        <f>T865-U865</f>
        <v>4.5</v>
      </c>
      <c r="X865">
        <v>111.640556</v>
      </c>
      <c r="Y865">
        <v>31.060832999999999</v>
      </c>
      <c r="Z865" t="s">
        <v>268</v>
      </c>
      <c r="AA865" t="s">
        <v>186</v>
      </c>
      <c r="AB865" t="s">
        <v>1358</v>
      </c>
      <c r="AC865" t="s">
        <v>1413</v>
      </c>
      <c r="AH865" t="s">
        <v>65</v>
      </c>
      <c r="AI865" t="s">
        <v>1775</v>
      </c>
      <c r="AJ865">
        <v>2014</v>
      </c>
      <c r="AK865" t="s">
        <v>1867</v>
      </c>
      <c r="AO865" t="s">
        <v>68</v>
      </c>
      <c r="AR865" t="s">
        <v>70</v>
      </c>
      <c r="AS865">
        <v>611</v>
      </c>
      <c r="AT865" t="s">
        <v>71</v>
      </c>
      <c r="AU865">
        <v>111.81</v>
      </c>
      <c r="AV865">
        <v>-6.65</v>
      </c>
      <c r="AW865" t="s">
        <v>72</v>
      </c>
      <c r="AX865">
        <v>611</v>
      </c>
      <c r="AY865" t="s">
        <v>71</v>
      </c>
      <c r="AZ865">
        <v>97.94</v>
      </c>
      <c r="BA865">
        <v>15.6</v>
      </c>
      <c r="BB865" t="s">
        <v>73</v>
      </c>
    </row>
    <row r="866" spans="1:54" x14ac:dyDescent="0.4">
      <c r="A866">
        <v>1329759</v>
      </c>
      <c r="D866" t="s">
        <v>376</v>
      </c>
      <c r="G866">
        <v>1</v>
      </c>
      <c r="H866" t="s">
        <v>56</v>
      </c>
      <c r="I866" t="s">
        <v>57</v>
      </c>
      <c r="K866" t="s">
        <v>102</v>
      </c>
      <c r="L866" t="s">
        <v>1909</v>
      </c>
      <c r="M866" t="s">
        <v>59</v>
      </c>
      <c r="P866" t="s">
        <v>83</v>
      </c>
      <c r="R866" t="s">
        <v>84</v>
      </c>
      <c r="S866" t="s">
        <v>61</v>
      </c>
      <c r="T866">
        <v>251.2</v>
      </c>
      <c r="U866">
        <v>246.7</v>
      </c>
      <c r="V866">
        <f>(T866+U866)/2</f>
        <v>248.95</v>
      </c>
      <c r="W866">
        <f>T866-U866</f>
        <v>4.5</v>
      </c>
      <c r="X866">
        <v>117.81970200000001</v>
      </c>
      <c r="Y866">
        <v>31.6206</v>
      </c>
      <c r="Z866" t="s">
        <v>1804</v>
      </c>
      <c r="AA866" t="s">
        <v>186</v>
      </c>
      <c r="AB866" t="s">
        <v>329</v>
      </c>
      <c r="AD866" t="s">
        <v>1805</v>
      </c>
      <c r="AG866" t="s">
        <v>1806</v>
      </c>
      <c r="AH866" t="s">
        <v>65</v>
      </c>
      <c r="AI866" t="s">
        <v>331</v>
      </c>
      <c r="AJ866">
        <v>2015</v>
      </c>
      <c r="AK866" t="s">
        <v>1807</v>
      </c>
      <c r="AN866" t="s">
        <v>121</v>
      </c>
      <c r="AO866">
        <v>4</v>
      </c>
      <c r="AP866" t="s">
        <v>69</v>
      </c>
      <c r="AQ866" t="s">
        <v>1808</v>
      </c>
      <c r="AR866" t="s">
        <v>70</v>
      </c>
      <c r="AS866">
        <v>604</v>
      </c>
      <c r="AT866" t="s">
        <v>71</v>
      </c>
      <c r="AU866">
        <v>116.01</v>
      </c>
      <c r="AV866">
        <v>5.8</v>
      </c>
      <c r="AW866" t="s">
        <v>72</v>
      </c>
      <c r="AX866">
        <v>611</v>
      </c>
      <c r="AY866" t="s">
        <v>71</v>
      </c>
      <c r="AZ866">
        <v>101.96</v>
      </c>
      <c r="BA866">
        <v>19.28</v>
      </c>
      <c r="BB866" t="s">
        <v>73</v>
      </c>
    </row>
    <row r="867" spans="1:54" x14ac:dyDescent="0.4">
      <c r="A867">
        <v>1329760</v>
      </c>
      <c r="D867" t="s">
        <v>376</v>
      </c>
      <c r="G867">
        <v>1</v>
      </c>
      <c r="H867" t="s">
        <v>56</v>
      </c>
      <c r="I867" t="s">
        <v>57</v>
      </c>
      <c r="K867" t="s">
        <v>102</v>
      </c>
      <c r="L867" t="s">
        <v>1910</v>
      </c>
      <c r="M867" t="s">
        <v>59</v>
      </c>
      <c r="P867" t="s">
        <v>83</v>
      </c>
      <c r="R867" t="s">
        <v>84</v>
      </c>
      <c r="S867" t="s">
        <v>61</v>
      </c>
      <c r="T867">
        <v>251.2</v>
      </c>
      <c r="U867">
        <v>246.7</v>
      </c>
      <c r="V867">
        <f>(T867+U867)/2</f>
        <v>248.95</v>
      </c>
      <c r="W867">
        <f>T867-U867</f>
        <v>4.5</v>
      </c>
      <c r="X867">
        <v>117.81970200000001</v>
      </c>
      <c r="Y867">
        <v>31.6206</v>
      </c>
      <c r="Z867" t="s">
        <v>1804</v>
      </c>
      <c r="AA867" t="s">
        <v>186</v>
      </c>
      <c r="AB867" t="s">
        <v>329</v>
      </c>
      <c r="AD867" t="s">
        <v>1805</v>
      </c>
      <c r="AG867" t="s">
        <v>1806</v>
      </c>
      <c r="AH867" t="s">
        <v>65</v>
      </c>
      <c r="AI867" t="s">
        <v>1482</v>
      </c>
      <c r="AJ867">
        <v>2016</v>
      </c>
      <c r="AK867" t="s">
        <v>1807</v>
      </c>
      <c r="AN867" t="s">
        <v>121</v>
      </c>
      <c r="AO867">
        <v>4</v>
      </c>
      <c r="AP867" t="s">
        <v>69</v>
      </c>
      <c r="AQ867" t="s">
        <v>1808</v>
      </c>
      <c r="AR867" t="s">
        <v>70</v>
      </c>
      <c r="AS867">
        <v>604</v>
      </c>
      <c r="AT867" t="s">
        <v>71</v>
      </c>
      <c r="AU867">
        <v>116.01</v>
      </c>
      <c r="AV867">
        <v>5.8</v>
      </c>
      <c r="AW867" t="s">
        <v>72</v>
      </c>
      <c r="AX867">
        <v>611</v>
      </c>
      <c r="AY867" t="s">
        <v>71</v>
      </c>
      <c r="AZ867">
        <v>101.96</v>
      </c>
      <c r="BA867">
        <v>19.28</v>
      </c>
      <c r="BB867" t="s">
        <v>73</v>
      </c>
    </row>
    <row r="868" spans="1:54" x14ac:dyDescent="0.4">
      <c r="A868">
        <v>1409443</v>
      </c>
      <c r="D868" t="s">
        <v>54</v>
      </c>
      <c r="G868">
        <v>1</v>
      </c>
      <c r="H868" t="s">
        <v>74</v>
      </c>
      <c r="I868" t="s">
        <v>57</v>
      </c>
      <c r="K868" t="s">
        <v>102</v>
      </c>
      <c r="L868" t="s">
        <v>2052</v>
      </c>
      <c r="M868" t="s">
        <v>59</v>
      </c>
      <c r="P868" t="s">
        <v>83</v>
      </c>
      <c r="R868" t="s">
        <v>84</v>
      </c>
      <c r="S868" t="s">
        <v>61</v>
      </c>
      <c r="T868">
        <v>251.2</v>
      </c>
      <c r="U868">
        <v>246.7</v>
      </c>
      <c r="V868">
        <f>(T868+U868)/2</f>
        <v>248.95</v>
      </c>
      <c r="W868">
        <f>T868-U868</f>
        <v>4.5</v>
      </c>
      <c r="X868">
        <v>111.555832</v>
      </c>
      <c r="Y868">
        <v>31.218056000000001</v>
      </c>
      <c r="Z868" t="s">
        <v>268</v>
      </c>
      <c r="AA868" t="s">
        <v>186</v>
      </c>
      <c r="AB868" t="s">
        <v>1358</v>
      </c>
      <c r="AC868" t="s">
        <v>2053</v>
      </c>
      <c r="AD868" t="s">
        <v>1378</v>
      </c>
      <c r="AH868" t="s">
        <v>65</v>
      </c>
      <c r="AI868" t="s">
        <v>1775</v>
      </c>
      <c r="AJ868">
        <v>2014</v>
      </c>
      <c r="AK868" t="s">
        <v>2054</v>
      </c>
      <c r="AM868" t="s">
        <v>2055</v>
      </c>
      <c r="AN868" t="s">
        <v>94</v>
      </c>
      <c r="AO868" t="s">
        <v>68</v>
      </c>
      <c r="AP868" t="s">
        <v>95</v>
      </c>
      <c r="AR868" t="s">
        <v>70</v>
      </c>
      <c r="AS868">
        <v>611</v>
      </c>
      <c r="AT868" t="s">
        <v>71</v>
      </c>
      <c r="AU868">
        <v>111.72</v>
      </c>
      <c r="AV868">
        <v>-6.51</v>
      </c>
      <c r="AW868" t="s">
        <v>72</v>
      </c>
      <c r="AX868">
        <v>611</v>
      </c>
      <c r="AY868" t="s">
        <v>71</v>
      </c>
      <c r="AZ868">
        <v>97.79</v>
      </c>
      <c r="BA868">
        <v>15.69</v>
      </c>
      <c r="BB868" t="s">
        <v>73</v>
      </c>
    </row>
    <row r="869" spans="1:54" x14ac:dyDescent="0.4">
      <c r="A869">
        <v>1415295</v>
      </c>
      <c r="D869" t="s">
        <v>54</v>
      </c>
      <c r="I869" t="s">
        <v>57</v>
      </c>
      <c r="K869" t="s">
        <v>1604</v>
      </c>
      <c r="L869" t="s">
        <v>2061</v>
      </c>
      <c r="M869" t="s">
        <v>59</v>
      </c>
      <c r="P869" t="s">
        <v>83</v>
      </c>
      <c r="R869" t="s">
        <v>84</v>
      </c>
      <c r="S869" t="s">
        <v>61</v>
      </c>
      <c r="T869">
        <v>251.2</v>
      </c>
      <c r="U869">
        <v>246.7</v>
      </c>
      <c r="V869">
        <f>(T869+U869)/2</f>
        <v>248.95</v>
      </c>
      <c r="W869">
        <f>T869-U869</f>
        <v>4.5</v>
      </c>
      <c r="X869">
        <v>19.039166999999999</v>
      </c>
      <c r="Y869">
        <v>50.389999000000003</v>
      </c>
      <c r="Z869" t="s">
        <v>268</v>
      </c>
      <c r="AA869" t="s">
        <v>337</v>
      </c>
      <c r="AB869" t="s">
        <v>2062</v>
      </c>
      <c r="AD869" t="s">
        <v>1570</v>
      </c>
      <c r="AH869" t="s">
        <v>65</v>
      </c>
      <c r="AI869" t="s">
        <v>2060</v>
      </c>
      <c r="AJ869">
        <v>2016</v>
      </c>
      <c r="AK869" t="s">
        <v>2063</v>
      </c>
      <c r="AN869" t="s">
        <v>94</v>
      </c>
      <c r="AO869" t="s">
        <v>68</v>
      </c>
      <c r="AQ869" t="s">
        <v>2064</v>
      </c>
      <c r="AR869" t="s">
        <v>70</v>
      </c>
      <c r="AS869">
        <v>305</v>
      </c>
      <c r="AT869" t="s">
        <v>71</v>
      </c>
      <c r="AU869">
        <v>36</v>
      </c>
      <c r="AV869">
        <v>29.7</v>
      </c>
      <c r="AW869" t="s">
        <v>72</v>
      </c>
      <c r="AX869">
        <v>305</v>
      </c>
      <c r="AY869" t="s">
        <v>71</v>
      </c>
      <c r="AZ869">
        <v>26.26</v>
      </c>
      <c r="BA869">
        <v>18.16</v>
      </c>
      <c r="BB869" t="s">
        <v>73</v>
      </c>
    </row>
    <row r="870" spans="1:54" x14ac:dyDescent="0.4">
      <c r="A870">
        <v>1416219</v>
      </c>
      <c r="D870" t="s">
        <v>54</v>
      </c>
      <c r="I870" t="s">
        <v>57</v>
      </c>
      <c r="K870" t="s">
        <v>652</v>
      </c>
      <c r="L870" t="s">
        <v>1199</v>
      </c>
      <c r="M870" t="s">
        <v>59</v>
      </c>
      <c r="P870" t="s">
        <v>83</v>
      </c>
      <c r="R870" t="s">
        <v>84</v>
      </c>
      <c r="S870" t="s">
        <v>61</v>
      </c>
      <c r="T870">
        <v>251.2</v>
      </c>
      <c r="U870">
        <v>246.7</v>
      </c>
      <c r="V870">
        <f>(T870+U870)/2</f>
        <v>248.95</v>
      </c>
      <c r="W870">
        <f>T870-U870</f>
        <v>4.5</v>
      </c>
      <c r="X870">
        <v>55.761665000000001</v>
      </c>
      <c r="Y870">
        <v>52.429442999999999</v>
      </c>
      <c r="Z870" t="s">
        <v>239</v>
      </c>
      <c r="AA870" t="s">
        <v>139</v>
      </c>
      <c r="AB870" t="s">
        <v>206</v>
      </c>
      <c r="AD870" t="s">
        <v>2077</v>
      </c>
      <c r="AH870" t="s">
        <v>11</v>
      </c>
      <c r="AI870" t="s">
        <v>716</v>
      </c>
      <c r="AJ870">
        <v>2003</v>
      </c>
      <c r="AK870" t="s">
        <v>2078</v>
      </c>
      <c r="AM870" t="s">
        <v>2079</v>
      </c>
      <c r="AN870" t="s">
        <v>121</v>
      </c>
      <c r="AO870" t="s">
        <v>68</v>
      </c>
      <c r="AP870" t="s">
        <v>69</v>
      </c>
      <c r="AQ870" t="s">
        <v>2080</v>
      </c>
      <c r="AR870" t="s">
        <v>70</v>
      </c>
      <c r="AS870">
        <v>302</v>
      </c>
      <c r="AT870" t="s">
        <v>71</v>
      </c>
      <c r="AU870">
        <v>60.52</v>
      </c>
      <c r="AV870">
        <v>40.72</v>
      </c>
      <c r="AW870" t="s">
        <v>72</v>
      </c>
      <c r="AX870">
        <v>301</v>
      </c>
      <c r="AY870" t="s">
        <v>71</v>
      </c>
      <c r="AZ870">
        <v>45.22</v>
      </c>
      <c r="BA870">
        <v>33.299999999999997</v>
      </c>
      <c r="BB870" t="s">
        <v>73</v>
      </c>
    </row>
    <row r="871" spans="1:54" x14ac:dyDescent="0.4">
      <c r="A871">
        <v>1416225</v>
      </c>
      <c r="D871" t="s">
        <v>54</v>
      </c>
      <c r="I871" t="s">
        <v>57</v>
      </c>
      <c r="K871" t="s">
        <v>652</v>
      </c>
      <c r="L871" t="s">
        <v>1199</v>
      </c>
      <c r="M871" t="s">
        <v>59</v>
      </c>
      <c r="P871" t="s">
        <v>83</v>
      </c>
      <c r="R871" t="s">
        <v>84</v>
      </c>
      <c r="S871" t="s">
        <v>61</v>
      </c>
      <c r="T871">
        <v>251.2</v>
      </c>
      <c r="U871">
        <v>246.7</v>
      </c>
      <c r="V871">
        <f>(T871+U871)/2</f>
        <v>248.95</v>
      </c>
      <c r="W871">
        <f>T871-U871</f>
        <v>4.5</v>
      </c>
      <c r="X871">
        <v>55.534720999999998</v>
      </c>
      <c r="Y871">
        <v>52.402779000000002</v>
      </c>
      <c r="Z871" t="s">
        <v>239</v>
      </c>
      <c r="AA871" t="s">
        <v>139</v>
      </c>
      <c r="AB871" t="s">
        <v>206</v>
      </c>
      <c r="AD871" t="s">
        <v>2077</v>
      </c>
      <c r="AH871" t="s">
        <v>11</v>
      </c>
      <c r="AI871" t="s">
        <v>716</v>
      </c>
      <c r="AJ871">
        <v>2003</v>
      </c>
      <c r="AK871" t="s">
        <v>2081</v>
      </c>
      <c r="AN871" t="s">
        <v>121</v>
      </c>
      <c r="AO871" t="s">
        <v>68</v>
      </c>
      <c r="AP871" t="s">
        <v>69</v>
      </c>
      <c r="AQ871" t="s">
        <v>2082</v>
      </c>
      <c r="AR871" t="s">
        <v>70</v>
      </c>
      <c r="AS871">
        <v>302</v>
      </c>
      <c r="AT871" t="s">
        <v>71</v>
      </c>
      <c r="AU871">
        <v>60.38</v>
      </c>
      <c r="AV871">
        <v>40.619999999999997</v>
      </c>
      <c r="AW871" t="s">
        <v>72</v>
      </c>
      <c r="AX871">
        <v>301</v>
      </c>
      <c r="AY871" t="s">
        <v>71</v>
      </c>
      <c r="AZ871">
        <v>45.13</v>
      </c>
      <c r="BA871">
        <v>33.18</v>
      </c>
      <c r="BB871" t="s">
        <v>73</v>
      </c>
    </row>
    <row r="872" spans="1:54" x14ac:dyDescent="0.4">
      <c r="A872">
        <v>1416232</v>
      </c>
      <c r="D872" t="s">
        <v>54</v>
      </c>
      <c r="I872" t="s">
        <v>57</v>
      </c>
      <c r="K872" t="s">
        <v>652</v>
      </c>
      <c r="L872" t="s">
        <v>1199</v>
      </c>
      <c r="M872" t="s">
        <v>59</v>
      </c>
      <c r="P872" t="s">
        <v>83</v>
      </c>
      <c r="R872" t="s">
        <v>84</v>
      </c>
      <c r="S872" t="s">
        <v>61</v>
      </c>
      <c r="T872">
        <v>251.2</v>
      </c>
      <c r="U872">
        <v>246.7</v>
      </c>
      <c r="V872">
        <f>(T872+U872)/2</f>
        <v>248.95</v>
      </c>
      <c r="W872">
        <f>T872-U872</f>
        <v>4.5</v>
      </c>
      <c r="X872">
        <v>55.850833999999999</v>
      </c>
      <c r="Y872">
        <v>52.163891</v>
      </c>
      <c r="Z872" t="s">
        <v>281</v>
      </c>
      <c r="AA872" t="s">
        <v>139</v>
      </c>
      <c r="AB872" t="s">
        <v>316</v>
      </c>
      <c r="AD872" t="s">
        <v>2077</v>
      </c>
      <c r="AH872" t="s">
        <v>11</v>
      </c>
      <c r="AI872" t="s">
        <v>716</v>
      </c>
      <c r="AJ872">
        <v>2003</v>
      </c>
      <c r="AK872" t="s">
        <v>2083</v>
      </c>
      <c r="AN872" t="s">
        <v>121</v>
      </c>
      <c r="AO872" t="s">
        <v>68</v>
      </c>
      <c r="AP872" t="s">
        <v>69</v>
      </c>
      <c r="AQ872" t="s">
        <v>2084</v>
      </c>
      <c r="AR872" t="s">
        <v>70</v>
      </c>
      <c r="AS872">
        <v>302</v>
      </c>
      <c r="AT872" t="s">
        <v>71</v>
      </c>
      <c r="AU872">
        <v>60.76</v>
      </c>
      <c r="AV872">
        <v>40.520000000000003</v>
      </c>
      <c r="AW872" t="s">
        <v>72</v>
      </c>
      <c r="AX872">
        <v>301</v>
      </c>
      <c r="AY872" t="s">
        <v>71</v>
      </c>
      <c r="AZ872">
        <v>45.49</v>
      </c>
      <c r="BA872">
        <v>33.15</v>
      </c>
      <c r="BB872" t="s">
        <v>73</v>
      </c>
    </row>
    <row r="873" spans="1:54" x14ac:dyDescent="0.4">
      <c r="A873">
        <v>1416234</v>
      </c>
      <c r="D873" t="s">
        <v>54</v>
      </c>
      <c r="I873" t="s">
        <v>57</v>
      </c>
      <c r="K873" t="s">
        <v>652</v>
      </c>
      <c r="L873" t="s">
        <v>1199</v>
      </c>
      <c r="M873" t="s">
        <v>59</v>
      </c>
      <c r="P873" t="s">
        <v>83</v>
      </c>
      <c r="R873" t="s">
        <v>84</v>
      </c>
      <c r="S873" t="s">
        <v>61</v>
      </c>
      <c r="T873">
        <v>251.2</v>
      </c>
      <c r="U873">
        <v>246.7</v>
      </c>
      <c r="V873">
        <f>(T873+U873)/2</f>
        <v>248.95</v>
      </c>
      <c r="W873">
        <f>T873-U873</f>
        <v>4.5</v>
      </c>
      <c r="X873">
        <v>55.844166000000001</v>
      </c>
      <c r="Y873">
        <v>52.154719999999998</v>
      </c>
      <c r="Z873" t="s">
        <v>281</v>
      </c>
      <c r="AA873" t="s">
        <v>139</v>
      </c>
      <c r="AB873" t="s">
        <v>316</v>
      </c>
      <c r="AD873" t="s">
        <v>2077</v>
      </c>
      <c r="AH873" t="s">
        <v>11</v>
      </c>
      <c r="AI873" t="s">
        <v>716</v>
      </c>
      <c r="AJ873">
        <v>2003</v>
      </c>
      <c r="AK873" t="s">
        <v>2085</v>
      </c>
      <c r="AN873" t="s">
        <v>121</v>
      </c>
      <c r="AO873" t="s">
        <v>68</v>
      </c>
      <c r="AP873" t="s">
        <v>69</v>
      </c>
      <c r="AQ873" t="s">
        <v>2086</v>
      </c>
      <c r="AR873" t="s">
        <v>70</v>
      </c>
      <c r="AS873">
        <v>302</v>
      </c>
      <c r="AT873" t="s">
        <v>71</v>
      </c>
      <c r="AU873">
        <v>60.76</v>
      </c>
      <c r="AV873">
        <v>40.51</v>
      </c>
      <c r="AW873" t="s">
        <v>72</v>
      </c>
      <c r="AX873">
        <v>301</v>
      </c>
      <c r="AY873" t="s">
        <v>71</v>
      </c>
      <c r="AZ873">
        <v>45.5</v>
      </c>
      <c r="BA873">
        <v>33.15</v>
      </c>
      <c r="BB873" t="s">
        <v>73</v>
      </c>
    </row>
    <row r="874" spans="1:54" x14ac:dyDescent="0.4">
      <c r="A874">
        <v>1416237</v>
      </c>
      <c r="D874" t="s">
        <v>54</v>
      </c>
      <c r="I874" t="s">
        <v>57</v>
      </c>
      <c r="K874" t="s">
        <v>652</v>
      </c>
      <c r="L874" t="s">
        <v>1199</v>
      </c>
      <c r="M874" t="s">
        <v>59</v>
      </c>
      <c r="P874" t="s">
        <v>83</v>
      </c>
      <c r="R874" t="s">
        <v>84</v>
      </c>
      <c r="S874" t="s">
        <v>61</v>
      </c>
      <c r="T874">
        <v>251.2</v>
      </c>
      <c r="U874">
        <v>246.7</v>
      </c>
      <c r="V874">
        <f>(T874+U874)/2</f>
        <v>248.95</v>
      </c>
      <c r="W874">
        <f>T874-U874</f>
        <v>4.5</v>
      </c>
      <c r="X874">
        <v>55.722220999999998</v>
      </c>
      <c r="Y874">
        <v>52.030276999999998</v>
      </c>
      <c r="Z874" t="s">
        <v>396</v>
      </c>
      <c r="AA874" t="s">
        <v>139</v>
      </c>
      <c r="AB874" t="s">
        <v>316</v>
      </c>
      <c r="AD874" t="s">
        <v>2077</v>
      </c>
      <c r="AH874" t="s">
        <v>11</v>
      </c>
      <c r="AI874" t="s">
        <v>716</v>
      </c>
      <c r="AJ874">
        <v>2003</v>
      </c>
      <c r="AK874" t="s">
        <v>2087</v>
      </c>
      <c r="AN874" t="s">
        <v>121</v>
      </c>
      <c r="AO874" t="s">
        <v>68</v>
      </c>
      <c r="AP874" t="s">
        <v>69</v>
      </c>
      <c r="AQ874" t="s">
        <v>2088</v>
      </c>
      <c r="AR874" t="s">
        <v>70</v>
      </c>
      <c r="AS874">
        <v>302</v>
      </c>
      <c r="AT874" t="s">
        <v>71</v>
      </c>
      <c r="AU874">
        <v>60.76</v>
      </c>
      <c r="AV874">
        <v>40.36</v>
      </c>
      <c r="AW874" t="s">
        <v>72</v>
      </c>
      <c r="AX874">
        <v>301</v>
      </c>
      <c r="AY874" t="s">
        <v>71</v>
      </c>
      <c r="AZ874">
        <v>45.54</v>
      </c>
      <c r="BA874">
        <v>33.01</v>
      </c>
      <c r="BB874" t="s">
        <v>73</v>
      </c>
    </row>
    <row r="875" spans="1:54" x14ac:dyDescent="0.4">
      <c r="A875">
        <v>1416239</v>
      </c>
      <c r="D875" t="s">
        <v>54</v>
      </c>
      <c r="I875" t="s">
        <v>57</v>
      </c>
      <c r="K875" t="s">
        <v>652</v>
      </c>
      <c r="L875" t="s">
        <v>1199</v>
      </c>
      <c r="M875" t="s">
        <v>59</v>
      </c>
      <c r="P875" t="s">
        <v>83</v>
      </c>
      <c r="R875" t="s">
        <v>84</v>
      </c>
      <c r="S875" t="s">
        <v>61</v>
      </c>
      <c r="T875">
        <v>251.2</v>
      </c>
      <c r="U875">
        <v>246.7</v>
      </c>
      <c r="V875">
        <f>(T875+U875)/2</f>
        <v>248.95</v>
      </c>
      <c r="W875">
        <f>T875-U875</f>
        <v>4.5</v>
      </c>
      <c r="X875">
        <v>55.647499000000003</v>
      </c>
      <c r="Y875">
        <v>52.029998999999997</v>
      </c>
      <c r="Z875" t="s">
        <v>239</v>
      </c>
      <c r="AA875" t="s">
        <v>139</v>
      </c>
      <c r="AB875" t="s">
        <v>316</v>
      </c>
      <c r="AD875" t="s">
        <v>2077</v>
      </c>
      <c r="AH875" t="s">
        <v>11</v>
      </c>
      <c r="AI875" t="s">
        <v>716</v>
      </c>
      <c r="AJ875">
        <v>2003</v>
      </c>
      <c r="AK875" t="s">
        <v>2089</v>
      </c>
      <c r="AN875" t="s">
        <v>121</v>
      </c>
      <c r="AO875" t="s">
        <v>68</v>
      </c>
      <c r="AP875" t="s">
        <v>69</v>
      </c>
      <c r="AQ875" t="s">
        <v>2090</v>
      </c>
      <c r="AR875" t="s">
        <v>70</v>
      </c>
      <c r="AS875">
        <v>302</v>
      </c>
      <c r="AT875" t="s">
        <v>71</v>
      </c>
      <c r="AU875">
        <v>60.71</v>
      </c>
      <c r="AV875">
        <v>40.340000000000003</v>
      </c>
      <c r="AW875" t="s">
        <v>72</v>
      </c>
      <c r="AX875">
        <v>301</v>
      </c>
      <c r="AY875" t="s">
        <v>71</v>
      </c>
      <c r="AZ875">
        <v>45.51</v>
      </c>
      <c r="BA875">
        <v>32.97</v>
      </c>
      <c r="BB875" t="s">
        <v>73</v>
      </c>
    </row>
    <row r="876" spans="1:54" x14ac:dyDescent="0.4">
      <c r="A876">
        <v>1416255</v>
      </c>
      <c r="D876" t="s">
        <v>54</v>
      </c>
      <c r="I876" t="s">
        <v>57</v>
      </c>
      <c r="K876" t="s">
        <v>652</v>
      </c>
      <c r="L876" t="s">
        <v>1199</v>
      </c>
      <c r="M876" t="s">
        <v>59</v>
      </c>
      <c r="P876" t="s">
        <v>83</v>
      </c>
      <c r="R876" t="s">
        <v>84</v>
      </c>
      <c r="S876" t="s">
        <v>61</v>
      </c>
      <c r="T876">
        <v>251.2</v>
      </c>
      <c r="U876">
        <v>246.7</v>
      </c>
      <c r="V876">
        <f>(T876+U876)/2</f>
        <v>248.95</v>
      </c>
      <c r="W876">
        <f>T876-U876</f>
        <v>4.5</v>
      </c>
      <c r="X876">
        <v>55.893889999999999</v>
      </c>
      <c r="Y876">
        <v>51.283611000000001</v>
      </c>
      <c r="Z876" t="s">
        <v>396</v>
      </c>
      <c r="AA876" t="s">
        <v>139</v>
      </c>
      <c r="AB876" t="s">
        <v>316</v>
      </c>
      <c r="AD876" t="s">
        <v>2077</v>
      </c>
      <c r="AH876" t="s">
        <v>11</v>
      </c>
      <c r="AI876" t="s">
        <v>716</v>
      </c>
      <c r="AJ876">
        <v>2003</v>
      </c>
      <c r="AK876" t="s">
        <v>2091</v>
      </c>
      <c r="AN876" t="s">
        <v>121</v>
      </c>
      <c r="AO876" t="s">
        <v>68</v>
      </c>
      <c r="AP876" t="s">
        <v>69</v>
      </c>
      <c r="AQ876" t="s">
        <v>2092</v>
      </c>
      <c r="AR876" t="s">
        <v>70</v>
      </c>
      <c r="AS876">
        <v>302</v>
      </c>
      <c r="AT876" t="s">
        <v>71</v>
      </c>
      <c r="AU876">
        <v>61.38</v>
      </c>
      <c r="AV876">
        <v>39.770000000000003</v>
      </c>
      <c r="AW876" t="s">
        <v>72</v>
      </c>
      <c r="AX876">
        <v>301</v>
      </c>
      <c r="AY876" t="s">
        <v>71</v>
      </c>
      <c r="AZ876">
        <v>46.27</v>
      </c>
      <c r="BA876">
        <v>32.57</v>
      </c>
      <c r="BB876" t="s">
        <v>73</v>
      </c>
    </row>
    <row r="877" spans="1:54" x14ac:dyDescent="0.4">
      <c r="A877">
        <v>1416277</v>
      </c>
      <c r="D877" t="s">
        <v>54</v>
      </c>
      <c r="I877" t="s">
        <v>57</v>
      </c>
      <c r="K877" t="s">
        <v>652</v>
      </c>
      <c r="L877" t="s">
        <v>1199</v>
      </c>
      <c r="M877" t="s">
        <v>59</v>
      </c>
      <c r="P877" t="s">
        <v>83</v>
      </c>
      <c r="R877" t="s">
        <v>84</v>
      </c>
      <c r="S877" t="s">
        <v>61</v>
      </c>
      <c r="T877">
        <v>251.2</v>
      </c>
      <c r="U877">
        <v>246.7</v>
      </c>
      <c r="V877">
        <f>(T877+U877)/2</f>
        <v>248.95</v>
      </c>
      <c r="W877">
        <f>T877-U877</f>
        <v>4.5</v>
      </c>
      <c r="X877">
        <v>55.202221000000002</v>
      </c>
      <c r="Y877">
        <v>51.446666999999998</v>
      </c>
      <c r="Z877" t="s">
        <v>239</v>
      </c>
      <c r="AA877" t="s">
        <v>139</v>
      </c>
      <c r="AB877" t="s">
        <v>316</v>
      </c>
      <c r="AC877" t="s">
        <v>1175</v>
      </c>
      <c r="AD877" t="s">
        <v>518</v>
      </c>
      <c r="AH877" t="s">
        <v>11</v>
      </c>
      <c r="AI877" t="s">
        <v>716</v>
      </c>
      <c r="AJ877">
        <v>2003</v>
      </c>
      <c r="AK877" t="s">
        <v>2093</v>
      </c>
      <c r="AN877" t="s">
        <v>94</v>
      </c>
      <c r="AO877" t="s">
        <v>68</v>
      </c>
      <c r="AP877" t="s">
        <v>95</v>
      </c>
      <c r="AQ877" t="s">
        <v>2094</v>
      </c>
      <c r="AR877" t="s">
        <v>70</v>
      </c>
      <c r="AS877">
        <v>302</v>
      </c>
      <c r="AT877" t="s">
        <v>71</v>
      </c>
      <c r="AU877">
        <v>60.78</v>
      </c>
      <c r="AV877">
        <v>39.700000000000003</v>
      </c>
      <c r="AW877" t="s">
        <v>72</v>
      </c>
      <c r="AX877">
        <v>301</v>
      </c>
      <c r="AY877" t="s">
        <v>71</v>
      </c>
      <c r="AZ877">
        <v>45.78</v>
      </c>
      <c r="BA877">
        <v>32.369999999999997</v>
      </c>
      <c r="BB877" t="s">
        <v>73</v>
      </c>
    </row>
    <row r="878" spans="1:54" x14ac:dyDescent="0.4">
      <c r="A878">
        <v>1416278</v>
      </c>
      <c r="D878" t="s">
        <v>54</v>
      </c>
      <c r="I878" t="s">
        <v>57</v>
      </c>
      <c r="K878" t="s">
        <v>102</v>
      </c>
      <c r="L878" t="s">
        <v>307</v>
      </c>
      <c r="M878" t="s">
        <v>59</v>
      </c>
      <c r="P878" t="s">
        <v>83</v>
      </c>
      <c r="R878" t="s">
        <v>84</v>
      </c>
      <c r="S878" t="s">
        <v>61</v>
      </c>
      <c r="T878">
        <v>251.2</v>
      </c>
      <c r="U878">
        <v>246.7</v>
      </c>
      <c r="V878">
        <f>(T878+U878)/2</f>
        <v>248.95</v>
      </c>
      <c r="W878">
        <f>T878-U878</f>
        <v>4.5</v>
      </c>
      <c r="X878">
        <v>55.202221000000002</v>
      </c>
      <c r="Y878">
        <v>51.446666999999998</v>
      </c>
      <c r="Z878" t="s">
        <v>239</v>
      </c>
      <c r="AA878" t="s">
        <v>139</v>
      </c>
      <c r="AB878" t="s">
        <v>316</v>
      </c>
      <c r="AC878" t="s">
        <v>1175</v>
      </c>
      <c r="AD878" t="s">
        <v>518</v>
      </c>
      <c r="AH878" t="s">
        <v>11</v>
      </c>
      <c r="AI878" t="s">
        <v>716</v>
      </c>
      <c r="AJ878">
        <v>2003</v>
      </c>
      <c r="AK878" t="s">
        <v>2093</v>
      </c>
      <c r="AN878" t="s">
        <v>94</v>
      </c>
      <c r="AO878" t="s">
        <v>68</v>
      </c>
      <c r="AP878" t="s">
        <v>95</v>
      </c>
      <c r="AQ878" t="s">
        <v>2094</v>
      </c>
      <c r="AR878" t="s">
        <v>70</v>
      </c>
      <c r="AS878">
        <v>302</v>
      </c>
      <c r="AT878" t="s">
        <v>71</v>
      </c>
      <c r="AU878">
        <v>60.78</v>
      </c>
      <c r="AV878">
        <v>39.700000000000003</v>
      </c>
      <c r="AW878" t="s">
        <v>72</v>
      </c>
      <c r="AX878">
        <v>301</v>
      </c>
      <c r="AY878" t="s">
        <v>71</v>
      </c>
      <c r="AZ878">
        <v>45.78</v>
      </c>
      <c r="BA878">
        <v>32.369999999999997</v>
      </c>
      <c r="BB878" t="s">
        <v>73</v>
      </c>
    </row>
    <row r="879" spans="1:54" x14ac:dyDescent="0.4">
      <c r="A879">
        <v>1417106</v>
      </c>
      <c r="D879" t="s">
        <v>54</v>
      </c>
      <c r="I879" t="s">
        <v>57</v>
      </c>
      <c r="K879" t="s">
        <v>103</v>
      </c>
      <c r="L879" t="s">
        <v>2121</v>
      </c>
      <c r="M879" t="s">
        <v>59</v>
      </c>
      <c r="P879" t="s">
        <v>83</v>
      </c>
      <c r="R879" t="s">
        <v>84</v>
      </c>
      <c r="S879" t="s">
        <v>61</v>
      </c>
      <c r="T879">
        <v>251.2</v>
      </c>
      <c r="U879">
        <v>246.7</v>
      </c>
      <c r="V879">
        <f>(T879+U879)/2</f>
        <v>248.95</v>
      </c>
      <c r="W879">
        <f>T879-U879</f>
        <v>4.5</v>
      </c>
      <c r="X879">
        <v>51.779167000000001</v>
      </c>
      <c r="Y879">
        <v>52.797221999999998</v>
      </c>
      <c r="Z879" t="s">
        <v>239</v>
      </c>
      <c r="AA879" t="s">
        <v>139</v>
      </c>
      <c r="AB879" t="s">
        <v>316</v>
      </c>
      <c r="AD879" t="s">
        <v>2122</v>
      </c>
      <c r="AH879" t="s">
        <v>11</v>
      </c>
      <c r="AI879" t="s">
        <v>716</v>
      </c>
      <c r="AJ879">
        <v>2003</v>
      </c>
      <c r="AK879" t="s">
        <v>2123</v>
      </c>
      <c r="AM879" t="s">
        <v>2124</v>
      </c>
      <c r="AN879" t="s">
        <v>94</v>
      </c>
      <c r="AO879" t="s">
        <v>68</v>
      </c>
      <c r="AP879" t="s">
        <v>95</v>
      </c>
      <c r="AQ879" t="s">
        <v>2125</v>
      </c>
      <c r="AR879" t="s">
        <v>70</v>
      </c>
      <c r="AS879">
        <v>302</v>
      </c>
      <c r="AT879" t="s">
        <v>71</v>
      </c>
      <c r="AU879">
        <v>57.54</v>
      </c>
      <c r="AV879">
        <v>39.82</v>
      </c>
      <c r="AW879" t="s">
        <v>72</v>
      </c>
      <c r="AX879">
        <v>301</v>
      </c>
      <c r="AY879" t="s">
        <v>71</v>
      </c>
      <c r="AZ879">
        <v>42.9</v>
      </c>
      <c r="BA879">
        <v>31.82</v>
      </c>
      <c r="BB879" t="s">
        <v>73</v>
      </c>
    </row>
    <row r="880" spans="1:54" x14ac:dyDescent="0.4">
      <c r="A880">
        <v>1417172</v>
      </c>
      <c r="D880" t="s">
        <v>54</v>
      </c>
      <c r="I880" t="s">
        <v>57</v>
      </c>
      <c r="K880" t="s">
        <v>102</v>
      </c>
      <c r="L880" t="s">
        <v>307</v>
      </c>
      <c r="M880" t="s">
        <v>59</v>
      </c>
      <c r="P880" t="s">
        <v>83</v>
      </c>
      <c r="R880" t="s">
        <v>84</v>
      </c>
      <c r="S880" t="s">
        <v>61</v>
      </c>
      <c r="T880">
        <v>251.2</v>
      </c>
      <c r="U880">
        <v>246.7</v>
      </c>
      <c r="V880">
        <f>(T880+U880)/2</f>
        <v>248.95</v>
      </c>
      <c r="W880">
        <f>T880-U880</f>
        <v>4.5</v>
      </c>
      <c r="X880">
        <v>51.174720999999998</v>
      </c>
      <c r="Y880">
        <v>52.417499999999997</v>
      </c>
      <c r="Z880" t="s">
        <v>213</v>
      </c>
      <c r="AA880" t="s">
        <v>139</v>
      </c>
      <c r="AB880" t="s">
        <v>2067</v>
      </c>
      <c r="AC880" t="s">
        <v>2129</v>
      </c>
      <c r="AD880" t="s">
        <v>2122</v>
      </c>
      <c r="AH880" t="s">
        <v>11</v>
      </c>
      <c r="AI880" t="s">
        <v>716</v>
      </c>
      <c r="AJ880">
        <v>2003</v>
      </c>
      <c r="AK880" t="s">
        <v>2130</v>
      </c>
      <c r="AN880" t="s">
        <v>121</v>
      </c>
      <c r="AO880" t="s">
        <v>68</v>
      </c>
      <c r="AP880" t="s">
        <v>69</v>
      </c>
      <c r="AQ880" t="s">
        <v>2131</v>
      </c>
      <c r="AR880" t="s">
        <v>70</v>
      </c>
      <c r="AS880">
        <v>302</v>
      </c>
      <c r="AT880" t="s">
        <v>71</v>
      </c>
      <c r="AU880">
        <v>57.37</v>
      </c>
      <c r="AV880">
        <v>39.31</v>
      </c>
      <c r="AW880" t="s">
        <v>72</v>
      </c>
      <c r="AX880">
        <v>301</v>
      </c>
      <c r="AY880" t="s">
        <v>71</v>
      </c>
      <c r="AZ880">
        <v>42.91</v>
      </c>
      <c r="BA880">
        <v>31.3</v>
      </c>
      <c r="BB880" t="s">
        <v>73</v>
      </c>
    </row>
    <row r="881" spans="1:54" x14ac:dyDescent="0.4">
      <c r="A881">
        <v>1605531</v>
      </c>
      <c r="D881" t="s">
        <v>54</v>
      </c>
      <c r="G881">
        <v>1</v>
      </c>
      <c r="H881" t="s">
        <v>74</v>
      </c>
      <c r="I881" t="s">
        <v>57</v>
      </c>
      <c r="K881" t="s">
        <v>102</v>
      </c>
      <c r="L881" t="s">
        <v>2241</v>
      </c>
      <c r="M881" t="s">
        <v>59</v>
      </c>
      <c r="P881" t="s">
        <v>83</v>
      </c>
      <c r="R881" t="s">
        <v>84</v>
      </c>
      <c r="S881" t="s">
        <v>61</v>
      </c>
      <c r="T881">
        <v>251.2</v>
      </c>
      <c r="U881">
        <v>246.7</v>
      </c>
      <c r="V881">
        <f>(T881+U881)/2</f>
        <v>248.95</v>
      </c>
      <c r="W881">
        <f>T881-U881</f>
        <v>4.5</v>
      </c>
      <c r="X881">
        <v>105.304298</v>
      </c>
      <c r="Y881">
        <v>24.662983000000001</v>
      </c>
      <c r="Z881" t="s">
        <v>268</v>
      </c>
      <c r="AA881" t="s">
        <v>186</v>
      </c>
      <c r="AB881" t="s">
        <v>1377</v>
      </c>
      <c r="AD881" t="s">
        <v>2242</v>
      </c>
      <c r="AH881" t="s">
        <v>65</v>
      </c>
      <c r="AI881" t="s">
        <v>2243</v>
      </c>
      <c r="AJ881">
        <v>2022</v>
      </c>
      <c r="AK881" t="s">
        <v>2244</v>
      </c>
      <c r="AN881" t="s">
        <v>121</v>
      </c>
      <c r="AO881">
        <v>6</v>
      </c>
      <c r="AQ881" t="s">
        <v>2245</v>
      </c>
      <c r="AR881" t="s">
        <v>70</v>
      </c>
      <c r="AS881">
        <v>611</v>
      </c>
      <c r="AT881" t="s">
        <v>71</v>
      </c>
      <c r="AU881">
        <v>106.96</v>
      </c>
      <c r="AV881">
        <v>-13.68</v>
      </c>
      <c r="AW881" t="s">
        <v>72</v>
      </c>
      <c r="AX881">
        <v>611</v>
      </c>
      <c r="AY881" t="s">
        <v>71</v>
      </c>
      <c r="AZ881">
        <v>97.05</v>
      </c>
      <c r="BA881">
        <v>7.15</v>
      </c>
      <c r="BB881" t="s">
        <v>73</v>
      </c>
    </row>
    <row r="882" spans="1:54" x14ac:dyDescent="0.4">
      <c r="A882">
        <v>1632821</v>
      </c>
      <c r="D882" t="s">
        <v>763</v>
      </c>
      <c r="E882" t="s">
        <v>55</v>
      </c>
      <c r="G882">
        <v>1</v>
      </c>
      <c r="H882" t="s">
        <v>56</v>
      </c>
      <c r="I882" t="s">
        <v>57</v>
      </c>
      <c r="K882" t="s">
        <v>1604</v>
      </c>
      <c r="L882" t="s">
        <v>2256</v>
      </c>
      <c r="M882" t="s">
        <v>59</v>
      </c>
      <c r="P882" t="s">
        <v>83</v>
      </c>
      <c r="R882" t="s">
        <v>84</v>
      </c>
      <c r="S882" t="s">
        <v>61</v>
      </c>
      <c r="T882">
        <v>251.2</v>
      </c>
      <c r="U882">
        <v>246.7</v>
      </c>
      <c r="V882">
        <f>(T882+U882)/2</f>
        <v>248.95</v>
      </c>
      <c r="W882">
        <f>T882-U882</f>
        <v>4.5</v>
      </c>
      <c r="X882">
        <v>111.640556</v>
      </c>
      <c r="Y882">
        <v>31.060832999999999</v>
      </c>
      <c r="Z882" t="s">
        <v>465</v>
      </c>
      <c r="AA882" t="s">
        <v>186</v>
      </c>
      <c r="AB882" t="s">
        <v>1358</v>
      </c>
      <c r="AC882" t="s">
        <v>1413</v>
      </c>
      <c r="AD882" t="s">
        <v>1378</v>
      </c>
      <c r="AF882" t="s">
        <v>1414</v>
      </c>
      <c r="AH882" t="s">
        <v>65</v>
      </c>
      <c r="AI882" t="s">
        <v>2257</v>
      </c>
      <c r="AJ882">
        <v>2023</v>
      </c>
      <c r="AK882" t="s">
        <v>2258</v>
      </c>
      <c r="AN882" t="s">
        <v>94</v>
      </c>
      <c r="AO882" t="s">
        <v>68</v>
      </c>
      <c r="AQ882" t="s">
        <v>2259</v>
      </c>
      <c r="AR882" t="s">
        <v>70</v>
      </c>
      <c r="AS882">
        <v>611</v>
      </c>
      <c r="AT882" t="s">
        <v>71</v>
      </c>
      <c r="AU882">
        <v>111.81</v>
      </c>
      <c r="AV882">
        <v>-6.65</v>
      </c>
      <c r="AW882" t="s">
        <v>72</v>
      </c>
      <c r="AX882">
        <v>611</v>
      </c>
      <c r="AY882" t="s">
        <v>71</v>
      </c>
      <c r="AZ882">
        <v>97.94</v>
      </c>
      <c r="BA882">
        <v>15.6</v>
      </c>
      <c r="BB882" t="s">
        <v>73</v>
      </c>
    </row>
    <row r="883" spans="1:54" x14ac:dyDescent="0.4">
      <c r="A883" s="1" t="s">
        <v>2488</v>
      </c>
      <c r="B883" s="1"/>
      <c r="C883" s="1"/>
      <c r="D883" s="1" t="s">
        <v>54</v>
      </c>
      <c r="E883" s="1"/>
      <c r="F883" s="1" t="s">
        <v>2486</v>
      </c>
      <c r="G883" s="1">
        <v>1</v>
      </c>
      <c r="H883" s="1" t="s">
        <v>2281</v>
      </c>
      <c r="I883" s="2" t="s">
        <v>57</v>
      </c>
      <c r="J883" s="2" t="s">
        <v>2390</v>
      </c>
      <c r="K883" s="2" t="s">
        <v>80</v>
      </c>
      <c r="L883" s="3" t="s">
        <v>81</v>
      </c>
      <c r="M883" s="2" t="s">
        <v>59</v>
      </c>
      <c r="N883" s="3"/>
      <c r="O883" s="3"/>
      <c r="P883" s="2" t="s">
        <v>83</v>
      </c>
      <c r="Q883" s="2"/>
      <c r="R883" s="2" t="s">
        <v>2489</v>
      </c>
      <c r="S883" s="2" t="s">
        <v>61</v>
      </c>
      <c r="T883">
        <v>249.9</v>
      </c>
      <c r="U883">
        <v>246.7</v>
      </c>
      <c r="V883">
        <f>(T883+U883)/2</f>
        <v>248.3</v>
      </c>
      <c r="W883">
        <f>T883-U883</f>
        <v>3.2000000000000171</v>
      </c>
      <c r="X883" s="4">
        <v>-54.55</v>
      </c>
      <c r="Y883" s="4">
        <v>-29.56</v>
      </c>
      <c r="Z883" s="9"/>
      <c r="AA883" s="2" t="s">
        <v>367</v>
      </c>
      <c r="AB883" s="2" t="s">
        <v>2387</v>
      </c>
      <c r="AC883" s="2" t="s">
        <v>2490</v>
      </c>
      <c r="AD883" s="2" t="s">
        <v>1251</v>
      </c>
      <c r="AE883" s="2" t="s">
        <v>2388</v>
      </c>
      <c r="AF883" s="2" t="s">
        <v>2283</v>
      </c>
      <c r="AG883" s="3" t="s">
        <v>81</v>
      </c>
      <c r="AH883" s="3"/>
      <c r="AI883" s="2" t="s">
        <v>2283</v>
      </c>
      <c r="AJ883" s="2" t="s">
        <v>2283</v>
      </c>
      <c r="AK883" s="9" t="s">
        <v>2485</v>
      </c>
      <c r="AL883" s="10" t="s">
        <v>2491</v>
      </c>
      <c r="AM883" s="4"/>
      <c r="AN883" s="4"/>
      <c r="AO883" s="2"/>
      <c r="AP883" s="2"/>
      <c r="AQ883" s="2"/>
      <c r="AR883" s="2"/>
      <c r="AS883" s="2"/>
      <c r="AT883" s="2"/>
      <c r="AU883" s="2"/>
      <c r="AV883" s="2"/>
      <c r="AW883" s="2"/>
      <c r="AX883" s="2"/>
      <c r="AY883" s="2"/>
      <c r="AZ883" s="2"/>
      <c r="BA883" s="2"/>
      <c r="BB883" s="2"/>
    </row>
    <row r="884" spans="1:54" x14ac:dyDescent="0.4">
      <c r="A884" s="1" t="s">
        <v>2492</v>
      </c>
      <c r="B884" s="1"/>
      <c r="C884" s="1"/>
      <c r="D884" s="1" t="s">
        <v>54</v>
      </c>
      <c r="E884" s="1"/>
      <c r="F884" s="1" t="s">
        <v>2283</v>
      </c>
      <c r="G884" s="1">
        <v>1</v>
      </c>
      <c r="H884" s="1" t="s">
        <v>2281</v>
      </c>
      <c r="I884" s="2" t="s">
        <v>57</v>
      </c>
      <c r="J884" s="2" t="s">
        <v>2390</v>
      </c>
      <c r="K884" s="2" t="s">
        <v>80</v>
      </c>
      <c r="L884" s="3" t="s">
        <v>81</v>
      </c>
      <c r="M884" s="2" t="s">
        <v>59</v>
      </c>
      <c r="N884" s="3"/>
      <c r="O884" s="3"/>
      <c r="P884" s="2" t="s">
        <v>83</v>
      </c>
      <c r="Q884" s="2"/>
      <c r="R884" s="2" t="s">
        <v>2489</v>
      </c>
      <c r="S884" s="2" t="s">
        <v>61</v>
      </c>
      <c r="T884">
        <v>249.9</v>
      </c>
      <c r="U884">
        <v>246.7</v>
      </c>
      <c r="V884">
        <f>(T884+U884)/2</f>
        <v>248.3</v>
      </c>
      <c r="W884">
        <f>T884-U884</f>
        <v>3.2000000000000171</v>
      </c>
      <c r="X884" s="4">
        <v>-55</v>
      </c>
      <c r="Y884" s="4">
        <v>-30.17</v>
      </c>
      <c r="Z884" s="2"/>
      <c r="AA884" s="2" t="s">
        <v>367</v>
      </c>
      <c r="AB884" s="2" t="s">
        <v>2387</v>
      </c>
      <c r="AC884" s="2" t="s">
        <v>2283</v>
      </c>
      <c r="AD884" s="2" t="s">
        <v>1251</v>
      </c>
      <c r="AE884" s="2" t="s">
        <v>2388</v>
      </c>
      <c r="AF884" s="2" t="s">
        <v>2283</v>
      </c>
      <c r="AG884" s="3" t="s">
        <v>81</v>
      </c>
      <c r="AH884" s="3"/>
      <c r="AI884" s="2" t="s">
        <v>2484</v>
      </c>
      <c r="AJ884" s="2">
        <v>2022</v>
      </c>
      <c r="AK884" s="9" t="s">
        <v>2493</v>
      </c>
      <c r="AL884" s="10" t="s">
        <v>2494</v>
      </c>
      <c r="AM884" s="4"/>
      <c r="AN884" s="4"/>
      <c r="AO884" s="2"/>
      <c r="AP884" s="2"/>
      <c r="AQ884" s="2"/>
      <c r="AR884" s="2"/>
      <c r="AS884" s="2"/>
      <c r="AT884" s="2"/>
      <c r="AU884" s="2"/>
      <c r="AV884" s="2"/>
      <c r="AW884" s="2"/>
      <c r="AX884" s="2"/>
      <c r="AY884" s="2"/>
      <c r="AZ884" s="2"/>
      <c r="BA884" s="2"/>
      <c r="BB884" s="2"/>
    </row>
    <row r="885" spans="1:54" x14ac:dyDescent="0.4">
      <c r="A885" s="1" t="s">
        <v>2495</v>
      </c>
      <c r="B885" s="1"/>
      <c r="C885" s="1"/>
      <c r="D885" s="1" t="s">
        <v>54</v>
      </c>
      <c r="E885" s="1"/>
      <c r="F885" s="1" t="s">
        <v>2496</v>
      </c>
      <c r="G885" s="1">
        <v>1</v>
      </c>
      <c r="H885" s="1" t="s">
        <v>2281</v>
      </c>
      <c r="I885" s="2" t="s">
        <v>57</v>
      </c>
      <c r="J885" s="2" t="s">
        <v>2390</v>
      </c>
      <c r="K885" s="2" t="s">
        <v>80</v>
      </c>
      <c r="L885" s="3" t="s">
        <v>81</v>
      </c>
      <c r="M885" s="2" t="s">
        <v>59</v>
      </c>
      <c r="N885" s="3"/>
      <c r="O885" s="3"/>
      <c r="P885" s="2" t="s">
        <v>83</v>
      </c>
      <c r="Q885" s="2"/>
      <c r="R885" s="2" t="s">
        <v>2489</v>
      </c>
      <c r="S885" s="2" t="s">
        <v>61</v>
      </c>
      <c r="T885">
        <v>249.9</v>
      </c>
      <c r="U885">
        <v>246.7</v>
      </c>
      <c r="V885">
        <f>(T885+U885)/2</f>
        <v>248.3</v>
      </c>
      <c r="W885">
        <f>T885-U885</f>
        <v>3.2000000000000171</v>
      </c>
      <c r="X885" s="4">
        <v>-54.55</v>
      </c>
      <c r="Y885" s="4">
        <v>-29.56</v>
      </c>
      <c r="Z885" s="9"/>
      <c r="AA885" s="2" t="s">
        <v>367</v>
      </c>
      <c r="AB885" s="2" t="s">
        <v>2387</v>
      </c>
      <c r="AC885" s="2" t="s">
        <v>2490</v>
      </c>
      <c r="AD885" s="2" t="s">
        <v>1251</v>
      </c>
      <c r="AE885" s="2" t="s">
        <v>2388</v>
      </c>
      <c r="AF885" s="2" t="s">
        <v>2283</v>
      </c>
      <c r="AG885" s="3" t="s">
        <v>81</v>
      </c>
      <c r="AH885" s="3"/>
      <c r="AI885" s="2" t="s">
        <v>2497</v>
      </c>
      <c r="AJ885" s="2">
        <v>2017</v>
      </c>
      <c r="AK885" s="9" t="s">
        <v>2389</v>
      </c>
      <c r="AL885" s="10" t="s">
        <v>2498</v>
      </c>
      <c r="AM885" s="4"/>
      <c r="AN885" s="4"/>
      <c r="AO885" s="2"/>
      <c r="AP885" s="2"/>
      <c r="AQ885" s="2"/>
      <c r="AR885" s="2"/>
      <c r="AS885" s="2"/>
      <c r="AT885" s="2"/>
      <c r="AU885" s="2"/>
      <c r="AV885" s="2"/>
      <c r="AW885" s="2"/>
      <c r="AX885" s="2"/>
      <c r="AY885" s="2"/>
      <c r="AZ885" s="2"/>
      <c r="BA885" s="2"/>
      <c r="BB885" s="2"/>
    </row>
    <row r="886" spans="1:54" x14ac:dyDescent="0.4">
      <c r="A886" s="1" t="s">
        <v>2499</v>
      </c>
      <c r="B886" s="1"/>
      <c r="C886" s="1"/>
      <c r="D886" s="1" t="s">
        <v>54</v>
      </c>
      <c r="E886" s="1"/>
      <c r="F886" s="1" t="s">
        <v>2283</v>
      </c>
      <c r="G886" s="1">
        <v>1</v>
      </c>
      <c r="H886" s="1" t="s">
        <v>2281</v>
      </c>
      <c r="I886" s="2" t="s">
        <v>57</v>
      </c>
      <c r="J886" s="2" t="s">
        <v>2390</v>
      </c>
      <c r="K886" s="2" t="s">
        <v>80</v>
      </c>
      <c r="L886" s="3" t="s">
        <v>81</v>
      </c>
      <c r="M886" s="2" t="s">
        <v>59</v>
      </c>
      <c r="N886" s="3"/>
      <c r="O886" s="3"/>
      <c r="P886" s="2" t="s">
        <v>83</v>
      </c>
      <c r="Q886" s="2"/>
      <c r="R886" s="2" t="s">
        <v>2489</v>
      </c>
      <c r="S886" s="2" t="s">
        <v>61</v>
      </c>
      <c r="T886">
        <v>249.9</v>
      </c>
      <c r="U886">
        <v>246.7</v>
      </c>
      <c r="V886">
        <f>(T886+U886)/2</f>
        <v>248.3</v>
      </c>
      <c r="W886">
        <f>T886-U886</f>
        <v>3.2000000000000171</v>
      </c>
      <c r="X886" s="4">
        <v>-54.55</v>
      </c>
      <c r="Y886" s="4">
        <v>-29.56</v>
      </c>
      <c r="Z886" s="9"/>
      <c r="AA886" s="2" t="s">
        <v>367</v>
      </c>
      <c r="AB886" s="2" t="s">
        <v>2387</v>
      </c>
      <c r="AC886" s="2" t="s">
        <v>2490</v>
      </c>
      <c r="AD886" s="2" t="s">
        <v>1251</v>
      </c>
      <c r="AE886" s="2" t="s">
        <v>2388</v>
      </c>
      <c r="AF886" s="2" t="s">
        <v>2283</v>
      </c>
      <c r="AG886" s="3" t="s">
        <v>81</v>
      </c>
      <c r="AH886" s="3"/>
      <c r="AI886" s="2" t="s">
        <v>2497</v>
      </c>
      <c r="AJ886" s="2">
        <v>2017</v>
      </c>
      <c r="AK886" s="9" t="s">
        <v>2483</v>
      </c>
      <c r="AL886" s="10" t="s">
        <v>2500</v>
      </c>
      <c r="AM886" s="4"/>
      <c r="AN886" s="4"/>
      <c r="AO886" s="2"/>
      <c r="AP886" s="2"/>
      <c r="AQ886" s="2"/>
      <c r="AR886" s="2"/>
      <c r="AS886" s="2"/>
      <c r="AT886" s="2"/>
      <c r="AU886" s="2"/>
      <c r="AV886" s="2"/>
      <c r="AW886" s="2"/>
      <c r="AX886" s="2"/>
      <c r="AY886" s="2"/>
      <c r="AZ886" s="2"/>
      <c r="BA886" s="2"/>
      <c r="BB886" s="2"/>
    </row>
    <row r="887" spans="1:54" x14ac:dyDescent="0.4">
      <c r="A887" s="1" t="s">
        <v>2501</v>
      </c>
      <c r="B887" s="1"/>
      <c r="C887" s="1"/>
      <c r="D887" s="1" t="s">
        <v>54</v>
      </c>
      <c r="E887" s="1"/>
      <c r="F887" s="1" t="s">
        <v>2283</v>
      </c>
      <c r="G887" s="1">
        <v>1</v>
      </c>
      <c r="H887" s="1" t="s">
        <v>2281</v>
      </c>
      <c r="I887" s="2" t="s">
        <v>57</v>
      </c>
      <c r="J887" s="2" t="s">
        <v>2390</v>
      </c>
      <c r="K887" s="2" t="s">
        <v>80</v>
      </c>
      <c r="L887" s="3" t="s">
        <v>81</v>
      </c>
      <c r="M887" s="2" t="s">
        <v>59</v>
      </c>
      <c r="N887" s="3"/>
      <c r="O887" s="3"/>
      <c r="P887" s="2" t="s">
        <v>83</v>
      </c>
      <c r="Q887" s="2"/>
      <c r="R887" s="2" t="s">
        <v>2489</v>
      </c>
      <c r="S887" s="2" t="s">
        <v>61</v>
      </c>
      <c r="T887">
        <v>249.9</v>
      </c>
      <c r="U887">
        <v>246.7</v>
      </c>
      <c r="V887">
        <f>(T887+U887)/2</f>
        <v>248.3</v>
      </c>
      <c r="W887">
        <f>T887-U887</f>
        <v>3.2000000000000171</v>
      </c>
      <c r="X887" s="4">
        <v>-54.39</v>
      </c>
      <c r="Y887" s="4">
        <v>-29.62</v>
      </c>
      <c r="Z887" s="2"/>
      <c r="AA887" s="2" t="s">
        <v>367</v>
      </c>
      <c r="AB887" s="2" t="s">
        <v>2387</v>
      </c>
      <c r="AC887" s="2" t="s">
        <v>2283</v>
      </c>
      <c r="AD887" s="2" t="s">
        <v>1251</v>
      </c>
      <c r="AE887" s="2" t="s">
        <v>2388</v>
      </c>
      <c r="AF887" s="2" t="s">
        <v>2283</v>
      </c>
      <c r="AG887" s="3" t="s">
        <v>81</v>
      </c>
      <c r="AH887" s="3"/>
      <c r="AI887" s="2" t="s">
        <v>2497</v>
      </c>
      <c r="AJ887" s="2">
        <v>2017</v>
      </c>
      <c r="AK887" s="9" t="s">
        <v>2493</v>
      </c>
      <c r="AL887" s="10" t="s">
        <v>2502</v>
      </c>
      <c r="AM887" s="4"/>
      <c r="AN887" s="4"/>
      <c r="AO887" s="2"/>
      <c r="AP887" s="2"/>
      <c r="AQ887" s="2"/>
      <c r="AR887" s="2"/>
      <c r="AS887" s="2"/>
      <c r="AT887" s="2"/>
      <c r="AU887" s="2"/>
      <c r="AV887" s="2"/>
      <c r="AW887" s="2"/>
      <c r="AX887" s="2"/>
      <c r="AY887" s="2"/>
      <c r="AZ887" s="2"/>
      <c r="BA887" s="2"/>
      <c r="BB887" s="2"/>
    </row>
    <row r="888" spans="1:54" x14ac:dyDescent="0.4">
      <c r="A888" s="1" t="s">
        <v>2503</v>
      </c>
      <c r="B888" s="1"/>
      <c r="C888" s="1"/>
      <c r="D888" s="1" t="s">
        <v>54</v>
      </c>
      <c r="E888" s="1"/>
      <c r="F888" s="1" t="s">
        <v>2283</v>
      </c>
      <c r="G888" s="1">
        <v>1</v>
      </c>
      <c r="H888" s="1" t="s">
        <v>2281</v>
      </c>
      <c r="I888" s="2" t="s">
        <v>57</v>
      </c>
      <c r="J888" s="2" t="s">
        <v>2390</v>
      </c>
      <c r="K888" s="2" t="s">
        <v>80</v>
      </c>
      <c r="L888" s="3" t="s">
        <v>81</v>
      </c>
      <c r="M888" s="2" t="s">
        <v>59</v>
      </c>
      <c r="N888" s="3"/>
      <c r="O888" s="3"/>
      <c r="P888" s="2" t="s">
        <v>83</v>
      </c>
      <c r="Q888" s="2"/>
      <c r="R888" s="2" t="s">
        <v>2489</v>
      </c>
      <c r="S888" s="2" t="s">
        <v>61</v>
      </c>
      <c r="T888">
        <v>249.9</v>
      </c>
      <c r="U888">
        <v>246.7</v>
      </c>
      <c r="V888">
        <f>(T888+U888)/2</f>
        <v>248.3</v>
      </c>
      <c r="W888">
        <f>T888-U888</f>
        <v>3.2000000000000171</v>
      </c>
      <c r="X888" s="4">
        <v>-54.39</v>
      </c>
      <c r="Y888" s="4">
        <v>-29.62</v>
      </c>
      <c r="Z888" s="2"/>
      <c r="AA888" s="2" t="s">
        <v>367</v>
      </c>
      <c r="AB888" s="2" t="s">
        <v>2387</v>
      </c>
      <c r="AC888" s="2" t="s">
        <v>2283</v>
      </c>
      <c r="AD888" s="2" t="s">
        <v>1251</v>
      </c>
      <c r="AE888" s="2" t="s">
        <v>2388</v>
      </c>
      <c r="AF888" s="2" t="s">
        <v>2283</v>
      </c>
      <c r="AG888" s="3" t="s">
        <v>81</v>
      </c>
      <c r="AH888" s="3"/>
      <c r="AI888" s="2" t="s">
        <v>2497</v>
      </c>
      <c r="AJ888" s="2">
        <v>2017</v>
      </c>
      <c r="AK888" s="9" t="s">
        <v>2493</v>
      </c>
      <c r="AL888" s="10" t="s">
        <v>2504</v>
      </c>
      <c r="AM888" s="4"/>
      <c r="AN888" s="4"/>
      <c r="AO888" s="2"/>
      <c r="AP888" s="2"/>
      <c r="AQ888" s="2"/>
      <c r="AR888" s="2"/>
      <c r="AS888" s="2"/>
      <c r="AT888" s="2"/>
      <c r="AU888" s="2"/>
      <c r="AV888" s="2"/>
      <c r="AW888" s="2"/>
      <c r="AX888" s="2"/>
      <c r="AY888" s="2"/>
      <c r="AZ888" s="2"/>
      <c r="BA888" s="2"/>
      <c r="BB888" s="2"/>
    </row>
    <row r="889" spans="1:54" x14ac:dyDescent="0.4">
      <c r="A889" s="1" t="s">
        <v>2505</v>
      </c>
      <c r="B889" s="1"/>
      <c r="C889" s="1"/>
      <c r="D889" s="1" t="s">
        <v>54</v>
      </c>
      <c r="E889" s="1"/>
      <c r="F889" s="1" t="s">
        <v>2506</v>
      </c>
      <c r="G889" s="1">
        <v>1</v>
      </c>
      <c r="H889" s="1" t="s">
        <v>2281</v>
      </c>
      <c r="I889" s="2" t="s">
        <v>57</v>
      </c>
      <c r="J889" s="2" t="s">
        <v>2390</v>
      </c>
      <c r="K889" s="2" t="s">
        <v>80</v>
      </c>
      <c r="L889" s="2" t="s">
        <v>81</v>
      </c>
      <c r="M889" s="2" t="s">
        <v>59</v>
      </c>
      <c r="N889" s="2"/>
      <c r="O889" s="2"/>
      <c r="P889" s="2" t="s">
        <v>83</v>
      </c>
      <c r="Q889" s="2"/>
      <c r="R889" s="2" t="s">
        <v>2489</v>
      </c>
      <c r="S889" s="2" t="s">
        <v>61</v>
      </c>
      <c r="T889">
        <v>249.9</v>
      </c>
      <c r="U889">
        <v>246.7</v>
      </c>
      <c r="V889">
        <f>(T889+U889)/2</f>
        <v>248.3</v>
      </c>
      <c r="W889">
        <f>T889-U889</f>
        <v>3.2000000000000171</v>
      </c>
      <c r="X889" s="4">
        <v>-54.23</v>
      </c>
      <c r="Y889" s="4">
        <v>-29.83</v>
      </c>
      <c r="Z889" s="2"/>
      <c r="AA889" s="2" t="s">
        <v>367</v>
      </c>
      <c r="AB889" s="2" t="s">
        <v>2387</v>
      </c>
      <c r="AC889" s="2" t="s">
        <v>2283</v>
      </c>
      <c r="AD889" s="2" t="s">
        <v>1251</v>
      </c>
      <c r="AE889" s="2" t="s">
        <v>2388</v>
      </c>
      <c r="AF889" s="2" t="s">
        <v>2283</v>
      </c>
      <c r="AG889" s="3" t="s">
        <v>81</v>
      </c>
      <c r="AH889" s="3"/>
      <c r="AI889" s="2" t="s">
        <v>2484</v>
      </c>
      <c r="AJ889" s="2">
        <v>2022</v>
      </c>
      <c r="AK889" s="9" t="s">
        <v>2493</v>
      </c>
      <c r="AL889" s="10" t="s">
        <v>2507</v>
      </c>
      <c r="AM889" s="4"/>
      <c r="AN889" s="4"/>
      <c r="AO889" s="2"/>
      <c r="AP889" s="2"/>
      <c r="AQ889" s="2"/>
      <c r="AR889" s="2"/>
      <c r="AS889" s="2"/>
      <c r="AT889" s="2"/>
      <c r="AU889" s="2"/>
      <c r="AV889" s="2"/>
      <c r="AW889" s="2"/>
      <c r="AX889" s="2"/>
      <c r="AY889" s="2"/>
      <c r="AZ889" s="2"/>
      <c r="BA889" s="2"/>
      <c r="BB889" s="2"/>
    </row>
    <row r="890" spans="1:54" x14ac:dyDescent="0.4">
      <c r="A890" s="1" t="s">
        <v>2508</v>
      </c>
      <c r="B890" s="1"/>
      <c r="C890" s="1"/>
      <c r="D890" s="1" t="s">
        <v>54</v>
      </c>
      <c r="E890" s="1"/>
      <c r="F890" s="1" t="s">
        <v>2509</v>
      </c>
      <c r="G890" s="1">
        <v>1</v>
      </c>
      <c r="H890" s="1" t="s">
        <v>2281</v>
      </c>
      <c r="I890" s="2" t="s">
        <v>57</v>
      </c>
      <c r="J890" s="2" t="s">
        <v>2390</v>
      </c>
      <c r="K890" s="2" t="s">
        <v>80</v>
      </c>
      <c r="L890" s="2" t="s">
        <v>81</v>
      </c>
      <c r="M890" s="2" t="s">
        <v>59</v>
      </c>
      <c r="N890" s="2"/>
      <c r="O890" s="2"/>
      <c r="P890" s="2" t="s">
        <v>83</v>
      </c>
      <c r="Q890" s="2"/>
      <c r="R890" s="2" t="s">
        <v>2489</v>
      </c>
      <c r="S890" s="2" t="s">
        <v>61</v>
      </c>
      <c r="T890">
        <v>249.9</v>
      </c>
      <c r="U890">
        <v>246.7</v>
      </c>
      <c r="V890">
        <f>(T890+U890)/2</f>
        <v>248.3</v>
      </c>
      <c r="W890">
        <f>T890-U890</f>
        <v>3.2000000000000171</v>
      </c>
      <c r="X890" s="4">
        <v>-54.23</v>
      </c>
      <c r="Y890" s="4">
        <v>-29.83</v>
      </c>
      <c r="Z890" s="2"/>
      <c r="AA890" s="2" t="s">
        <v>367</v>
      </c>
      <c r="AB890" s="2" t="s">
        <v>2387</v>
      </c>
      <c r="AC890" s="2" t="s">
        <v>2283</v>
      </c>
      <c r="AD890" s="2" t="s">
        <v>1251</v>
      </c>
      <c r="AE890" s="2" t="s">
        <v>2388</v>
      </c>
      <c r="AF890" s="2" t="s">
        <v>2283</v>
      </c>
      <c r="AG890" s="3" t="s">
        <v>81</v>
      </c>
      <c r="AH890" s="3"/>
      <c r="AI890" s="2" t="s">
        <v>2484</v>
      </c>
      <c r="AJ890" s="2">
        <v>2022</v>
      </c>
      <c r="AK890" s="9" t="s">
        <v>2493</v>
      </c>
      <c r="AL890" s="10" t="s">
        <v>2510</v>
      </c>
      <c r="AM890" s="4"/>
      <c r="AN890" s="4"/>
      <c r="AO890" s="2"/>
      <c r="AP890" s="2"/>
      <c r="AQ890" s="2"/>
      <c r="AR890" s="2"/>
      <c r="AS890" s="2"/>
      <c r="AT890" s="2"/>
      <c r="AU890" s="2"/>
      <c r="AV890" s="2"/>
      <c r="AW890" s="2"/>
      <c r="AX890" s="2"/>
      <c r="AY890" s="2"/>
      <c r="AZ890" s="2"/>
      <c r="BA890" s="2"/>
      <c r="BB890" s="2"/>
    </row>
    <row r="891" spans="1:54" x14ac:dyDescent="0.4">
      <c r="A891" s="1" t="s">
        <v>2511</v>
      </c>
      <c r="B891" s="1"/>
      <c r="C891" s="1"/>
      <c r="D891" s="1" t="s">
        <v>54</v>
      </c>
      <c r="E891" s="1"/>
      <c r="F891" s="20" t="s">
        <v>2512</v>
      </c>
      <c r="G891" s="1">
        <v>1</v>
      </c>
      <c r="H891" s="1" t="s">
        <v>2281</v>
      </c>
      <c r="I891" s="2" t="s">
        <v>57</v>
      </c>
      <c r="J891" s="2" t="s">
        <v>2390</v>
      </c>
      <c r="K891" s="2" t="s">
        <v>80</v>
      </c>
      <c r="L891" s="2" t="s">
        <v>81</v>
      </c>
      <c r="M891" s="2" t="s">
        <v>59</v>
      </c>
      <c r="N891" s="2"/>
      <c r="O891" s="2"/>
      <c r="P891" s="2" t="s">
        <v>83</v>
      </c>
      <c r="Q891" s="2"/>
      <c r="R891" s="2" t="s">
        <v>2489</v>
      </c>
      <c r="S891" s="2" t="s">
        <v>61</v>
      </c>
      <c r="T891">
        <v>249.9</v>
      </c>
      <c r="U891">
        <v>246.7</v>
      </c>
      <c r="V891">
        <f>(T891+U891)/2</f>
        <v>248.3</v>
      </c>
      <c r="W891">
        <f>T891-U891</f>
        <v>3.2000000000000171</v>
      </c>
      <c r="X891" s="4">
        <v>-55.05</v>
      </c>
      <c r="Y891" s="4">
        <v>-29.62</v>
      </c>
      <c r="Z891" s="2"/>
      <c r="AA891" s="2" t="s">
        <v>367</v>
      </c>
      <c r="AB891" s="2" t="s">
        <v>2387</v>
      </c>
      <c r="AC891" s="2" t="s">
        <v>2513</v>
      </c>
      <c r="AD891" s="2" t="s">
        <v>1251</v>
      </c>
      <c r="AE891" s="2" t="s">
        <v>2388</v>
      </c>
      <c r="AF891" s="2" t="s">
        <v>2283</v>
      </c>
      <c r="AG891" s="3" t="s">
        <v>81</v>
      </c>
      <c r="AH891" s="3"/>
      <c r="AI891" s="2" t="s">
        <v>2484</v>
      </c>
      <c r="AJ891" s="2">
        <v>2022</v>
      </c>
      <c r="AK891" s="9" t="s">
        <v>2493</v>
      </c>
      <c r="AL891" s="10" t="s">
        <v>2514</v>
      </c>
      <c r="AM891" s="4"/>
      <c r="AN891" s="4"/>
      <c r="AO891" s="2"/>
      <c r="AP891" s="2"/>
      <c r="AQ891" s="2"/>
      <c r="AR891" s="2"/>
      <c r="AS891" s="2"/>
      <c r="AT891" s="2"/>
      <c r="AU891" s="2"/>
      <c r="AV891" s="2"/>
      <c r="AW891" s="2"/>
      <c r="AX891" s="2"/>
      <c r="AY891" s="2"/>
      <c r="AZ891" s="2"/>
      <c r="BA891" s="2"/>
      <c r="BB891" s="2"/>
    </row>
    <row r="892" spans="1:54" x14ac:dyDescent="0.4">
      <c r="A892" s="1" t="s">
        <v>2515</v>
      </c>
      <c r="B892" s="1"/>
      <c r="C892" s="1"/>
      <c r="D892" s="1" t="s">
        <v>54</v>
      </c>
      <c r="E892" s="1"/>
      <c r="F892" s="20" t="s">
        <v>2512</v>
      </c>
      <c r="G892" s="1">
        <v>1</v>
      </c>
      <c r="H892" s="1" t="s">
        <v>2281</v>
      </c>
      <c r="I892" s="2" t="s">
        <v>57</v>
      </c>
      <c r="J892" s="2" t="s">
        <v>2390</v>
      </c>
      <c r="K892" s="2" t="s">
        <v>80</v>
      </c>
      <c r="L892" s="2" t="s">
        <v>81</v>
      </c>
      <c r="M892" s="2" t="s">
        <v>59</v>
      </c>
      <c r="N892" s="2"/>
      <c r="O892" s="2"/>
      <c r="P892" s="2" t="s">
        <v>83</v>
      </c>
      <c r="Q892" s="2"/>
      <c r="R892" s="2" t="s">
        <v>2489</v>
      </c>
      <c r="S892" s="2" t="s">
        <v>61</v>
      </c>
      <c r="T892">
        <v>249.9</v>
      </c>
      <c r="U892">
        <v>246.7</v>
      </c>
      <c r="V892">
        <f>(T892+U892)/2</f>
        <v>248.3</v>
      </c>
      <c r="W892">
        <f>T892-U892</f>
        <v>3.2000000000000171</v>
      </c>
      <c r="X892" s="4">
        <v>-55.05</v>
      </c>
      <c r="Y892" s="4">
        <v>-29.62</v>
      </c>
      <c r="Z892" s="2"/>
      <c r="AA892" s="2" t="s">
        <v>367</v>
      </c>
      <c r="AB892" s="2" t="s">
        <v>2387</v>
      </c>
      <c r="AC892" s="2" t="s">
        <v>2513</v>
      </c>
      <c r="AD892" s="2" t="s">
        <v>1251</v>
      </c>
      <c r="AE892" s="2" t="s">
        <v>2388</v>
      </c>
      <c r="AF892" s="2" t="s">
        <v>2283</v>
      </c>
      <c r="AG892" s="3" t="s">
        <v>81</v>
      </c>
      <c r="AH892" s="3"/>
      <c r="AI892" s="2" t="s">
        <v>2484</v>
      </c>
      <c r="AJ892" s="2">
        <v>2022</v>
      </c>
      <c r="AK892" s="9" t="s">
        <v>2493</v>
      </c>
      <c r="AL892" s="10" t="s">
        <v>2516</v>
      </c>
      <c r="AM892" s="4"/>
      <c r="AN892" s="4"/>
      <c r="AO892" s="2"/>
      <c r="AP892" s="2"/>
      <c r="AQ892" s="2"/>
      <c r="AR892" s="2"/>
      <c r="AS892" s="2"/>
      <c r="AT892" s="2"/>
      <c r="AU892" s="2"/>
      <c r="AV892" s="2"/>
      <c r="AW892" s="2"/>
      <c r="AX892" s="2"/>
      <c r="AY892" s="2"/>
      <c r="AZ892" s="2"/>
      <c r="BA892" s="2"/>
      <c r="BB892" s="2"/>
    </row>
    <row r="893" spans="1:54" x14ac:dyDescent="0.4">
      <c r="A893" s="1" t="s">
        <v>2517</v>
      </c>
      <c r="B893" s="1"/>
      <c r="C893" s="1"/>
      <c r="D893" s="1" t="s">
        <v>54</v>
      </c>
      <c r="E893" s="1"/>
      <c r="F893" s="20" t="s">
        <v>2512</v>
      </c>
      <c r="G893" s="1">
        <v>1</v>
      </c>
      <c r="H893" s="1" t="s">
        <v>2281</v>
      </c>
      <c r="I893" s="2" t="s">
        <v>57</v>
      </c>
      <c r="J893" s="2" t="s">
        <v>2390</v>
      </c>
      <c r="K893" s="2" t="s">
        <v>80</v>
      </c>
      <c r="L893" s="2" t="s">
        <v>81</v>
      </c>
      <c r="M893" s="2" t="s">
        <v>59</v>
      </c>
      <c r="N893" s="2"/>
      <c r="O893" s="2"/>
      <c r="P893" s="2" t="s">
        <v>83</v>
      </c>
      <c r="Q893" s="2"/>
      <c r="R893" s="2" t="s">
        <v>2489</v>
      </c>
      <c r="S893" s="2" t="s">
        <v>61</v>
      </c>
      <c r="T893">
        <v>249.9</v>
      </c>
      <c r="U893">
        <v>246.7</v>
      </c>
      <c r="V893">
        <f>(T893+U893)/2</f>
        <v>248.3</v>
      </c>
      <c r="W893">
        <f>T893-U893</f>
        <v>3.2000000000000171</v>
      </c>
      <c r="X893" s="4">
        <v>-55.05</v>
      </c>
      <c r="Y893" s="4">
        <v>-29.62</v>
      </c>
      <c r="Z893" s="2"/>
      <c r="AA893" s="2" t="s">
        <v>367</v>
      </c>
      <c r="AB893" s="2" t="s">
        <v>2387</v>
      </c>
      <c r="AC893" s="2" t="s">
        <v>2513</v>
      </c>
      <c r="AD893" s="2" t="s">
        <v>1251</v>
      </c>
      <c r="AE893" s="2" t="s">
        <v>2388</v>
      </c>
      <c r="AF893" s="2" t="s">
        <v>2283</v>
      </c>
      <c r="AG893" s="3" t="s">
        <v>81</v>
      </c>
      <c r="AH893" s="3"/>
      <c r="AI893" s="2" t="s">
        <v>2484</v>
      </c>
      <c r="AJ893" s="2">
        <v>2022</v>
      </c>
      <c r="AK893" s="9" t="s">
        <v>2493</v>
      </c>
      <c r="AL893" s="10" t="s">
        <v>2518</v>
      </c>
      <c r="AM893" s="4"/>
      <c r="AN893" s="4"/>
      <c r="AO893" s="2"/>
      <c r="AP893" s="2"/>
      <c r="AQ893" s="2"/>
      <c r="AR893" s="2"/>
      <c r="AS893" s="2"/>
      <c r="AT893" s="2"/>
      <c r="AU893" s="2"/>
      <c r="AV893" s="2"/>
      <c r="AW893" s="2"/>
      <c r="AX893" s="2"/>
      <c r="AY893" s="2"/>
      <c r="AZ893" s="2"/>
      <c r="BA893" s="2"/>
      <c r="BB893" s="2"/>
    </row>
    <row r="894" spans="1:54" x14ac:dyDescent="0.4">
      <c r="A894" s="1" t="s">
        <v>2519</v>
      </c>
      <c r="B894" s="1"/>
      <c r="C894" s="1"/>
      <c r="D894" s="1" t="s">
        <v>54</v>
      </c>
      <c r="E894" s="1"/>
      <c r="F894" s="20" t="s">
        <v>2512</v>
      </c>
      <c r="G894" s="1">
        <v>1</v>
      </c>
      <c r="H894" s="1" t="s">
        <v>2281</v>
      </c>
      <c r="I894" s="2" t="s">
        <v>57</v>
      </c>
      <c r="J894" s="2" t="s">
        <v>2390</v>
      </c>
      <c r="K894" s="2" t="s">
        <v>80</v>
      </c>
      <c r="L894" s="2" t="s">
        <v>81</v>
      </c>
      <c r="M894" s="2" t="s">
        <v>59</v>
      </c>
      <c r="N894" s="2"/>
      <c r="O894" s="2"/>
      <c r="P894" s="2" t="s">
        <v>83</v>
      </c>
      <c r="Q894" s="2"/>
      <c r="R894" s="2" t="s">
        <v>2489</v>
      </c>
      <c r="S894" s="2" t="s">
        <v>61</v>
      </c>
      <c r="T894">
        <v>249.9</v>
      </c>
      <c r="U894">
        <v>246.7</v>
      </c>
      <c r="V894">
        <f>(T894+U894)/2</f>
        <v>248.3</v>
      </c>
      <c r="W894">
        <f>T894-U894</f>
        <v>3.2000000000000171</v>
      </c>
      <c r="X894" s="4">
        <v>-55.05</v>
      </c>
      <c r="Y894" s="4">
        <v>-29.62</v>
      </c>
      <c r="Z894" s="2"/>
      <c r="AA894" s="2" t="s">
        <v>367</v>
      </c>
      <c r="AB894" s="2" t="s">
        <v>2387</v>
      </c>
      <c r="AC894" s="2" t="s">
        <v>2513</v>
      </c>
      <c r="AD894" s="2" t="s">
        <v>1251</v>
      </c>
      <c r="AE894" s="2" t="s">
        <v>2388</v>
      </c>
      <c r="AF894" s="2" t="s">
        <v>2283</v>
      </c>
      <c r="AG894" s="3" t="s">
        <v>81</v>
      </c>
      <c r="AH894" s="3"/>
      <c r="AI894" s="2" t="s">
        <v>2484</v>
      </c>
      <c r="AJ894" s="2">
        <v>2022</v>
      </c>
      <c r="AK894" s="9" t="s">
        <v>2493</v>
      </c>
      <c r="AL894" s="10" t="s">
        <v>2520</v>
      </c>
      <c r="AM894" s="4"/>
      <c r="AN894" s="4"/>
      <c r="AO894" s="2"/>
      <c r="AP894" s="2"/>
      <c r="AQ894" s="2"/>
      <c r="AR894" s="2"/>
      <c r="AS894" s="2"/>
      <c r="AT894" s="2"/>
      <c r="AU894" s="2"/>
      <c r="AV894" s="2"/>
      <c r="AW894" s="2"/>
      <c r="AX894" s="2"/>
      <c r="AY894" s="2"/>
      <c r="AZ894" s="2"/>
      <c r="BA894" s="2"/>
      <c r="BB894" s="2"/>
    </row>
    <row r="895" spans="1:54" x14ac:dyDescent="0.4">
      <c r="A895" s="1" t="s">
        <v>2521</v>
      </c>
      <c r="B895" s="1"/>
      <c r="C895" s="1"/>
      <c r="D895" s="1" t="s">
        <v>54</v>
      </c>
      <c r="E895" s="1"/>
      <c r="F895" s="20" t="s">
        <v>2512</v>
      </c>
      <c r="G895" s="1">
        <v>1</v>
      </c>
      <c r="H895" s="1" t="s">
        <v>2281</v>
      </c>
      <c r="I895" s="2" t="s">
        <v>57</v>
      </c>
      <c r="J895" s="2" t="s">
        <v>2390</v>
      </c>
      <c r="K895" s="2" t="s">
        <v>80</v>
      </c>
      <c r="L895" s="2" t="s">
        <v>81</v>
      </c>
      <c r="M895" s="2" t="s">
        <v>59</v>
      </c>
      <c r="N895" s="2"/>
      <c r="O895" s="2"/>
      <c r="P895" s="2" t="s">
        <v>83</v>
      </c>
      <c r="Q895" s="2"/>
      <c r="R895" s="2" t="s">
        <v>2489</v>
      </c>
      <c r="S895" s="2" t="s">
        <v>61</v>
      </c>
      <c r="T895">
        <v>249.9</v>
      </c>
      <c r="U895">
        <v>246.7</v>
      </c>
      <c r="V895">
        <f>(T895+U895)/2</f>
        <v>248.3</v>
      </c>
      <c r="W895">
        <f>T895-U895</f>
        <v>3.2000000000000171</v>
      </c>
      <c r="X895" s="4">
        <v>-55.05</v>
      </c>
      <c r="Y895" s="4">
        <v>-29.62</v>
      </c>
      <c r="Z895" s="2"/>
      <c r="AA895" s="2" t="s">
        <v>367</v>
      </c>
      <c r="AB895" s="2" t="s">
        <v>2387</v>
      </c>
      <c r="AC895" s="2" t="s">
        <v>2513</v>
      </c>
      <c r="AD895" s="2" t="s">
        <v>1251</v>
      </c>
      <c r="AE895" s="2" t="s">
        <v>2388</v>
      </c>
      <c r="AF895" s="2" t="s">
        <v>2283</v>
      </c>
      <c r="AG895" s="3" t="s">
        <v>81</v>
      </c>
      <c r="AH895" s="3"/>
      <c r="AI895" s="2" t="s">
        <v>2484</v>
      </c>
      <c r="AJ895" s="2">
        <v>2022</v>
      </c>
      <c r="AK895" s="9" t="s">
        <v>2493</v>
      </c>
      <c r="AL895" s="10" t="s">
        <v>2522</v>
      </c>
      <c r="AM895" s="4"/>
      <c r="AN895" s="4"/>
      <c r="AO895" s="2"/>
      <c r="AP895" s="2"/>
      <c r="AQ895" s="2"/>
      <c r="AR895" s="2"/>
      <c r="AS895" s="2"/>
      <c r="AT895" s="2"/>
      <c r="AU895" s="2"/>
      <c r="AV895" s="2"/>
      <c r="AW895" s="2"/>
      <c r="AX895" s="2"/>
      <c r="AY895" s="2"/>
      <c r="AZ895" s="2"/>
      <c r="BA895" s="2"/>
      <c r="BB895" s="2"/>
    </row>
    <row r="896" spans="1:54" x14ac:dyDescent="0.4">
      <c r="A896" s="1" t="s">
        <v>2523</v>
      </c>
      <c r="B896" s="1"/>
      <c r="C896" s="1"/>
      <c r="D896" s="1" t="s">
        <v>54</v>
      </c>
      <c r="E896" s="1"/>
      <c r="F896" s="20" t="s">
        <v>2512</v>
      </c>
      <c r="G896" s="1">
        <v>1</v>
      </c>
      <c r="H896" s="1" t="s">
        <v>2281</v>
      </c>
      <c r="I896" s="2" t="s">
        <v>57</v>
      </c>
      <c r="J896" s="2" t="s">
        <v>2390</v>
      </c>
      <c r="K896" s="2" t="s">
        <v>80</v>
      </c>
      <c r="L896" s="2" t="s">
        <v>81</v>
      </c>
      <c r="M896" s="2" t="s">
        <v>59</v>
      </c>
      <c r="N896" s="2"/>
      <c r="O896" s="2"/>
      <c r="P896" s="2" t="s">
        <v>83</v>
      </c>
      <c r="Q896" s="2"/>
      <c r="R896" s="2" t="s">
        <v>2489</v>
      </c>
      <c r="S896" s="2" t="s">
        <v>61</v>
      </c>
      <c r="T896">
        <v>249.9</v>
      </c>
      <c r="U896">
        <v>246.7</v>
      </c>
      <c r="V896">
        <f>(T896+U896)/2</f>
        <v>248.3</v>
      </c>
      <c r="W896">
        <f>T896-U896</f>
        <v>3.2000000000000171</v>
      </c>
      <c r="X896" s="4">
        <v>-55.05</v>
      </c>
      <c r="Y896" s="4">
        <v>-29.62</v>
      </c>
      <c r="Z896" s="2"/>
      <c r="AA896" s="2" t="s">
        <v>367</v>
      </c>
      <c r="AB896" s="2" t="s">
        <v>2387</v>
      </c>
      <c r="AC896" s="2" t="s">
        <v>2513</v>
      </c>
      <c r="AD896" s="2" t="s">
        <v>1251</v>
      </c>
      <c r="AE896" s="2" t="s">
        <v>2388</v>
      </c>
      <c r="AF896" s="2" t="s">
        <v>2283</v>
      </c>
      <c r="AG896" s="3" t="s">
        <v>81</v>
      </c>
      <c r="AH896" s="3"/>
      <c r="AI896" s="2" t="s">
        <v>2484</v>
      </c>
      <c r="AJ896" s="2">
        <v>2022</v>
      </c>
      <c r="AK896" s="9" t="s">
        <v>2493</v>
      </c>
      <c r="AL896" s="10" t="s">
        <v>2524</v>
      </c>
      <c r="AM896" s="4"/>
      <c r="AN896" s="4"/>
      <c r="AO896" s="2"/>
      <c r="AP896" s="2"/>
      <c r="AQ896" s="2"/>
      <c r="AR896" s="2"/>
      <c r="AS896" s="2"/>
      <c r="AT896" s="2"/>
      <c r="AU896" s="2"/>
      <c r="AV896" s="2"/>
      <c r="AW896" s="2"/>
      <c r="AX896" s="2"/>
      <c r="AY896" s="2"/>
      <c r="AZ896" s="2"/>
      <c r="BA896" s="2"/>
      <c r="BB896" s="2"/>
    </row>
    <row r="897" spans="1:54" x14ac:dyDescent="0.4">
      <c r="A897" s="1" t="s">
        <v>2525</v>
      </c>
      <c r="B897" s="1"/>
      <c r="C897" s="1"/>
      <c r="D897" s="1" t="s">
        <v>54</v>
      </c>
      <c r="E897" s="1"/>
      <c r="F897" s="20" t="s">
        <v>2512</v>
      </c>
      <c r="G897" s="1">
        <v>1</v>
      </c>
      <c r="H897" s="1" t="s">
        <v>2281</v>
      </c>
      <c r="I897" s="2" t="s">
        <v>57</v>
      </c>
      <c r="J897" s="2" t="s">
        <v>2390</v>
      </c>
      <c r="K897" s="2" t="s">
        <v>80</v>
      </c>
      <c r="L897" s="2" t="s">
        <v>81</v>
      </c>
      <c r="M897" s="2" t="s">
        <v>59</v>
      </c>
      <c r="N897" s="2"/>
      <c r="O897" s="2"/>
      <c r="P897" s="2" t="s">
        <v>83</v>
      </c>
      <c r="Q897" s="2"/>
      <c r="R897" s="2" t="s">
        <v>2489</v>
      </c>
      <c r="S897" s="2" t="s">
        <v>61</v>
      </c>
      <c r="T897">
        <v>249.9</v>
      </c>
      <c r="U897">
        <v>246.7</v>
      </c>
      <c r="V897">
        <f>(T897+U897)/2</f>
        <v>248.3</v>
      </c>
      <c r="W897">
        <f>T897-U897</f>
        <v>3.2000000000000171</v>
      </c>
      <c r="X897" s="4">
        <v>-55.05</v>
      </c>
      <c r="Y897" s="4">
        <v>-29.62</v>
      </c>
      <c r="Z897" s="2"/>
      <c r="AA897" s="2" t="s">
        <v>367</v>
      </c>
      <c r="AB897" s="2" t="s">
        <v>2387</v>
      </c>
      <c r="AC897" s="2" t="s">
        <v>2513</v>
      </c>
      <c r="AD897" s="2" t="s">
        <v>1251</v>
      </c>
      <c r="AE897" s="2" t="s">
        <v>2388</v>
      </c>
      <c r="AF897" s="2" t="s">
        <v>2283</v>
      </c>
      <c r="AG897" s="3" t="s">
        <v>81</v>
      </c>
      <c r="AH897" s="3"/>
      <c r="AI897" s="2" t="s">
        <v>2484</v>
      </c>
      <c r="AJ897" s="2">
        <v>2022</v>
      </c>
      <c r="AK897" s="9" t="s">
        <v>2493</v>
      </c>
      <c r="AL897" s="10" t="s">
        <v>2526</v>
      </c>
      <c r="AM897" s="4"/>
      <c r="AN897" s="4"/>
      <c r="AO897" s="2"/>
      <c r="AP897" s="2"/>
      <c r="AQ897" s="2"/>
      <c r="AR897" s="2"/>
      <c r="AS897" s="2"/>
      <c r="AT897" s="2"/>
      <c r="AU897" s="2"/>
      <c r="AV897" s="2"/>
      <c r="AW897" s="2"/>
      <c r="AX897" s="2"/>
      <c r="AY897" s="2"/>
      <c r="AZ897" s="2"/>
      <c r="BA897" s="2"/>
      <c r="BB897" s="2"/>
    </row>
    <row r="898" spans="1:54" x14ac:dyDescent="0.4">
      <c r="A898" s="1" t="s">
        <v>2527</v>
      </c>
      <c r="B898" s="1"/>
      <c r="C898" s="1"/>
      <c r="D898" s="1" t="s">
        <v>54</v>
      </c>
      <c r="E898" s="1"/>
      <c r="F898" s="20" t="s">
        <v>2512</v>
      </c>
      <c r="G898" s="1">
        <v>1</v>
      </c>
      <c r="H898" s="1" t="s">
        <v>2281</v>
      </c>
      <c r="I898" s="2" t="s">
        <v>57</v>
      </c>
      <c r="J898" s="2" t="s">
        <v>2390</v>
      </c>
      <c r="K898" s="2" t="s">
        <v>80</v>
      </c>
      <c r="L898" s="2" t="s">
        <v>81</v>
      </c>
      <c r="M898" s="2" t="s">
        <v>59</v>
      </c>
      <c r="N898" s="2"/>
      <c r="O898" s="2"/>
      <c r="P898" s="2" t="s">
        <v>83</v>
      </c>
      <c r="Q898" s="2"/>
      <c r="R898" s="2" t="s">
        <v>2489</v>
      </c>
      <c r="S898" s="2" t="s">
        <v>61</v>
      </c>
      <c r="T898">
        <v>249.9</v>
      </c>
      <c r="U898">
        <v>246.7</v>
      </c>
      <c r="V898">
        <f>(T898+U898)/2</f>
        <v>248.3</v>
      </c>
      <c r="W898">
        <f>T898-U898</f>
        <v>3.2000000000000171</v>
      </c>
      <c r="X898" s="4">
        <v>-55.05</v>
      </c>
      <c r="Y898" s="4">
        <v>-29.62</v>
      </c>
      <c r="Z898" s="2"/>
      <c r="AA898" s="2" t="s">
        <v>367</v>
      </c>
      <c r="AB898" s="2" t="s">
        <v>2387</v>
      </c>
      <c r="AC898" s="2" t="s">
        <v>2513</v>
      </c>
      <c r="AD898" s="2" t="s">
        <v>1251</v>
      </c>
      <c r="AE898" s="2" t="s">
        <v>2388</v>
      </c>
      <c r="AF898" s="2" t="s">
        <v>2283</v>
      </c>
      <c r="AG898" s="3" t="s">
        <v>81</v>
      </c>
      <c r="AH898" s="3"/>
      <c r="AI898" s="2" t="s">
        <v>2484</v>
      </c>
      <c r="AJ898" s="2">
        <v>2022</v>
      </c>
      <c r="AK898" s="9" t="s">
        <v>2493</v>
      </c>
      <c r="AL898" s="10" t="s">
        <v>2528</v>
      </c>
      <c r="AM898" s="4"/>
      <c r="AN898" s="4"/>
      <c r="AO898" s="2"/>
      <c r="AP898" s="2"/>
      <c r="AQ898" s="2"/>
      <c r="AR898" s="2"/>
      <c r="AS898" s="2"/>
      <c r="AT898" s="2"/>
      <c r="AU898" s="2"/>
      <c r="AV898" s="2"/>
      <c r="AW898" s="2"/>
      <c r="AX898" s="2"/>
      <c r="AY898" s="2"/>
      <c r="AZ898" s="2"/>
      <c r="BA898" s="2"/>
      <c r="BB898" s="2"/>
    </row>
    <row r="899" spans="1:54" x14ac:dyDescent="0.4">
      <c r="A899" s="1" t="s">
        <v>2529</v>
      </c>
      <c r="B899" s="1"/>
      <c r="C899" s="1"/>
      <c r="D899" s="1" t="s">
        <v>54</v>
      </c>
      <c r="E899" s="1"/>
      <c r="F899" s="20" t="s">
        <v>2512</v>
      </c>
      <c r="G899" s="1">
        <v>1</v>
      </c>
      <c r="H899" s="1" t="s">
        <v>2281</v>
      </c>
      <c r="I899" s="2" t="s">
        <v>57</v>
      </c>
      <c r="J899" s="2" t="s">
        <v>2390</v>
      </c>
      <c r="K899" s="2" t="s">
        <v>80</v>
      </c>
      <c r="L899" s="2" t="s">
        <v>81</v>
      </c>
      <c r="M899" s="2" t="s">
        <v>59</v>
      </c>
      <c r="N899" s="2"/>
      <c r="O899" s="2"/>
      <c r="P899" s="2" t="s">
        <v>83</v>
      </c>
      <c r="Q899" s="2"/>
      <c r="R899" s="2" t="s">
        <v>2489</v>
      </c>
      <c r="S899" s="2" t="s">
        <v>61</v>
      </c>
      <c r="T899">
        <v>249.9</v>
      </c>
      <c r="U899">
        <v>246.7</v>
      </c>
      <c r="V899">
        <f>(T899+U899)/2</f>
        <v>248.3</v>
      </c>
      <c r="W899">
        <f>T899-U899</f>
        <v>3.2000000000000171</v>
      </c>
      <c r="X899" s="4">
        <v>-55.05</v>
      </c>
      <c r="Y899" s="4">
        <v>-29.62</v>
      </c>
      <c r="Z899" s="2"/>
      <c r="AA899" s="2" t="s">
        <v>367</v>
      </c>
      <c r="AB899" s="2" t="s">
        <v>2387</v>
      </c>
      <c r="AC899" s="2" t="s">
        <v>2513</v>
      </c>
      <c r="AD899" s="2" t="s">
        <v>1251</v>
      </c>
      <c r="AE899" s="2" t="s">
        <v>2388</v>
      </c>
      <c r="AF899" s="2" t="s">
        <v>2283</v>
      </c>
      <c r="AG899" s="3" t="s">
        <v>81</v>
      </c>
      <c r="AH899" s="3"/>
      <c r="AI899" s="2" t="s">
        <v>2484</v>
      </c>
      <c r="AJ899" s="2">
        <v>2022</v>
      </c>
      <c r="AK899" s="9" t="s">
        <v>2493</v>
      </c>
      <c r="AL899" s="10" t="s">
        <v>2530</v>
      </c>
      <c r="AM899" s="4"/>
      <c r="AN899" s="4"/>
      <c r="AO899" s="2"/>
      <c r="AP899" s="2"/>
      <c r="AQ899" s="2"/>
      <c r="AR899" s="2"/>
      <c r="AS899" s="2"/>
      <c r="AT899" s="2"/>
      <c r="AU899" s="2"/>
      <c r="AV899" s="2"/>
      <c r="AW899" s="2"/>
      <c r="AX899" s="2"/>
      <c r="AY899" s="2"/>
      <c r="AZ899" s="2"/>
      <c r="BA899" s="2"/>
      <c r="BB899" s="2"/>
    </row>
    <row r="900" spans="1:54" x14ac:dyDescent="0.4">
      <c r="A900" s="1" t="s">
        <v>2531</v>
      </c>
      <c r="B900" s="1"/>
      <c r="C900" s="1"/>
      <c r="D900" s="1" t="s">
        <v>54</v>
      </c>
      <c r="E900" s="1"/>
      <c r="F900" s="20" t="s">
        <v>2512</v>
      </c>
      <c r="G900" s="1">
        <v>1</v>
      </c>
      <c r="H900" s="1" t="s">
        <v>2281</v>
      </c>
      <c r="I900" s="2" t="s">
        <v>57</v>
      </c>
      <c r="J900" s="2" t="s">
        <v>2390</v>
      </c>
      <c r="K900" s="2" t="s">
        <v>80</v>
      </c>
      <c r="L900" s="2" t="s">
        <v>81</v>
      </c>
      <c r="M900" s="2" t="s">
        <v>59</v>
      </c>
      <c r="N900" s="2"/>
      <c r="O900" s="2"/>
      <c r="P900" s="2" t="s">
        <v>83</v>
      </c>
      <c r="Q900" s="2"/>
      <c r="R900" s="2" t="s">
        <v>2489</v>
      </c>
      <c r="S900" s="2" t="s">
        <v>61</v>
      </c>
      <c r="T900">
        <v>249.9</v>
      </c>
      <c r="U900">
        <v>246.7</v>
      </c>
      <c r="V900">
        <f>(T900+U900)/2</f>
        <v>248.3</v>
      </c>
      <c r="W900">
        <f>T900-U900</f>
        <v>3.2000000000000171</v>
      </c>
      <c r="X900" s="4">
        <v>-55.05</v>
      </c>
      <c r="Y900" s="4">
        <v>-29.62</v>
      </c>
      <c r="Z900" s="2"/>
      <c r="AA900" s="2" t="s">
        <v>367</v>
      </c>
      <c r="AB900" s="2" t="s">
        <v>2387</v>
      </c>
      <c r="AC900" s="2" t="s">
        <v>2513</v>
      </c>
      <c r="AD900" s="2" t="s">
        <v>1251</v>
      </c>
      <c r="AE900" s="2" t="s">
        <v>2388</v>
      </c>
      <c r="AF900" s="2" t="s">
        <v>2283</v>
      </c>
      <c r="AG900" s="3" t="s">
        <v>81</v>
      </c>
      <c r="AH900" s="3"/>
      <c r="AI900" s="2" t="s">
        <v>2484</v>
      </c>
      <c r="AJ900" s="2">
        <v>2022</v>
      </c>
      <c r="AK900" s="9" t="s">
        <v>2493</v>
      </c>
      <c r="AL900" s="10" t="s">
        <v>2532</v>
      </c>
      <c r="AM900" s="4"/>
      <c r="AN900" s="4"/>
      <c r="AO900" s="2"/>
      <c r="AP900" s="2"/>
      <c r="AQ900" s="2"/>
      <c r="AR900" s="2"/>
      <c r="AS900" s="2"/>
      <c r="AT900" s="2"/>
      <c r="AU900" s="2"/>
      <c r="AV900" s="2"/>
      <c r="AW900" s="2"/>
      <c r="AX900" s="2"/>
      <c r="AY900" s="2"/>
      <c r="AZ900" s="2"/>
      <c r="BA900" s="2"/>
      <c r="BB900" s="2"/>
    </row>
    <row r="901" spans="1:54" x14ac:dyDescent="0.4">
      <c r="A901">
        <v>690412</v>
      </c>
      <c r="D901" t="s">
        <v>54</v>
      </c>
      <c r="G901">
        <v>1</v>
      </c>
      <c r="H901" t="s">
        <v>74</v>
      </c>
      <c r="I901" t="s">
        <v>57</v>
      </c>
      <c r="K901" t="s">
        <v>102</v>
      </c>
      <c r="L901" t="s">
        <v>420</v>
      </c>
      <c r="M901" t="s">
        <v>59</v>
      </c>
      <c r="P901" t="s">
        <v>131</v>
      </c>
      <c r="Q901" t="s">
        <v>111</v>
      </c>
      <c r="R901" t="s">
        <v>112</v>
      </c>
      <c r="S901" t="s">
        <v>61</v>
      </c>
      <c r="T901">
        <v>246.7</v>
      </c>
      <c r="U901">
        <v>237</v>
      </c>
      <c r="V901">
        <f>(T901+U901)/2</f>
        <v>241.85</v>
      </c>
      <c r="W901">
        <f>T901-U901</f>
        <v>9.6999999999999886</v>
      </c>
      <c r="X901">
        <v>-1.52485</v>
      </c>
      <c r="Y901">
        <v>52.296581000000003</v>
      </c>
      <c r="Z901" t="s">
        <v>99</v>
      </c>
      <c r="AA901" t="s">
        <v>78</v>
      </c>
      <c r="AB901" t="s">
        <v>79</v>
      </c>
      <c r="AC901" t="s">
        <v>334</v>
      </c>
      <c r="AD901" t="s">
        <v>421</v>
      </c>
      <c r="AE901" t="s">
        <v>422</v>
      </c>
      <c r="AH901" t="s">
        <v>65</v>
      </c>
      <c r="AI901" t="s">
        <v>411</v>
      </c>
      <c r="AJ901">
        <v>1842</v>
      </c>
      <c r="AK901" t="s">
        <v>473</v>
      </c>
      <c r="AN901" t="s">
        <v>67</v>
      </c>
      <c r="AO901">
        <v>5</v>
      </c>
      <c r="AP901" t="s">
        <v>69</v>
      </c>
      <c r="AQ901" t="s">
        <v>474</v>
      </c>
      <c r="AR901" t="s">
        <v>70</v>
      </c>
      <c r="AS901">
        <v>315</v>
      </c>
      <c r="AT901" t="s">
        <v>71</v>
      </c>
      <c r="AU901">
        <v>19.71</v>
      </c>
      <c r="AV901">
        <v>30.02</v>
      </c>
      <c r="AW901" t="s">
        <v>72</v>
      </c>
      <c r="AX901">
        <v>315</v>
      </c>
      <c r="AY901" t="s">
        <v>71</v>
      </c>
      <c r="AZ901">
        <v>10.41</v>
      </c>
      <c r="BA901">
        <v>15.58</v>
      </c>
      <c r="BB901" t="s">
        <v>73</v>
      </c>
    </row>
    <row r="902" spans="1:54" x14ac:dyDescent="0.4">
      <c r="A902">
        <v>690413</v>
      </c>
      <c r="D902" t="s">
        <v>54</v>
      </c>
      <c r="G902">
        <v>1</v>
      </c>
      <c r="H902" t="s">
        <v>74</v>
      </c>
      <c r="I902" t="s">
        <v>57</v>
      </c>
      <c r="K902" t="s">
        <v>373</v>
      </c>
      <c r="L902" t="s">
        <v>429</v>
      </c>
      <c r="M902" t="s">
        <v>59</v>
      </c>
      <c r="O902" t="s">
        <v>107</v>
      </c>
      <c r="P902" t="s">
        <v>131</v>
      </c>
      <c r="Q902" t="s">
        <v>111</v>
      </c>
      <c r="R902" t="s">
        <v>112</v>
      </c>
      <c r="S902" t="s">
        <v>61</v>
      </c>
      <c r="T902">
        <v>246.7</v>
      </c>
      <c r="U902">
        <v>237</v>
      </c>
      <c r="V902">
        <f>(T902+U902)/2</f>
        <v>241.85</v>
      </c>
      <c r="W902">
        <f>T902-U902</f>
        <v>9.6999999999999886</v>
      </c>
      <c r="X902">
        <v>-1.52485</v>
      </c>
      <c r="Y902">
        <v>52.296581000000003</v>
      </c>
      <c r="Z902" t="s">
        <v>99</v>
      </c>
      <c r="AA902" t="s">
        <v>78</v>
      </c>
      <c r="AB902" t="s">
        <v>79</v>
      </c>
      <c r="AC902" t="s">
        <v>334</v>
      </c>
      <c r="AD902" t="s">
        <v>421</v>
      </c>
      <c r="AE902" t="s">
        <v>422</v>
      </c>
      <c r="AH902" t="s">
        <v>65</v>
      </c>
      <c r="AI902" t="s">
        <v>430</v>
      </c>
      <c r="AJ902">
        <v>1990</v>
      </c>
      <c r="AK902" t="s">
        <v>473</v>
      </c>
      <c r="AN902" t="s">
        <v>67</v>
      </c>
      <c r="AO902">
        <v>5</v>
      </c>
      <c r="AP902" t="s">
        <v>69</v>
      </c>
      <c r="AQ902" t="s">
        <v>474</v>
      </c>
      <c r="AR902" t="s">
        <v>70</v>
      </c>
      <c r="AS902">
        <v>315</v>
      </c>
      <c r="AT902" t="s">
        <v>71</v>
      </c>
      <c r="AU902">
        <v>19.71</v>
      </c>
      <c r="AV902">
        <v>30.02</v>
      </c>
      <c r="AW902" t="s">
        <v>72</v>
      </c>
      <c r="AX902">
        <v>315</v>
      </c>
      <c r="AY902" t="s">
        <v>71</v>
      </c>
      <c r="AZ902">
        <v>10.41</v>
      </c>
      <c r="BA902">
        <v>15.58</v>
      </c>
      <c r="BB902" t="s">
        <v>73</v>
      </c>
    </row>
    <row r="903" spans="1:54" x14ac:dyDescent="0.4">
      <c r="A903">
        <v>725442</v>
      </c>
      <c r="D903" t="s">
        <v>54</v>
      </c>
      <c r="G903">
        <v>1</v>
      </c>
      <c r="H903" t="s">
        <v>74</v>
      </c>
      <c r="I903" t="s">
        <v>57</v>
      </c>
      <c r="K903" t="s">
        <v>125</v>
      </c>
      <c r="L903" t="s">
        <v>377</v>
      </c>
      <c r="M903" t="s">
        <v>59</v>
      </c>
      <c r="O903" t="s">
        <v>76</v>
      </c>
      <c r="P903" t="s">
        <v>131</v>
      </c>
      <c r="Q903" t="s">
        <v>111</v>
      </c>
      <c r="R903" t="s">
        <v>112</v>
      </c>
      <c r="S903" t="s">
        <v>61</v>
      </c>
      <c r="T903">
        <v>246.7</v>
      </c>
      <c r="U903">
        <v>237</v>
      </c>
      <c r="V903">
        <f>(T903+U903)/2</f>
        <v>241.85</v>
      </c>
      <c r="W903">
        <f>T903-U903</f>
        <v>9.6999999999999886</v>
      </c>
      <c r="X903">
        <v>9.7341669999999993</v>
      </c>
      <c r="Y903">
        <v>49.105831000000002</v>
      </c>
      <c r="Z903" t="s">
        <v>483</v>
      </c>
      <c r="AA903" t="s">
        <v>128</v>
      </c>
      <c r="AB903" t="s">
        <v>129</v>
      </c>
      <c r="AD903" t="s">
        <v>484</v>
      </c>
      <c r="AE903" t="s">
        <v>463</v>
      </c>
      <c r="AH903" t="s">
        <v>65</v>
      </c>
      <c r="AI903" t="s">
        <v>145</v>
      </c>
      <c r="AJ903">
        <v>1900</v>
      </c>
      <c r="AK903" t="s">
        <v>485</v>
      </c>
      <c r="AN903" t="s">
        <v>94</v>
      </c>
      <c r="AO903">
        <v>5</v>
      </c>
      <c r="AP903" t="s">
        <v>95</v>
      </c>
      <c r="AQ903" t="s">
        <v>486</v>
      </c>
      <c r="AR903" t="s">
        <v>70</v>
      </c>
      <c r="AS903">
        <v>305</v>
      </c>
      <c r="AT903" t="s">
        <v>71</v>
      </c>
      <c r="AU903">
        <v>28.45</v>
      </c>
      <c r="AV903">
        <v>28.38</v>
      </c>
      <c r="AW903" t="s">
        <v>72</v>
      </c>
      <c r="AX903">
        <v>305</v>
      </c>
      <c r="AY903" t="s">
        <v>71</v>
      </c>
      <c r="AZ903">
        <v>18.5</v>
      </c>
      <c r="BA903">
        <v>15.22</v>
      </c>
      <c r="BB903" t="s">
        <v>73</v>
      </c>
    </row>
    <row r="904" spans="1:54" x14ac:dyDescent="0.4">
      <c r="A904">
        <v>797372</v>
      </c>
      <c r="D904" t="s">
        <v>54</v>
      </c>
      <c r="E904" t="s">
        <v>153</v>
      </c>
      <c r="G904">
        <v>1</v>
      </c>
      <c r="H904" t="s">
        <v>56</v>
      </c>
      <c r="I904" t="s">
        <v>57</v>
      </c>
      <c r="K904" t="s">
        <v>355</v>
      </c>
      <c r="L904" t="s">
        <v>826</v>
      </c>
      <c r="M904" t="s">
        <v>59</v>
      </c>
      <c r="P904" t="s">
        <v>131</v>
      </c>
      <c r="Q904" t="s">
        <v>111</v>
      </c>
      <c r="R904" t="s">
        <v>112</v>
      </c>
      <c r="S904" t="s">
        <v>61</v>
      </c>
      <c r="T904">
        <v>246.7</v>
      </c>
      <c r="U904">
        <v>237</v>
      </c>
      <c r="V904">
        <f>(T904+U904)/2</f>
        <v>241.85</v>
      </c>
      <c r="W904">
        <f>T904-U904</f>
        <v>9.6999999999999886</v>
      </c>
      <c r="X904">
        <v>8.8902780000000003</v>
      </c>
      <c r="Y904">
        <v>45.888888999999999</v>
      </c>
      <c r="Z904" t="s">
        <v>465</v>
      </c>
      <c r="AA904" t="s">
        <v>291</v>
      </c>
      <c r="AB904" t="s">
        <v>827</v>
      </c>
      <c r="AC904" t="s">
        <v>828</v>
      </c>
      <c r="AD904" t="s">
        <v>829</v>
      </c>
      <c r="AH904" t="s">
        <v>65</v>
      </c>
      <c r="AI904" t="s">
        <v>357</v>
      </c>
      <c r="AJ904">
        <v>1962</v>
      </c>
      <c r="AK904" t="s">
        <v>830</v>
      </c>
      <c r="AM904" t="s">
        <v>831</v>
      </c>
      <c r="AN904" t="s">
        <v>121</v>
      </c>
      <c r="AO904" t="s">
        <v>68</v>
      </c>
      <c r="AP904" t="s">
        <v>95</v>
      </c>
      <c r="AQ904" t="s">
        <v>832</v>
      </c>
      <c r="AR904" t="s">
        <v>70</v>
      </c>
      <c r="AS904">
        <v>307</v>
      </c>
      <c r="AT904" t="s">
        <v>71</v>
      </c>
      <c r="AU904">
        <v>33.86</v>
      </c>
      <c r="AV904">
        <v>17.52</v>
      </c>
      <c r="AW904" t="s">
        <v>72</v>
      </c>
      <c r="AX904">
        <v>307</v>
      </c>
      <c r="AY904" t="s">
        <v>71</v>
      </c>
      <c r="AZ904">
        <v>21.15</v>
      </c>
      <c r="BA904">
        <v>7.67</v>
      </c>
      <c r="BB904" t="s">
        <v>73</v>
      </c>
    </row>
    <row r="905" spans="1:54" x14ac:dyDescent="0.4">
      <c r="A905">
        <v>797372</v>
      </c>
      <c r="D905" t="s">
        <v>54</v>
      </c>
      <c r="E905" t="s">
        <v>153</v>
      </c>
      <c r="G905">
        <v>1</v>
      </c>
      <c r="H905" t="s">
        <v>56</v>
      </c>
      <c r="I905" t="s">
        <v>57</v>
      </c>
      <c r="K905" t="s">
        <v>355</v>
      </c>
      <c r="L905" t="s">
        <v>826</v>
      </c>
      <c r="M905" t="s">
        <v>59</v>
      </c>
      <c r="P905" t="s">
        <v>131</v>
      </c>
      <c r="Q905" t="s">
        <v>111</v>
      </c>
      <c r="R905" t="s">
        <v>112</v>
      </c>
      <c r="S905" t="s">
        <v>61</v>
      </c>
      <c r="T905">
        <v>246.7</v>
      </c>
      <c r="U905">
        <v>237</v>
      </c>
      <c r="V905">
        <f>(T905+U905)/2</f>
        <v>241.85</v>
      </c>
      <c r="W905">
        <f>T905-U905</f>
        <v>9.6999999999999886</v>
      </c>
      <c r="X905">
        <v>8.8902780000000003</v>
      </c>
      <c r="Y905">
        <v>45.888888999999999</v>
      </c>
      <c r="Z905" t="s">
        <v>465</v>
      </c>
      <c r="AA905" t="s">
        <v>291</v>
      </c>
      <c r="AB905" t="s">
        <v>827</v>
      </c>
      <c r="AC905" t="s">
        <v>828</v>
      </c>
      <c r="AD905" t="s">
        <v>829</v>
      </c>
      <c r="AH905" t="s">
        <v>65</v>
      </c>
      <c r="AI905" t="s">
        <v>357</v>
      </c>
      <c r="AJ905">
        <v>1962</v>
      </c>
      <c r="AK905" t="s">
        <v>830</v>
      </c>
      <c r="AM905" t="s">
        <v>831</v>
      </c>
      <c r="AN905" t="s">
        <v>121</v>
      </c>
      <c r="AO905" t="s">
        <v>68</v>
      </c>
      <c r="AP905" t="s">
        <v>95</v>
      </c>
      <c r="AQ905" t="s">
        <v>832</v>
      </c>
      <c r="AR905" t="s">
        <v>70</v>
      </c>
      <c r="AS905">
        <v>307</v>
      </c>
      <c r="AT905" t="s">
        <v>71</v>
      </c>
      <c r="AU905">
        <v>33.86</v>
      </c>
      <c r="AV905">
        <v>17.52</v>
      </c>
      <c r="AW905" t="s">
        <v>72</v>
      </c>
      <c r="AX905">
        <v>307</v>
      </c>
      <c r="AY905" t="s">
        <v>71</v>
      </c>
      <c r="AZ905">
        <v>21.15</v>
      </c>
      <c r="BA905">
        <v>7.67</v>
      </c>
      <c r="BB905" t="s">
        <v>73</v>
      </c>
    </row>
    <row r="906" spans="1:54" x14ac:dyDescent="0.4">
      <c r="A906">
        <v>797372</v>
      </c>
      <c r="D906" t="s">
        <v>54</v>
      </c>
      <c r="E906" t="s">
        <v>153</v>
      </c>
      <c r="G906">
        <v>1</v>
      </c>
      <c r="H906" t="s">
        <v>56</v>
      </c>
      <c r="I906" t="s">
        <v>57</v>
      </c>
      <c r="K906" t="s">
        <v>355</v>
      </c>
      <c r="L906" t="s">
        <v>826</v>
      </c>
      <c r="M906" t="s">
        <v>59</v>
      </c>
      <c r="P906" t="s">
        <v>131</v>
      </c>
      <c r="Q906" t="s">
        <v>111</v>
      </c>
      <c r="R906" t="s">
        <v>112</v>
      </c>
      <c r="S906" t="s">
        <v>61</v>
      </c>
      <c r="T906">
        <v>246.7</v>
      </c>
      <c r="U906">
        <v>237</v>
      </c>
      <c r="V906">
        <f>(T906+U906)/2</f>
        <v>241.85</v>
      </c>
      <c r="W906">
        <f>T906-U906</f>
        <v>9.6999999999999886</v>
      </c>
      <c r="X906">
        <v>8.8902780000000003</v>
      </c>
      <c r="Y906">
        <v>45.888888999999999</v>
      </c>
      <c r="Z906" t="s">
        <v>465</v>
      </c>
      <c r="AA906" t="s">
        <v>291</v>
      </c>
      <c r="AB906" t="s">
        <v>827</v>
      </c>
      <c r="AC906" t="s">
        <v>828</v>
      </c>
      <c r="AD906" t="s">
        <v>829</v>
      </c>
      <c r="AH906" t="s">
        <v>65</v>
      </c>
      <c r="AI906" t="s">
        <v>357</v>
      </c>
      <c r="AJ906">
        <v>1962</v>
      </c>
      <c r="AK906" t="s">
        <v>830</v>
      </c>
      <c r="AM906" t="s">
        <v>831</v>
      </c>
      <c r="AN906" t="s">
        <v>121</v>
      </c>
      <c r="AO906" t="s">
        <v>68</v>
      </c>
      <c r="AP906" t="s">
        <v>95</v>
      </c>
      <c r="AQ906" t="s">
        <v>832</v>
      </c>
      <c r="AR906" t="s">
        <v>70</v>
      </c>
      <c r="AS906">
        <v>307</v>
      </c>
      <c r="AT906" t="s">
        <v>71</v>
      </c>
      <c r="AU906">
        <v>33.86</v>
      </c>
      <c r="AV906">
        <v>17.52</v>
      </c>
      <c r="AW906" t="s">
        <v>72</v>
      </c>
      <c r="AX906">
        <v>307</v>
      </c>
      <c r="AY906" t="s">
        <v>71</v>
      </c>
      <c r="AZ906">
        <v>21.15</v>
      </c>
      <c r="BA906">
        <v>7.67</v>
      </c>
      <c r="BB906" t="s">
        <v>73</v>
      </c>
    </row>
    <row r="907" spans="1:54" x14ac:dyDescent="0.4">
      <c r="A907">
        <v>797953</v>
      </c>
      <c r="D907" t="s">
        <v>840</v>
      </c>
      <c r="E907" t="s">
        <v>153</v>
      </c>
      <c r="G907">
        <v>1</v>
      </c>
      <c r="H907" t="s">
        <v>56</v>
      </c>
      <c r="I907" t="s">
        <v>57</v>
      </c>
      <c r="K907" t="s">
        <v>355</v>
      </c>
      <c r="L907" t="s">
        <v>826</v>
      </c>
      <c r="M907" t="s">
        <v>59</v>
      </c>
      <c r="P907" t="s">
        <v>131</v>
      </c>
      <c r="Q907" t="s">
        <v>111</v>
      </c>
      <c r="R907" t="s">
        <v>112</v>
      </c>
      <c r="S907" t="s">
        <v>61</v>
      </c>
      <c r="T907">
        <v>246.7</v>
      </c>
      <c r="U907">
        <v>237</v>
      </c>
      <c r="V907">
        <f>(T907+U907)/2</f>
        <v>241.85</v>
      </c>
      <c r="W907">
        <f>T907-U907</f>
        <v>9.6999999999999886</v>
      </c>
      <c r="X907">
        <v>8.9413889999999991</v>
      </c>
      <c r="Y907">
        <v>45.907223000000002</v>
      </c>
      <c r="Z907" t="s">
        <v>465</v>
      </c>
      <c r="AA907" t="s">
        <v>133</v>
      </c>
      <c r="AB907" t="s">
        <v>841</v>
      </c>
      <c r="AC907" t="s">
        <v>834</v>
      </c>
      <c r="AD907" t="s">
        <v>829</v>
      </c>
      <c r="AF907" t="s">
        <v>842</v>
      </c>
      <c r="AH907" t="s">
        <v>65</v>
      </c>
      <c r="AI907" t="s">
        <v>357</v>
      </c>
      <c r="AJ907">
        <v>1962</v>
      </c>
      <c r="AK907" t="s">
        <v>843</v>
      </c>
      <c r="AM907" t="s">
        <v>844</v>
      </c>
      <c r="AN907" t="s">
        <v>121</v>
      </c>
      <c r="AO907" t="s">
        <v>68</v>
      </c>
      <c r="AP907" t="s">
        <v>95</v>
      </c>
      <c r="AQ907" t="s">
        <v>845</v>
      </c>
      <c r="AR907" t="s">
        <v>70</v>
      </c>
      <c r="AS907">
        <v>307</v>
      </c>
      <c r="AT907" t="s">
        <v>71</v>
      </c>
      <c r="AU907">
        <v>33.9</v>
      </c>
      <c r="AV907">
        <v>17.5</v>
      </c>
      <c r="AW907" t="s">
        <v>72</v>
      </c>
      <c r="AX907">
        <v>307</v>
      </c>
      <c r="AY907" t="s">
        <v>71</v>
      </c>
      <c r="AZ907">
        <v>21.19</v>
      </c>
      <c r="BA907">
        <v>7.66</v>
      </c>
      <c r="BB907" t="s">
        <v>73</v>
      </c>
    </row>
    <row r="908" spans="1:54" x14ac:dyDescent="0.4">
      <c r="A908">
        <v>950449</v>
      </c>
      <c r="D908" t="s">
        <v>840</v>
      </c>
      <c r="E908" t="s">
        <v>153</v>
      </c>
      <c r="G908">
        <v>2</v>
      </c>
      <c r="H908" t="s">
        <v>74</v>
      </c>
      <c r="I908" t="s">
        <v>57</v>
      </c>
      <c r="K908" t="s">
        <v>355</v>
      </c>
      <c r="L908" t="s">
        <v>451</v>
      </c>
      <c r="M908" t="s">
        <v>59</v>
      </c>
      <c r="N908" t="s">
        <v>97</v>
      </c>
      <c r="O908" t="s">
        <v>179</v>
      </c>
      <c r="P908" t="s">
        <v>131</v>
      </c>
      <c r="Q908" t="s">
        <v>111</v>
      </c>
      <c r="R908" t="s">
        <v>112</v>
      </c>
      <c r="S908" t="s">
        <v>61</v>
      </c>
      <c r="T908">
        <v>246.7</v>
      </c>
      <c r="U908">
        <v>237</v>
      </c>
      <c r="V908">
        <f>(T908+U908)/2</f>
        <v>241.85</v>
      </c>
      <c r="W908">
        <f>T908-U908</f>
        <v>9.6999999999999886</v>
      </c>
      <c r="X908">
        <v>8.9413889999999991</v>
      </c>
      <c r="Y908">
        <v>45.907223000000002</v>
      </c>
      <c r="Z908" t="s">
        <v>465</v>
      </c>
      <c r="AA908" t="s">
        <v>133</v>
      </c>
      <c r="AB908" t="s">
        <v>841</v>
      </c>
      <c r="AC908" t="s">
        <v>834</v>
      </c>
      <c r="AD908" t="s">
        <v>829</v>
      </c>
      <c r="AF908" t="s">
        <v>842</v>
      </c>
      <c r="AH908" t="s">
        <v>65</v>
      </c>
      <c r="AI908" t="s">
        <v>1619</v>
      </c>
      <c r="AJ908">
        <v>1979</v>
      </c>
      <c r="AK908" t="s">
        <v>843</v>
      </c>
      <c r="AM908" t="s">
        <v>844</v>
      </c>
      <c r="AN908" t="s">
        <v>121</v>
      </c>
      <c r="AO908" t="s">
        <v>68</v>
      </c>
      <c r="AP908" t="s">
        <v>95</v>
      </c>
      <c r="AQ908" t="s">
        <v>845</v>
      </c>
      <c r="AR908" t="s">
        <v>70</v>
      </c>
      <c r="AS908">
        <v>307</v>
      </c>
      <c r="AT908" t="s">
        <v>71</v>
      </c>
      <c r="AU908">
        <v>33.9</v>
      </c>
      <c r="AV908">
        <v>17.5</v>
      </c>
      <c r="AW908" t="s">
        <v>72</v>
      </c>
      <c r="AX908">
        <v>307</v>
      </c>
      <c r="AY908" t="s">
        <v>71</v>
      </c>
      <c r="AZ908">
        <v>21.19</v>
      </c>
      <c r="BA908">
        <v>7.66</v>
      </c>
      <c r="BB908" t="s">
        <v>73</v>
      </c>
    </row>
    <row r="909" spans="1:54" x14ac:dyDescent="0.4">
      <c r="A909">
        <v>966703</v>
      </c>
      <c r="D909" t="s">
        <v>54</v>
      </c>
      <c r="G909">
        <v>1</v>
      </c>
      <c r="H909" t="s">
        <v>56</v>
      </c>
      <c r="I909" t="s">
        <v>57</v>
      </c>
      <c r="K909" t="s">
        <v>1621</v>
      </c>
      <c r="L909" t="s">
        <v>1622</v>
      </c>
      <c r="M909" t="s">
        <v>59</v>
      </c>
      <c r="P909" t="s">
        <v>131</v>
      </c>
      <c r="Q909" t="s">
        <v>111</v>
      </c>
      <c r="R909" t="s">
        <v>112</v>
      </c>
      <c r="S909" t="s">
        <v>61</v>
      </c>
      <c r="T909">
        <v>246.7</v>
      </c>
      <c r="U909">
        <v>237</v>
      </c>
      <c r="V909">
        <f>(T909+U909)/2</f>
        <v>241.85</v>
      </c>
      <c r="W909">
        <f>T909-U909</f>
        <v>9.6999999999999886</v>
      </c>
      <c r="X909">
        <v>111.620003</v>
      </c>
      <c r="Y909">
        <v>31.379999000000002</v>
      </c>
      <c r="Z909" t="s">
        <v>268</v>
      </c>
      <c r="AA909" t="s">
        <v>186</v>
      </c>
      <c r="AB909" t="s">
        <v>1358</v>
      </c>
      <c r="AC909" t="s">
        <v>1623</v>
      </c>
      <c r="AH909" t="s">
        <v>65</v>
      </c>
      <c r="AI909" t="s">
        <v>1624</v>
      </c>
      <c r="AJ909">
        <v>1991</v>
      </c>
      <c r="AK909" t="s">
        <v>1625</v>
      </c>
      <c r="AM909" t="s">
        <v>1626</v>
      </c>
      <c r="AN909" t="s">
        <v>94</v>
      </c>
      <c r="AO909">
        <v>2</v>
      </c>
      <c r="AP909" t="s">
        <v>95</v>
      </c>
      <c r="AQ909" t="s">
        <v>1627</v>
      </c>
      <c r="AR909" t="s">
        <v>70</v>
      </c>
      <c r="AS909">
        <v>611</v>
      </c>
      <c r="AT909" t="s">
        <v>71</v>
      </c>
      <c r="AU909">
        <v>113.67</v>
      </c>
      <c r="AV909">
        <v>-2.72</v>
      </c>
      <c r="AW909" t="s">
        <v>72</v>
      </c>
      <c r="AX909">
        <v>611</v>
      </c>
      <c r="AY909" t="s">
        <v>71</v>
      </c>
      <c r="AZ909">
        <v>96.54</v>
      </c>
      <c r="BA909">
        <v>22.71</v>
      </c>
      <c r="BB909" t="s">
        <v>73</v>
      </c>
    </row>
    <row r="910" spans="1:54" x14ac:dyDescent="0.4">
      <c r="A910">
        <v>966703</v>
      </c>
      <c r="D910" t="s">
        <v>54</v>
      </c>
      <c r="G910">
        <v>1</v>
      </c>
      <c r="H910" t="s">
        <v>56</v>
      </c>
      <c r="I910" t="s">
        <v>57</v>
      </c>
      <c r="K910" t="s">
        <v>1621</v>
      </c>
      <c r="L910" t="s">
        <v>1622</v>
      </c>
      <c r="M910" t="s">
        <v>59</v>
      </c>
      <c r="P910" t="s">
        <v>131</v>
      </c>
      <c r="Q910" t="s">
        <v>111</v>
      </c>
      <c r="R910" t="s">
        <v>112</v>
      </c>
      <c r="S910" t="s">
        <v>61</v>
      </c>
      <c r="T910">
        <v>246.7</v>
      </c>
      <c r="U910">
        <v>237</v>
      </c>
      <c r="V910">
        <f>(T910+U910)/2</f>
        <v>241.85</v>
      </c>
      <c r="W910">
        <f>T910-U910</f>
        <v>9.6999999999999886</v>
      </c>
      <c r="X910">
        <v>111.620003</v>
      </c>
      <c r="Y910">
        <v>31.379999000000002</v>
      </c>
      <c r="Z910" t="s">
        <v>268</v>
      </c>
      <c r="AA910" t="s">
        <v>186</v>
      </c>
      <c r="AB910" t="s">
        <v>1358</v>
      </c>
      <c r="AC910" t="s">
        <v>1623</v>
      </c>
      <c r="AH910" t="s">
        <v>65</v>
      </c>
      <c r="AI910" t="s">
        <v>1624</v>
      </c>
      <c r="AJ910">
        <v>1991</v>
      </c>
      <c r="AK910" t="s">
        <v>1625</v>
      </c>
      <c r="AM910" t="s">
        <v>1626</v>
      </c>
      <c r="AN910" t="s">
        <v>94</v>
      </c>
      <c r="AO910">
        <v>2</v>
      </c>
      <c r="AP910" t="s">
        <v>95</v>
      </c>
      <c r="AQ910" t="s">
        <v>1627</v>
      </c>
      <c r="AR910" t="s">
        <v>70</v>
      </c>
      <c r="AS910">
        <v>611</v>
      </c>
      <c r="AT910" t="s">
        <v>71</v>
      </c>
      <c r="AU910">
        <v>113.67</v>
      </c>
      <c r="AV910">
        <v>-2.72</v>
      </c>
      <c r="AW910" t="s">
        <v>72</v>
      </c>
      <c r="AX910">
        <v>611</v>
      </c>
      <c r="AY910" t="s">
        <v>71</v>
      </c>
      <c r="AZ910">
        <v>96.54</v>
      </c>
      <c r="BA910">
        <v>22.71</v>
      </c>
      <c r="BB910" t="s">
        <v>73</v>
      </c>
    </row>
    <row r="911" spans="1:54" x14ac:dyDescent="0.4">
      <c r="A911">
        <v>966703</v>
      </c>
      <c r="D911" t="s">
        <v>54</v>
      </c>
      <c r="G911">
        <v>1</v>
      </c>
      <c r="H911" t="s">
        <v>56</v>
      </c>
      <c r="I911" t="s">
        <v>57</v>
      </c>
      <c r="K911" t="s">
        <v>1621</v>
      </c>
      <c r="L911" t="s">
        <v>1622</v>
      </c>
      <c r="M911" t="s">
        <v>59</v>
      </c>
      <c r="P911" t="s">
        <v>131</v>
      </c>
      <c r="Q911" t="s">
        <v>111</v>
      </c>
      <c r="R911" t="s">
        <v>112</v>
      </c>
      <c r="S911" t="s">
        <v>61</v>
      </c>
      <c r="T911">
        <v>246.7</v>
      </c>
      <c r="U911">
        <v>237</v>
      </c>
      <c r="V911">
        <f>(T911+U911)/2</f>
        <v>241.85</v>
      </c>
      <c r="W911">
        <f>T911-U911</f>
        <v>9.6999999999999886</v>
      </c>
      <c r="X911">
        <v>111.620003</v>
      </c>
      <c r="Y911">
        <v>31.379999000000002</v>
      </c>
      <c r="Z911" t="s">
        <v>268</v>
      </c>
      <c r="AA911" t="s">
        <v>186</v>
      </c>
      <c r="AB911" t="s">
        <v>1358</v>
      </c>
      <c r="AC911" t="s">
        <v>1623</v>
      </c>
      <c r="AH911" t="s">
        <v>65</v>
      </c>
      <c r="AI911" t="s">
        <v>1624</v>
      </c>
      <c r="AJ911">
        <v>1991</v>
      </c>
      <c r="AK911" t="s">
        <v>1625</v>
      </c>
      <c r="AM911" t="s">
        <v>1626</v>
      </c>
      <c r="AN911" t="s">
        <v>94</v>
      </c>
      <c r="AO911">
        <v>2</v>
      </c>
      <c r="AP911" t="s">
        <v>95</v>
      </c>
      <c r="AQ911" t="s">
        <v>1627</v>
      </c>
      <c r="AR911" t="s">
        <v>70</v>
      </c>
      <c r="AS911">
        <v>611</v>
      </c>
      <c r="AT911" t="s">
        <v>71</v>
      </c>
      <c r="AU911">
        <v>113.67</v>
      </c>
      <c r="AV911">
        <v>-2.72</v>
      </c>
      <c r="AW911" t="s">
        <v>72</v>
      </c>
      <c r="AX911">
        <v>611</v>
      </c>
      <c r="AY911" t="s">
        <v>71</v>
      </c>
      <c r="AZ911">
        <v>96.54</v>
      </c>
      <c r="BA911">
        <v>22.71</v>
      </c>
      <c r="BB911" t="s">
        <v>73</v>
      </c>
    </row>
    <row r="912" spans="1:54" x14ac:dyDescent="0.4">
      <c r="A912">
        <v>966703</v>
      </c>
      <c r="D912" t="s">
        <v>54</v>
      </c>
      <c r="G912">
        <v>1</v>
      </c>
      <c r="H912" t="s">
        <v>56</v>
      </c>
      <c r="I912" t="s">
        <v>57</v>
      </c>
      <c r="K912" t="s">
        <v>1621</v>
      </c>
      <c r="L912" t="s">
        <v>1622</v>
      </c>
      <c r="M912" t="s">
        <v>59</v>
      </c>
      <c r="P912" t="s">
        <v>131</v>
      </c>
      <c r="Q912" t="s">
        <v>111</v>
      </c>
      <c r="R912" t="s">
        <v>112</v>
      </c>
      <c r="S912" t="s">
        <v>61</v>
      </c>
      <c r="T912">
        <v>246.7</v>
      </c>
      <c r="U912">
        <v>237</v>
      </c>
      <c r="V912">
        <f>(T912+U912)/2</f>
        <v>241.85</v>
      </c>
      <c r="W912">
        <f>T912-U912</f>
        <v>9.6999999999999886</v>
      </c>
      <c r="X912">
        <v>111.620003</v>
      </c>
      <c r="Y912">
        <v>31.379999000000002</v>
      </c>
      <c r="Z912" t="s">
        <v>268</v>
      </c>
      <c r="AA912" t="s">
        <v>186</v>
      </c>
      <c r="AB912" t="s">
        <v>1358</v>
      </c>
      <c r="AC912" t="s">
        <v>1623</v>
      </c>
      <c r="AH912" t="s">
        <v>65</v>
      </c>
      <c r="AI912" t="s">
        <v>1624</v>
      </c>
      <c r="AJ912">
        <v>1991</v>
      </c>
      <c r="AK912" t="s">
        <v>1625</v>
      </c>
      <c r="AM912" t="s">
        <v>1626</v>
      </c>
      <c r="AN912" t="s">
        <v>94</v>
      </c>
      <c r="AO912">
        <v>2</v>
      </c>
      <c r="AP912" t="s">
        <v>95</v>
      </c>
      <c r="AQ912" t="s">
        <v>1627</v>
      </c>
      <c r="AR912" t="s">
        <v>70</v>
      </c>
      <c r="AS912">
        <v>611</v>
      </c>
      <c r="AT912" t="s">
        <v>71</v>
      </c>
      <c r="AU912">
        <v>113.67</v>
      </c>
      <c r="AV912">
        <v>-2.72</v>
      </c>
      <c r="AW912" t="s">
        <v>72</v>
      </c>
      <c r="AX912">
        <v>611</v>
      </c>
      <c r="AY912" t="s">
        <v>71</v>
      </c>
      <c r="AZ912">
        <v>96.54</v>
      </c>
      <c r="BA912">
        <v>22.71</v>
      </c>
      <c r="BB912" t="s">
        <v>73</v>
      </c>
    </row>
    <row r="913" spans="1:54" x14ac:dyDescent="0.4">
      <c r="A913">
        <v>1091664</v>
      </c>
      <c r="D913" t="s">
        <v>54</v>
      </c>
      <c r="G913">
        <v>1</v>
      </c>
      <c r="H913" t="s">
        <v>74</v>
      </c>
      <c r="I913" t="s">
        <v>57</v>
      </c>
      <c r="K913" t="s">
        <v>355</v>
      </c>
      <c r="L913" t="s">
        <v>451</v>
      </c>
      <c r="M913" t="s">
        <v>59</v>
      </c>
      <c r="N913" t="s">
        <v>97</v>
      </c>
      <c r="O913" t="s">
        <v>179</v>
      </c>
      <c r="P913" t="s">
        <v>131</v>
      </c>
      <c r="Q913" t="s">
        <v>111</v>
      </c>
      <c r="R913" t="s">
        <v>112</v>
      </c>
      <c r="S913" t="s">
        <v>61</v>
      </c>
      <c r="T913">
        <v>246.7</v>
      </c>
      <c r="U913">
        <v>237</v>
      </c>
      <c r="V913">
        <f>(T913+U913)/2</f>
        <v>241.85</v>
      </c>
      <c r="W913">
        <f>T913-U913</f>
        <v>9.6999999999999886</v>
      </c>
      <c r="X913">
        <v>10.083333</v>
      </c>
      <c r="Y913">
        <v>49.150002000000001</v>
      </c>
      <c r="Z913" t="s">
        <v>268</v>
      </c>
      <c r="AA913" t="s">
        <v>128</v>
      </c>
      <c r="AB913" t="s">
        <v>129</v>
      </c>
      <c r="AH913" t="s">
        <v>11</v>
      </c>
      <c r="AI913" t="s">
        <v>145</v>
      </c>
      <c r="AJ913">
        <v>1896</v>
      </c>
      <c r="AK913" t="s">
        <v>358</v>
      </c>
      <c r="AN913" t="s">
        <v>94</v>
      </c>
      <c r="AO913" t="s">
        <v>106</v>
      </c>
      <c r="AQ913" t="s">
        <v>359</v>
      </c>
      <c r="AR913" t="s">
        <v>70</v>
      </c>
      <c r="AS913">
        <v>305</v>
      </c>
      <c r="AT913" t="s">
        <v>71</v>
      </c>
      <c r="AU913">
        <v>28.69</v>
      </c>
      <c r="AV913">
        <v>28.48</v>
      </c>
      <c r="AW913" t="s">
        <v>72</v>
      </c>
      <c r="AX913">
        <v>305</v>
      </c>
      <c r="AY913" t="s">
        <v>71</v>
      </c>
      <c r="AZ913">
        <v>18.690000000000001</v>
      </c>
      <c r="BA913">
        <v>15.35</v>
      </c>
      <c r="BB913" t="s">
        <v>73</v>
      </c>
    </row>
    <row r="914" spans="1:54" x14ac:dyDescent="0.4">
      <c r="A914">
        <v>1091751</v>
      </c>
      <c r="D914" t="s">
        <v>54</v>
      </c>
      <c r="I914" t="s">
        <v>57</v>
      </c>
      <c r="K914" t="s">
        <v>355</v>
      </c>
      <c r="L914" t="s">
        <v>451</v>
      </c>
      <c r="M914" t="s">
        <v>59</v>
      </c>
      <c r="N914" t="s">
        <v>97</v>
      </c>
      <c r="O914" t="s">
        <v>179</v>
      </c>
      <c r="P914" t="s">
        <v>131</v>
      </c>
      <c r="Q914" t="s">
        <v>111</v>
      </c>
      <c r="R914" t="s">
        <v>112</v>
      </c>
      <c r="S914" t="s">
        <v>61</v>
      </c>
      <c r="T914">
        <v>246.7</v>
      </c>
      <c r="U914">
        <v>237</v>
      </c>
      <c r="V914">
        <f>(T914+U914)/2</f>
        <v>241.85</v>
      </c>
      <c r="W914">
        <f>T914-U914</f>
        <v>9.6999999999999886</v>
      </c>
      <c r="X914">
        <v>10.083333</v>
      </c>
      <c r="Y914">
        <v>49.150002000000001</v>
      </c>
      <c r="Z914" t="s">
        <v>268</v>
      </c>
      <c r="AA914" t="s">
        <v>128</v>
      </c>
      <c r="AB914" t="s">
        <v>129</v>
      </c>
      <c r="AH914" t="s">
        <v>65</v>
      </c>
      <c r="AI914" t="s">
        <v>145</v>
      </c>
      <c r="AJ914">
        <v>1896</v>
      </c>
      <c r="AK914" t="s">
        <v>358</v>
      </c>
      <c r="AN914" t="s">
        <v>94</v>
      </c>
      <c r="AO914" t="s">
        <v>106</v>
      </c>
      <c r="AQ914" t="s">
        <v>359</v>
      </c>
      <c r="AR914" t="s">
        <v>70</v>
      </c>
      <c r="AS914">
        <v>305</v>
      </c>
      <c r="AT914" t="s">
        <v>71</v>
      </c>
      <c r="AU914">
        <v>28.69</v>
      </c>
      <c r="AV914">
        <v>28.48</v>
      </c>
      <c r="AW914" t="s">
        <v>72</v>
      </c>
      <c r="AX914">
        <v>305</v>
      </c>
      <c r="AY914" t="s">
        <v>71</v>
      </c>
      <c r="AZ914">
        <v>18.690000000000001</v>
      </c>
      <c r="BA914">
        <v>15.35</v>
      </c>
      <c r="BB914" t="s">
        <v>73</v>
      </c>
    </row>
    <row r="915" spans="1:54" x14ac:dyDescent="0.4">
      <c r="A915">
        <v>1277671</v>
      </c>
      <c r="D915" t="s">
        <v>54</v>
      </c>
      <c r="E915" t="s">
        <v>153</v>
      </c>
      <c r="G915">
        <v>1</v>
      </c>
      <c r="H915" t="s">
        <v>74</v>
      </c>
      <c r="I915" t="s">
        <v>57</v>
      </c>
      <c r="K915" t="s">
        <v>1320</v>
      </c>
      <c r="L915" t="s">
        <v>1321</v>
      </c>
      <c r="M915" t="s">
        <v>59</v>
      </c>
      <c r="P915" t="s">
        <v>131</v>
      </c>
      <c r="Q915" t="s">
        <v>111</v>
      </c>
      <c r="R915" t="s">
        <v>112</v>
      </c>
      <c r="S915" t="s">
        <v>61</v>
      </c>
      <c r="T915">
        <v>246.7</v>
      </c>
      <c r="U915">
        <v>237</v>
      </c>
      <c r="V915">
        <f>(T915+U915)/2</f>
        <v>241.85</v>
      </c>
      <c r="W915">
        <f>T915-U915</f>
        <v>9.6999999999999886</v>
      </c>
      <c r="X915">
        <v>8.8902780000000003</v>
      </c>
      <c r="Y915">
        <v>45.888888999999999</v>
      </c>
      <c r="Z915" t="s">
        <v>465</v>
      </c>
      <c r="AA915" t="s">
        <v>291</v>
      </c>
      <c r="AB915" t="s">
        <v>827</v>
      </c>
      <c r="AC915" t="s">
        <v>828</v>
      </c>
      <c r="AD915" t="s">
        <v>829</v>
      </c>
      <c r="AH915" t="s">
        <v>65</v>
      </c>
      <c r="AI915" t="s">
        <v>1813</v>
      </c>
      <c r="AJ915">
        <v>2003</v>
      </c>
      <c r="AK915" t="s">
        <v>830</v>
      </c>
      <c r="AM915" t="s">
        <v>831</v>
      </c>
      <c r="AN915" t="s">
        <v>121</v>
      </c>
      <c r="AO915" t="s">
        <v>68</v>
      </c>
      <c r="AP915" t="s">
        <v>95</v>
      </c>
      <c r="AQ915" t="s">
        <v>832</v>
      </c>
      <c r="AR915" t="s">
        <v>70</v>
      </c>
      <c r="AS915">
        <v>307</v>
      </c>
      <c r="AT915" t="s">
        <v>71</v>
      </c>
      <c r="AU915">
        <v>33.86</v>
      </c>
      <c r="AV915">
        <v>17.52</v>
      </c>
      <c r="AW915" t="s">
        <v>72</v>
      </c>
      <c r="AX915">
        <v>307</v>
      </c>
      <c r="AY915" t="s">
        <v>71</v>
      </c>
      <c r="AZ915">
        <v>21.15</v>
      </c>
      <c r="BA915">
        <v>7.67</v>
      </c>
      <c r="BB915" t="s">
        <v>73</v>
      </c>
    </row>
    <row r="916" spans="1:54" x14ac:dyDescent="0.4">
      <c r="A916">
        <v>1374079</v>
      </c>
      <c r="D916" t="s">
        <v>54</v>
      </c>
      <c r="E916" t="s">
        <v>104</v>
      </c>
      <c r="G916">
        <v>1</v>
      </c>
      <c r="H916" t="s">
        <v>74</v>
      </c>
      <c r="I916" t="s">
        <v>57</v>
      </c>
      <c r="K916" t="s">
        <v>355</v>
      </c>
      <c r="L916" t="s">
        <v>451</v>
      </c>
      <c r="M916" t="s">
        <v>59</v>
      </c>
      <c r="N916" t="s">
        <v>97</v>
      </c>
      <c r="O916" t="s">
        <v>179</v>
      </c>
      <c r="P916" t="s">
        <v>131</v>
      </c>
      <c r="Q916" t="s">
        <v>111</v>
      </c>
      <c r="R916" t="s">
        <v>112</v>
      </c>
      <c r="S916" t="s">
        <v>61</v>
      </c>
      <c r="T916">
        <v>246.7</v>
      </c>
      <c r="U916">
        <v>237</v>
      </c>
      <c r="V916">
        <f>(T916+U916)/2</f>
        <v>241.85</v>
      </c>
      <c r="W916">
        <f>T916-U916</f>
        <v>9.6999999999999886</v>
      </c>
      <c r="X916">
        <v>10.055129000000001</v>
      </c>
      <c r="Y916">
        <v>49.142696000000001</v>
      </c>
      <c r="Z916" t="s">
        <v>99</v>
      </c>
      <c r="AA916" t="s">
        <v>128</v>
      </c>
      <c r="AB916" t="s">
        <v>129</v>
      </c>
      <c r="AE916" t="s">
        <v>463</v>
      </c>
      <c r="AH916" t="s">
        <v>65</v>
      </c>
      <c r="AI916" t="s">
        <v>335</v>
      </c>
      <c r="AJ916">
        <v>1902</v>
      </c>
      <c r="AK916" t="s">
        <v>1965</v>
      </c>
      <c r="AM916" t="s">
        <v>1966</v>
      </c>
      <c r="AN916" t="s">
        <v>94</v>
      </c>
      <c r="AO916">
        <v>6</v>
      </c>
      <c r="AP916" t="s">
        <v>95</v>
      </c>
      <c r="AQ916" t="s">
        <v>1967</v>
      </c>
      <c r="AR916" t="s">
        <v>70</v>
      </c>
      <c r="AS916">
        <v>305</v>
      </c>
      <c r="AT916" t="s">
        <v>71</v>
      </c>
      <c r="AU916">
        <v>28.67</v>
      </c>
      <c r="AV916">
        <v>28.47</v>
      </c>
      <c r="AW916" t="s">
        <v>72</v>
      </c>
      <c r="AX916">
        <v>305</v>
      </c>
      <c r="AY916" t="s">
        <v>71</v>
      </c>
      <c r="AZ916">
        <v>18.68</v>
      </c>
      <c r="BA916">
        <v>15.34</v>
      </c>
      <c r="BB916" t="s">
        <v>73</v>
      </c>
    </row>
    <row r="917" spans="1:54" x14ac:dyDescent="0.4">
      <c r="A917">
        <v>1374080</v>
      </c>
      <c r="D917" t="s">
        <v>54</v>
      </c>
      <c r="E917" t="s">
        <v>104</v>
      </c>
      <c r="I917" t="s">
        <v>57</v>
      </c>
      <c r="K917" t="s">
        <v>102</v>
      </c>
      <c r="L917" t="s">
        <v>410</v>
      </c>
      <c r="M917" t="s">
        <v>59</v>
      </c>
      <c r="P917" t="s">
        <v>131</v>
      </c>
      <c r="Q917" t="s">
        <v>111</v>
      </c>
      <c r="R917" t="s">
        <v>112</v>
      </c>
      <c r="S917" t="s">
        <v>61</v>
      </c>
      <c r="T917">
        <v>246.7</v>
      </c>
      <c r="U917">
        <v>237</v>
      </c>
      <c r="V917">
        <f>(T917+U917)/2</f>
        <v>241.85</v>
      </c>
      <c r="W917">
        <f>T917-U917</f>
        <v>9.6999999999999886</v>
      </c>
      <c r="X917">
        <v>10.055129000000001</v>
      </c>
      <c r="Y917">
        <v>49.142696000000001</v>
      </c>
      <c r="Z917" t="s">
        <v>99</v>
      </c>
      <c r="AA917" t="s">
        <v>128</v>
      </c>
      <c r="AB917" t="s">
        <v>129</v>
      </c>
      <c r="AE917" t="s">
        <v>463</v>
      </c>
      <c r="AH917" t="s">
        <v>11</v>
      </c>
      <c r="AI917" t="s">
        <v>335</v>
      </c>
      <c r="AJ917">
        <v>1914</v>
      </c>
      <c r="AK917" t="s">
        <v>1965</v>
      </c>
      <c r="AM917" t="s">
        <v>1966</v>
      </c>
      <c r="AN917" t="s">
        <v>94</v>
      </c>
      <c r="AO917">
        <v>6</v>
      </c>
      <c r="AP917" t="s">
        <v>95</v>
      </c>
      <c r="AQ917" t="s">
        <v>1967</v>
      </c>
      <c r="AR917" t="s">
        <v>70</v>
      </c>
      <c r="AS917">
        <v>305</v>
      </c>
      <c r="AT917" t="s">
        <v>71</v>
      </c>
      <c r="AU917">
        <v>28.67</v>
      </c>
      <c r="AV917">
        <v>28.47</v>
      </c>
      <c r="AW917" t="s">
        <v>72</v>
      </c>
      <c r="AX917">
        <v>305</v>
      </c>
      <c r="AY917" t="s">
        <v>71</v>
      </c>
      <c r="AZ917">
        <v>18.68</v>
      </c>
      <c r="BA917">
        <v>15.34</v>
      </c>
      <c r="BB917" t="s">
        <v>73</v>
      </c>
    </row>
    <row r="918" spans="1:54" x14ac:dyDescent="0.4">
      <c r="A918">
        <v>1382838</v>
      </c>
      <c r="D918" t="s">
        <v>54</v>
      </c>
      <c r="F918" t="s">
        <v>352</v>
      </c>
      <c r="I918" t="s">
        <v>57</v>
      </c>
      <c r="K918" t="s">
        <v>102</v>
      </c>
      <c r="L918" t="s">
        <v>1595</v>
      </c>
      <c r="M918" t="s">
        <v>59</v>
      </c>
      <c r="O918" t="s">
        <v>76</v>
      </c>
      <c r="P918" t="s">
        <v>131</v>
      </c>
      <c r="Q918" t="s">
        <v>111</v>
      </c>
      <c r="R918" t="s">
        <v>112</v>
      </c>
      <c r="S918" t="s">
        <v>61</v>
      </c>
      <c r="T918">
        <v>246.7</v>
      </c>
      <c r="U918">
        <v>237</v>
      </c>
      <c r="V918">
        <f>(T918+U918)/2</f>
        <v>241.85</v>
      </c>
      <c r="W918">
        <f>T918-U918</f>
        <v>9.6999999999999886</v>
      </c>
      <c r="X918">
        <v>-53.368609999999997</v>
      </c>
      <c r="Y918">
        <v>-29.627222</v>
      </c>
      <c r="Z918" t="s">
        <v>62</v>
      </c>
      <c r="AA918" t="s">
        <v>367</v>
      </c>
      <c r="AB918" t="s">
        <v>368</v>
      </c>
      <c r="AD918" t="s">
        <v>382</v>
      </c>
      <c r="AH918" t="s">
        <v>65</v>
      </c>
      <c r="AI918" t="s">
        <v>2002</v>
      </c>
      <c r="AJ918">
        <v>2013</v>
      </c>
      <c r="AK918" t="s">
        <v>2003</v>
      </c>
      <c r="AO918" t="s">
        <v>68</v>
      </c>
      <c r="AR918" t="s">
        <v>70</v>
      </c>
      <c r="AS918">
        <v>201</v>
      </c>
      <c r="AT918" t="s">
        <v>71</v>
      </c>
      <c r="AU918">
        <v>-12.78</v>
      </c>
      <c r="AV918">
        <v>-35.049999999999997</v>
      </c>
      <c r="AW918" t="s">
        <v>72</v>
      </c>
      <c r="AX918">
        <v>202</v>
      </c>
      <c r="AY918" t="s">
        <v>71</v>
      </c>
      <c r="AZ918">
        <v>-19.239999999999998</v>
      </c>
      <c r="BA918">
        <v>-51.07</v>
      </c>
      <c r="BB918" t="s">
        <v>73</v>
      </c>
    </row>
    <row r="919" spans="1:54" x14ac:dyDescent="0.4">
      <c r="A919">
        <v>1412687</v>
      </c>
      <c r="D919" t="s">
        <v>54</v>
      </c>
      <c r="I919" t="s">
        <v>57</v>
      </c>
      <c r="K919" t="s">
        <v>1621</v>
      </c>
      <c r="L919" t="s">
        <v>2059</v>
      </c>
      <c r="M919" t="s">
        <v>59</v>
      </c>
      <c r="P919" t="s">
        <v>131</v>
      </c>
      <c r="Q919" t="s">
        <v>111</v>
      </c>
      <c r="R919" t="s">
        <v>112</v>
      </c>
      <c r="S919" t="s">
        <v>61</v>
      </c>
      <c r="T919">
        <v>246.7</v>
      </c>
      <c r="U919">
        <v>237</v>
      </c>
      <c r="V919">
        <f>(T919+U919)/2</f>
        <v>241.85</v>
      </c>
      <c r="W919">
        <f>T919-U919</f>
        <v>9.6999999999999886</v>
      </c>
      <c r="X919">
        <v>111.620003</v>
      </c>
      <c r="Y919">
        <v>31.379999000000002</v>
      </c>
      <c r="Z919" t="s">
        <v>268</v>
      </c>
      <c r="AA919" t="s">
        <v>186</v>
      </c>
      <c r="AB919" t="s">
        <v>1358</v>
      </c>
      <c r="AC919" t="s">
        <v>1623</v>
      </c>
      <c r="AH919" t="s">
        <v>65</v>
      </c>
      <c r="AI919" t="s">
        <v>1775</v>
      </c>
      <c r="AJ919">
        <v>2015</v>
      </c>
      <c r="AK919" t="s">
        <v>1625</v>
      </c>
      <c r="AM919" t="s">
        <v>1626</v>
      </c>
      <c r="AN919" t="s">
        <v>94</v>
      </c>
      <c r="AO919">
        <v>2</v>
      </c>
      <c r="AP919" t="s">
        <v>95</v>
      </c>
      <c r="AQ919" t="s">
        <v>1627</v>
      </c>
      <c r="AR919" t="s">
        <v>70</v>
      </c>
      <c r="AS919">
        <v>611</v>
      </c>
      <c r="AT919" t="s">
        <v>71</v>
      </c>
      <c r="AU919">
        <v>113.67</v>
      </c>
      <c r="AV919">
        <v>-2.72</v>
      </c>
      <c r="AW919" t="s">
        <v>72</v>
      </c>
      <c r="AX919">
        <v>611</v>
      </c>
      <c r="AY919" t="s">
        <v>71</v>
      </c>
      <c r="AZ919">
        <v>96.54</v>
      </c>
      <c r="BA919">
        <v>22.71</v>
      </c>
      <c r="BB919" t="s">
        <v>73</v>
      </c>
    </row>
    <row r="920" spans="1:54" x14ac:dyDescent="0.4">
      <c r="A920">
        <v>1418845</v>
      </c>
      <c r="D920" t="s">
        <v>54</v>
      </c>
      <c r="I920" t="s">
        <v>57</v>
      </c>
      <c r="K920" t="s">
        <v>102</v>
      </c>
      <c r="L920" t="s">
        <v>1866</v>
      </c>
      <c r="M920" t="s">
        <v>59</v>
      </c>
      <c r="P920" t="s">
        <v>131</v>
      </c>
      <c r="Q920" t="s">
        <v>111</v>
      </c>
      <c r="R920" t="s">
        <v>112</v>
      </c>
      <c r="S920" t="s">
        <v>61</v>
      </c>
      <c r="T920">
        <v>246.7</v>
      </c>
      <c r="U920">
        <v>237</v>
      </c>
      <c r="V920">
        <f>(T920+U920)/2</f>
        <v>241.85</v>
      </c>
      <c r="W920">
        <f>T920-U920</f>
        <v>9.6999999999999886</v>
      </c>
      <c r="X920">
        <v>111.620003</v>
      </c>
      <c r="Y920">
        <v>31.379999000000002</v>
      </c>
      <c r="Z920" t="s">
        <v>268</v>
      </c>
      <c r="AA920" t="s">
        <v>186</v>
      </c>
      <c r="AB920" t="s">
        <v>1358</v>
      </c>
      <c r="AC920" t="s">
        <v>1623</v>
      </c>
      <c r="AH920" t="s">
        <v>65</v>
      </c>
      <c r="AI920" t="s">
        <v>1624</v>
      </c>
      <c r="AJ920">
        <v>1991</v>
      </c>
      <c r="AK920" t="s">
        <v>1625</v>
      </c>
      <c r="AM920" t="s">
        <v>1626</v>
      </c>
      <c r="AN920" t="s">
        <v>94</v>
      </c>
      <c r="AO920">
        <v>2</v>
      </c>
      <c r="AP920" t="s">
        <v>95</v>
      </c>
      <c r="AQ920" t="s">
        <v>1627</v>
      </c>
      <c r="AR920" t="s">
        <v>70</v>
      </c>
      <c r="AS920">
        <v>611</v>
      </c>
      <c r="AT920" t="s">
        <v>71</v>
      </c>
      <c r="AU920">
        <v>113.67</v>
      </c>
      <c r="AV920">
        <v>-2.72</v>
      </c>
      <c r="AW920" t="s">
        <v>72</v>
      </c>
      <c r="AX920">
        <v>611</v>
      </c>
      <c r="AY920" t="s">
        <v>71</v>
      </c>
      <c r="AZ920">
        <v>96.54</v>
      </c>
      <c r="BA920">
        <v>22.71</v>
      </c>
      <c r="BB920" t="s">
        <v>73</v>
      </c>
    </row>
    <row r="921" spans="1:54" x14ac:dyDescent="0.4">
      <c r="A921">
        <v>1561500</v>
      </c>
      <c r="D921" t="s">
        <v>840</v>
      </c>
      <c r="E921" t="s">
        <v>153</v>
      </c>
      <c r="G921">
        <v>8</v>
      </c>
      <c r="H921" t="s">
        <v>74</v>
      </c>
      <c r="I921" t="s">
        <v>57</v>
      </c>
      <c r="K921" t="s">
        <v>355</v>
      </c>
      <c r="L921" t="s">
        <v>451</v>
      </c>
      <c r="M921" t="s">
        <v>59</v>
      </c>
      <c r="N921" t="s">
        <v>97</v>
      </c>
      <c r="O921" t="s">
        <v>179</v>
      </c>
      <c r="P921" t="s">
        <v>131</v>
      </c>
      <c r="Q921" t="s">
        <v>111</v>
      </c>
      <c r="R921" t="s">
        <v>112</v>
      </c>
      <c r="S921" t="s">
        <v>61</v>
      </c>
      <c r="T921">
        <v>246.7</v>
      </c>
      <c r="U921">
        <v>237</v>
      </c>
      <c r="V921">
        <f>(T921+U921)/2</f>
        <v>241.85</v>
      </c>
      <c r="W921">
        <f>T921-U921</f>
        <v>9.6999999999999886</v>
      </c>
      <c r="X921">
        <v>8.9413889999999991</v>
      </c>
      <c r="Y921">
        <v>45.907223000000002</v>
      </c>
      <c r="Z921" t="s">
        <v>465</v>
      </c>
      <c r="AA921" t="s">
        <v>133</v>
      </c>
      <c r="AB921" t="s">
        <v>841</v>
      </c>
      <c r="AC921" t="s">
        <v>834</v>
      </c>
      <c r="AD921" t="s">
        <v>829</v>
      </c>
      <c r="AH921" t="s">
        <v>65</v>
      </c>
      <c r="AI921" t="s">
        <v>2217</v>
      </c>
      <c r="AJ921">
        <v>2020</v>
      </c>
      <c r="AK921" t="s">
        <v>2218</v>
      </c>
      <c r="AN921" t="s">
        <v>121</v>
      </c>
      <c r="AO921" t="s">
        <v>68</v>
      </c>
      <c r="AP921" t="s">
        <v>95</v>
      </c>
      <c r="AQ921" t="s">
        <v>2219</v>
      </c>
      <c r="AR921" t="s">
        <v>70</v>
      </c>
      <c r="AS921">
        <v>307</v>
      </c>
      <c r="AT921" t="s">
        <v>71</v>
      </c>
      <c r="AU921">
        <v>33.9</v>
      </c>
      <c r="AV921">
        <v>17.5</v>
      </c>
      <c r="AW921" t="s">
        <v>72</v>
      </c>
      <c r="AX921">
        <v>307</v>
      </c>
      <c r="AY921" t="s">
        <v>71</v>
      </c>
      <c r="AZ921">
        <v>21.19</v>
      </c>
      <c r="BA921">
        <v>7.66</v>
      </c>
      <c r="BB921" t="s">
        <v>73</v>
      </c>
    </row>
    <row r="922" spans="1:54" x14ac:dyDescent="0.4">
      <c r="A922">
        <v>1639892</v>
      </c>
      <c r="D922" t="s">
        <v>54</v>
      </c>
      <c r="I922" t="s">
        <v>57</v>
      </c>
      <c r="K922" t="s">
        <v>102</v>
      </c>
      <c r="L922" t="s">
        <v>290</v>
      </c>
      <c r="M922" t="s">
        <v>59</v>
      </c>
      <c r="P922" t="s">
        <v>131</v>
      </c>
      <c r="Q922" t="s">
        <v>111</v>
      </c>
      <c r="R922" t="s">
        <v>112</v>
      </c>
      <c r="S922" t="s">
        <v>61</v>
      </c>
      <c r="T922">
        <v>246.7</v>
      </c>
      <c r="U922">
        <v>237</v>
      </c>
      <c r="V922">
        <f>(T922+U922)/2</f>
        <v>241.85</v>
      </c>
      <c r="W922">
        <f>T922-U922</f>
        <v>9.6999999999999886</v>
      </c>
      <c r="X922">
        <v>-110.244179</v>
      </c>
      <c r="Y922">
        <v>34.917029999999997</v>
      </c>
      <c r="Z922" t="s">
        <v>99</v>
      </c>
      <c r="AA922" t="s">
        <v>63</v>
      </c>
      <c r="AB922" t="s">
        <v>282</v>
      </c>
      <c r="AH922" t="s">
        <v>65</v>
      </c>
      <c r="AI922" t="s">
        <v>1883</v>
      </c>
      <c r="AJ922">
        <v>2023</v>
      </c>
      <c r="AK922" t="s">
        <v>2260</v>
      </c>
      <c r="AO922">
        <v>6</v>
      </c>
      <c r="AR922" t="s">
        <v>70</v>
      </c>
      <c r="AS922">
        <v>101</v>
      </c>
      <c r="AT922" t="s">
        <v>71</v>
      </c>
      <c r="AU922">
        <v>-34.549999999999997</v>
      </c>
      <c r="AV922">
        <v>17.28</v>
      </c>
      <c r="AW922" t="s">
        <v>72</v>
      </c>
      <c r="AX922">
        <v>133</v>
      </c>
      <c r="AY922" t="s">
        <v>71</v>
      </c>
      <c r="AZ922">
        <v>-43.16</v>
      </c>
      <c r="BA922">
        <v>3.42</v>
      </c>
      <c r="BB922" t="s">
        <v>73</v>
      </c>
    </row>
    <row r="923" spans="1:54" x14ac:dyDescent="0.4">
      <c r="A923">
        <v>1639894</v>
      </c>
      <c r="D923" t="s">
        <v>54</v>
      </c>
      <c r="I923" t="s">
        <v>57</v>
      </c>
      <c r="K923" t="s">
        <v>102</v>
      </c>
      <c r="L923" t="s">
        <v>290</v>
      </c>
      <c r="M923" t="s">
        <v>59</v>
      </c>
      <c r="P923" t="s">
        <v>131</v>
      </c>
      <c r="Q923" t="s">
        <v>111</v>
      </c>
      <c r="R923" t="s">
        <v>112</v>
      </c>
      <c r="S923" t="s">
        <v>61</v>
      </c>
      <c r="T923">
        <v>246.7</v>
      </c>
      <c r="U923">
        <v>237</v>
      </c>
      <c r="V923">
        <f>(T923+U923)/2</f>
        <v>241.85</v>
      </c>
      <c r="W923">
        <f>T923-U923</f>
        <v>9.6999999999999886</v>
      </c>
      <c r="X923">
        <v>-110.823021</v>
      </c>
      <c r="Y923">
        <v>35.082957999999998</v>
      </c>
      <c r="Z923" t="s">
        <v>99</v>
      </c>
      <c r="AA923" t="s">
        <v>63</v>
      </c>
      <c r="AB923" t="s">
        <v>282</v>
      </c>
      <c r="AH923" t="s">
        <v>65</v>
      </c>
      <c r="AI923" t="s">
        <v>1883</v>
      </c>
      <c r="AJ923">
        <v>2023</v>
      </c>
      <c r="AK923" t="s">
        <v>2261</v>
      </c>
      <c r="AO923">
        <v>6</v>
      </c>
      <c r="AR923" t="s">
        <v>70</v>
      </c>
      <c r="AS923">
        <v>101</v>
      </c>
      <c r="AT923" t="s">
        <v>71</v>
      </c>
      <c r="AU923">
        <v>-34.97</v>
      </c>
      <c r="AV923">
        <v>17.579999999999998</v>
      </c>
      <c r="AW923" t="s">
        <v>72</v>
      </c>
      <c r="AX923">
        <v>133</v>
      </c>
      <c r="AY923" t="s">
        <v>71</v>
      </c>
      <c r="AZ923">
        <v>-43.52</v>
      </c>
      <c r="BA923">
        <v>3.78</v>
      </c>
      <c r="BB923" t="s">
        <v>73</v>
      </c>
    </row>
    <row r="924" spans="1:54" x14ac:dyDescent="0.4">
      <c r="A924" s="1" t="s">
        <v>2279</v>
      </c>
      <c r="B924" s="1"/>
      <c r="C924" s="1"/>
      <c r="D924" s="1" t="s">
        <v>54</v>
      </c>
      <c r="E924" s="1"/>
      <c r="F924" s="1" t="s">
        <v>2280</v>
      </c>
      <c r="G924" s="1">
        <v>1</v>
      </c>
      <c r="H924" s="1" t="s">
        <v>2281</v>
      </c>
      <c r="I924" s="2" t="s">
        <v>57</v>
      </c>
      <c r="J924" s="2" t="s">
        <v>2282</v>
      </c>
      <c r="K924" s="2" t="s">
        <v>2283</v>
      </c>
      <c r="L924" s="3" t="s">
        <v>1814</v>
      </c>
      <c r="M924" s="2" t="s">
        <v>59</v>
      </c>
      <c r="N924" s="3"/>
      <c r="O924" s="3"/>
      <c r="P924" s="2" t="s">
        <v>131</v>
      </c>
      <c r="Q924" s="2"/>
      <c r="R924" s="2" t="s">
        <v>112</v>
      </c>
      <c r="S924" s="2" t="s">
        <v>61</v>
      </c>
      <c r="T924">
        <v>246.7</v>
      </c>
      <c r="U924">
        <v>237</v>
      </c>
      <c r="V924">
        <f>(T924+U924)/2</f>
        <v>241.85</v>
      </c>
      <c r="W924">
        <f>T924-U924</f>
        <v>9.6999999999999886</v>
      </c>
      <c r="X924" s="4">
        <v>26.623055999999998</v>
      </c>
      <c r="Y924" s="4">
        <v>-30.612223</v>
      </c>
      <c r="Z924" s="4"/>
      <c r="AA924" s="2" t="s">
        <v>86</v>
      </c>
      <c r="AB924" s="2" t="s">
        <v>2284</v>
      </c>
      <c r="AC924" s="2" t="s">
        <v>2283</v>
      </c>
      <c r="AD924" s="2" t="s">
        <v>777</v>
      </c>
      <c r="AE924" s="2" t="s">
        <v>90</v>
      </c>
      <c r="AF924" s="2" t="s">
        <v>2283</v>
      </c>
      <c r="AG924" s="2" t="s">
        <v>2285</v>
      </c>
      <c r="AH924" s="2"/>
      <c r="AI924" s="2" t="s">
        <v>2283</v>
      </c>
      <c r="AJ924" s="2" t="s">
        <v>2283</v>
      </c>
      <c r="AK924" s="2" t="s">
        <v>2286</v>
      </c>
      <c r="AL924" s="5" t="s">
        <v>2287</v>
      </c>
      <c r="AM924" s="4"/>
      <c r="AN924" s="4"/>
      <c r="AO924" s="2"/>
      <c r="AP924" s="2"/>
      <c r="AQ924" s="2"/>
      <c r="AR924" s="2"/>
      <c r="AS924" s="2"/>
      <c r="AT924" s="2"/>
      <c r="AU924" s="2"/>
      <c r="AV924" s="2"/>
      <c r="AW924" s="2"/>
      <c r="AX924" s="2"/>
      <c r="AY924" s="2"/>
      <c r="AZ924" s="2"/>
      <c r="BA924" s="2"/>
      <c r="BB924" s="2"/>
    </row>
    <row r="925" spans="1:54" x14ac:dyDescent="0.4">
      <c r="A925" s="1" t="s">
        <v>2288</v>
      </c>
      <c r="B925" s="1"/>
      <c r="C925" s="1"/>
      <c r="D925" s="1" t="s">
        <v>54</v>
      </c>
      <c r="E925" s="1"/>
      <c r="F925" s="1" t="s">
        <v>2289</v>
      </c>
      <c r="G925" s="1">
        <v>1</v>
      </c>
      <c r="H925" s="1" t="s">
        <v>2281</v>
      </c>
      <c r="I925" s="2" t="s">
        <v>57</v>
      </c>
      <c r="J925" s="2" t="s">
        <v>2282</v>
      </c>
      <c r="K925" s="2" t="s">
        <v>2283</v>
      </c>
      <c r="L925" s="3" t="s">
        <v>1814</v>
      </c>
      <c r="M925" s="2" t="s">
        <v>59</v>
      </c>
      <c r="N925" s="3"/>
      <c r="O925" s="3"/>
      <c r="P925" s="2" t="s">
        <v>131</v>
      </c>
      <c r="Q925" s="2"/>
      <c r="R925" s="2" t="s">
        <v>112</v>
      </c>
      <c r="S925" s="2" t="s">
        <v>61</v>
      </c>
      <c r="T925">
        <v>246.7</v>
      </c>
      <c r="U925">
        <v>237</v>
      </c>
      <c r="V925">
        <f>(T925+U925)/2</f>
        <v>241.85</v>
      </c>
      <c r="W925">
        <f>T925-U925</f>
        <v>9.6999999999999886</v>
      </c>
      <c r="X925" s="4">
        <v>26.623055999999998</v>
      </c>
      <c r="Y925" s="4">
        <v>-30.612223</v>
      </c>
      <c r="Z925" s="4"/>
      <c r="AA925" s="2" t="s">
        <v>86</v>
      </c>
      <c r="AB925" s="2" t="s">
        <v>2284</v>
      </c>
      <c r="AC925" s="2" t="s">
        <v>2283</v>
      </c>
      <c r="AD925" s="2" t="s">
        <v>777</v>
      </c>
      <c r="AE925" s="2" t="s">
        <v>90</v>
      </c>
      <c r="AF925" s="2" t="s">
        <v>2283</v>
      </c>
      <c r="AG925" s="2" t="s">
        <v>2285</v>
      </c>
      <c r="AH925" s="2"/>
      <c r="AI925" s="2" t="s">
        <v>2283</v>
      </c>
      <c r="AJ925" s="2" t="s">
        <v>2283</v>
      </c>
      <c r="AK925" s="2" t="s">
        <v>2286</v>
      </c>
      <c r="AL925" s="5" t="s">
        <v>2290</v>
      </c>
      <c r="AM925" s="4"/>
      <c r="AN925" s="4"/>
      <c r="AO925" s="2"/>
      <c r="AP925" s="2"/>
      <c r="AQ925" s="2"/>
      <c r="AR925" s="2"/>
      <c r="AS925" s="2"/>
      <c r="AT925" s="2"/>
      <c r="AU925" s="2"/>
      <c r="AV925" s="2"/>
      <c r="AW925" s="2"/>
      <c r="AX925" s="2"/>
      <c r="AY925" s="2"/>
      <c r="AZ925" s="2"/>
      <c r="BA925" s="2"/>
      <c r="BB925" s="2"/>
    </row>
    <row r="926" spans="1:54" x14ac:dyDescent="0.4">
      <c r="A926" s="1" t="s">
        <v>2291</v>
      </c>
      <c r="B926" s="1"/>
      <c r="C926" s="1"/>
      <c r="D926" s="1" t="s">
        <v>54</v>
      </c>
      <c r="E926" s="1"/>
      <c r="F926" s="1" t="s">
        <v>2292</v>
      </c>
      <c r="G926" s="1">
        <v>1</v>
      </c>
      <c r="H926" s="1" t="s">
        <v>2281</v>
      </c>
      <c r="I926" s="2" t="s">
        <v>57</v>
      </c>
      <c r="J926" s="2" t="s">
        <v>2282</v>
      </c>
      <c r="K926" s="2" t="s">
        <v>652</v>
      </c>
      <c r="L926" s="2" t="s">
        <v>1006</v>
      </c>
      <c r="M926" s="2" t="s">
        <v>59</v>
      </c>
      <c r="N926" s="2"/>
      <c r="O926" s="2"/>
      <c r="P926" s="2" t="s">
        <v>131</v>
      </c>
      <c r="Q926" s="2"/>
      <c r="R926" s="2" t="s">
        <v>112</v>
      </c>
      <c r="S926" s="2" t="s">
        <v>61</v>
      </c>
      <c r="T926">
        <v>246.7</v>
      </c>
      <c r="U926">
        <v>237</v>
      </c>
      <c r="V926">
        <f>(T926+U926)/2</f>
        <v>241.85</v>
      </c>
      <c r="W926">
        <f>T926-U926</f>
        <v>9.6999999999999886</v>
      </c>
      <c r="X926" s="4">
        <v>26.45</v>
      </c>
      <c r="Y926" s="4">
        <v>-30.916666670000001</v>
      </c>
      <c r="Z926" s="2"/>
      <c r="AA926" s="2" t="s">
        <v>86</v>
      </c>
      <c r="AB926" s="2" t="s">
        <v>2293</v>
      </c>
      <c r="AC926" s="2" t="s">
        <v>2283</v>
      </c>
      <c r="AD926" s="2" t="s">
        <v>777</v>
      </c>
      <c r="AE926" s="2" t="s">
        <v>90</v>
      </c>
      <c r="AF926" s="2" t="s">
        <v>2283</v>
      </c>
      <c r="AG926" s="2" t="s">
        <v>2294</v>
      </c>
      <c r="AH926" s="2"/>
      <c r="AI926" s="2" t="s">
        <v>2283</v>
      </c>
      <c r="AJ926" s="2" t="s">
        <v>2283</v>
      </c>
      <c r="AK926" s="2" t="s">
        <v>2286</v>
      </c>
      <c r="AL926" s="5" t="s">
        <v>2295</v>
      </c>
      <c r="AM926" s="4"/>
      <c r="AN926" s="4"/>
      <c r="AO926" s="2"/>
      <c r="AP926" s="2"/>
      <c r="AQ926" s="2"/>
      <c r="AR926" s="2"/>
      <c r="AS926" s="2"/>
      <c r="AT926" s="2"/>
      <c r="AU926" s="2"/>
      <c r="AV926" s="2"/>
      <c r="AW926" s="2"/>
      <c r="AX926" s="2"/>
      <c r="AY926" s="2"/>
      <c r="AZ926" s="2"/>
      <c r="BA926" s="2"/>
      <c r="BB926" s="2"/>
    </row>
    <row r="927" spans="1:54" x14ac:dyDescent="0.4">
      <c r="A927" s="1" t="s">
        <v>2296</v>
      </c>
      <c r="B927" s="1"/>
      <c r="C927" s="1"/>
      <c r="D927" s="1" t="s">
        <v>54</v>
      </c>
      <c r="E927" s="1"/>
      <c r="F927" s="1" t="s">
        <v>2297</v>
      </c>
      <c r="G927" s="1">
        <v>1</v>
      </c>
      <c r="H927" s="1" t="s">
        <v>2281</v>
      </c>
      <c r="I927" s="2" t="s">
        <v>57</v>
      </c>
      <c r="J927" s="2" t="s">
        <v>2282</v>
      </c>
      <c r="K927" s="2" t="s">
        <v>652</v>
      </c>
      <c r="L927" s="2" t="s">
        <v>1006</v>
      </c>
      <c r="M927" s="2" t="s">
        <v>59</v>
      </c>
      <c r="N927" s="2"/>
      <c r="O927" s="2"/>
      <c r="P927" s="2" t="s">
        <v>131</v>
      </c>
      <c r="Q927" s="2"/>
      <c r="R927" s="2" t="s">
        <v>112</v>
      </c>
      <c r="S927" s="2" t="s">
        <v>61</v>
      </c>
      <c r="T927">
        <v>246.7</v>
      </c>
      <c r="U927">
        <v>237</v>
      </c>
      <c r="V927">
        <f>(T927+U927)/2</f>
        <v>241.85</v>
      </c>
      <c r="W927">
        <f>T927-U927</f>
        <v>9.6999999999999886</v>
      </c>
      <c r="X927" s="4">
        <v>25.7</v>
      </c>
      <c r="Y927" s="4">
        <v>-31.35</v>
      </c>
      <c r="Z927" s="2"/>
      <c r="AA927" s="2" t="s">
        <v>86</v>
      </c>
      <c r="AB927" s="2" t="s">
        <v>2293</v>
      </c>
      <c r="AC927" s="2" t="s">
        <v>2283</v>
      </c>
      <c r="AD927" s="2" t="s">
        <v>777</v>
      </c>
      <c r="AE927" s="2" t="s">
        <v>90</v>
      </c>
      <c r="AF927" s="2" t="s">
        <v>2283</v>
      </c>
      <c r="AG927" s="2" t="s">
        <v>2294</v>
      </c>
      <c r="AH927" s="2"/>
      <c r="AI927" s="2" t="s">
        <v>2283</v>
      </c>
      <c r="AJ927" s="2" t="s">
        <v>2283</v>
      </c>
      <c r="AK927" s="2" t="s">
        <v>2286</v>
      </c>
      <c r="AL927" s="5" t="s">
        <v>2298</v>
      </c>
      <c r="AM927" s="4"/>
      <c r="AN927" s="4"/>
      <c r="AO927" s="2"/>
      <c r="AP927" s="2"/>
      <c r="AQ927" s="2"/>
      <c r="AR927" s="2"/>
      <c r="AS927" s="2"/>
      <c r="AT927" s="2"/>
      <c r="AU927" s="2"/>
      <c r="AV927" s="2"/>
      <c r="AW927" s="2"/>
      <c r="AX927" s="2"/>
      <c r="AY927" s="2"/>
      <c r="AZ927" s="2"/>
      <c r="BA927" s="2"/>
      <c r="BB927" s="2"/>
    </row>
    <row r="928" spans="1:54" x14ac:dyDescent="0.4">
      <c r="A928" s="1" t="s">
        <v>2299</v>
      </c>
      <c r="B928" s="1"/>
      <c r="C928" s="1"/>
      <c r="D928" s="1" t="s">
        <v>54</v>
      </c>
      <c r="E928" s="1"/>
      <c r="F928" s="1" t="s">
        <v>2300</v>
      </c>
      <c r="G928" s="1">
        <v>1</v>
      </c>
      <c r="H928" s="1" t="s">
        <v>2281</v>
      </c>
      <c r="I928" s="2" t="s">
        <v>57</v>
      </c>
      <c r="J928" s="2" t="s">
        <v>2282</v>
      </c>
      <c r="K928" s="2" t="s">
        <v>652</v>
      </c>
      <c r="L928" s="3" t="s">
        <v>1006</v>
      </c>
      <c r="M928" s="2" t="s">
        <v>59</v>
      </c>
      <c r="N928" s="3"/>
      <c r="O928" s="3"/>
      <c r="P928" s="2" t="s">
        <v>131</v>
      </c>
      <c r="Q928" s="2"/>
      <c r="R928" s="2" t="s">
        <v>112</v>
      </c>
      <c r="S928" s="2" t="s">
        <v>61</v>
      </c>
      <c r="T928">
        <v>246.7</v>
      </c>
      <c r="U928">
        <v>237</v>
      </c>
      <c r="V928">
        <f>(T928+U928)/2</f>
        <v>241.85</v>
      </c>
      <c r="W928">
        <f>T928-U928</f>
        <v>9.6999999999999886</v>
      </c>
      <c r="X928" s="4">
        <v>26.966667000000001</v>
      </c>
      <c r="Y928" s="4">
        <v>-30.833331999999999</v>
      </c>
      <c r="Z928" s="2"/>
      <c r="AA928" s="2" t="s">
        <v>86</v>
      </c>
      <c r="AB928" s="2" t="s">
        <v>2293</v>
      </c>
      <c r="AC928" s="2" t="s">
        <v>2283</v>
      </c>
      <c r="AD928" s="2" t="s">
        <v>777</v>
      </c>
      <c r="AE928" s="2" t="s">
        <v>90</v>
      </c>
      <c r="AF928" s="2" t="s">
        <v>2283</v>
      </c>
      <c r="AG928" s="2" t="s">
        <v>2294</v>
      </c>
      <c r="AH928" s="2"/>
      <c r="AI928" s="2" t="s">
        <v>2283</v>
      </c>
      <c r="AJ928" s="2" t="s">
        <v>2283</v>
      </c>
      <c r="AK928" s="2" t="s">
        <v>2286</v>
      </c>
      <c r="AL928" s="5" t="s">
        <v>2301</v>
      </c>
      <c r="AM928" s="4"/>
      <c r="AN928" s="4"/>
      <c r="AO928" s="2"/>
      <c r="AP928" s="2"/>
      <c r="AQ928" s="2"/>
      <c r="AR928" s="2"/>
      <c r="AS928" s="2"/>
      <c r="AT928" s="2"/>
      <c r="AU928" s="2"/>
      <c r="AV928" s="2"/>
      <c r="AW928" s="2"/>
      <c r="AX928" s="2"/>
      <c r="AY928" s="2"/>
      <c r="AZ928" s="2"/>
      <c r="BA928" s="2"/>
      <c r="BB928" s="2"/>
    </row>
    <row r="929" spans="1:54" x14ac:dyDescent="0.4">
      <c r="A929" s="1" t="s">
        <v>2302</v>
      </c>
      <c r="B929" s="1"/>
      <c r="C929" s="1"/>
      <c r="D929" s="1" t="s">
        <v>54</v>
      </c>
      <c r="E929" s="1"/>
      <c r="F929" s="1" t="s">
        <v>2303</v>
      </c>
      <c r="G929" s="1">
        <v>1</v>
      </c>
      <c r="H929" s="1" t="s">
        <v>2281</v>
      </c>
      <c r="I929" s="2" t="s">
        <v>57</v>
      </c>
      <c r="J929" s="2" t="s">
        <v>2282</v>
      </c>
      <c r="K929" s="2" t="s">
        <v>652</v>
      </c>
      <c r="L929" s="3" t="s">
        <v>1006</v>
      </c>
      <c r="M929" s="2" t="s">
        <v>59</v>
      </c>
      <c r="N929" s="3"/>
      <c r="O929" s="3"/>
      <c r="P929" s="2" t="s">
        <v>131</v>
      </c>
      <c r="Q929" s="2"/>
      <c r="R929" s="2" t="s">
        <v>112</v>
      </c>
      <c r="S929" s="2" t="s">
        <v>61</v>
      </c>
      <c r="T929">
        <v>246.7</v>
      </c>
      <c r="U929">
        <v>237</v>
      </c>
      <c r="V929">
        <f>(T929+U929)/2</f>
        <v>241.85</v>
      </c>
      <c r="W929">
        <f>T929-U929</f>
        <v>9.6999999999999886</v>
      </c>
      <c r="X929" s="4">
        <v>26.283332999999999</v>
      </c>
      <c r="Y929" s="4">
        <v>-30.766666000000001</v>
      </c>
      <c r="Z929" s="2"/>
      <c r="AA929" s="2" t="s">
        <v>86</v>
      </c>
      <c r="AB929" s="2" t="s">
        <v>2304</v>
      </c>
      <c r="AC929" s="2" t="s">
        <v>2283</v>
      </c>
      <c r="AD929" s="2" t="s">
        <v>777</v>
      </c>
      <c r="AE929" s="2" t="s">
        <v>90</v>
      </c>
      <c r="AF929" s="2" t="s">
        <v>2283</v>
      </c>
      <c r="AG929" s="2" t="s">
        <v>2294</v>
      </c>
      <c r="AH929" s="2"/>
      <c r="AI929" s="2" t="s">
        <v>2283</v>
      </c>
      <c r="AJ929" s="2" t="s">
        <v>2283</v>
      </c>
      <c r="AK929" s="2" t="s">
        <v>2286</v>
      </c>
      <c r="AL929" s="5" t="s">
        <v>2305</v>
      </c>
      <c r="AM929" s="4"/>
      <c r="AN929" s="4"/>
      <c r="AO929" s="2"/>
      <c r="AP929" s="2"/>
      <c r="AQ929" s="2"/>
      <c r="AR929" s="2"/>
      <c r="AS929" s="2"/>
      <c r="AT929" s="2"/>
      <c r="AU929" s="2"/>
      <c r="AV929" s="2"/>
      <c r="AW929" s="2"/>
      <c r="AX929" s="2"/>
      <c r="AY929" s="2"/>
      <c r="AZ929" s="2"/>
      <c r="BA929" s="2"/>
      <c r="BB929" s="2"/>
    </row>
    <row r="930" spans="1:54" x14ac:dyDescent="0.4">
      <c r="A930" s="1" t="s">
        <v>2306</v>
      </c>
      <c r="B930" s="1"/>
      <c r="C930" s="1"/>
      <c r="D930" s="1" t="s">
        <v>54</v>
      </c>
      <c r="E930" s="1"/>
      <c r="F930" s="1" t="s">
        <v>2307</v>
      </c>
      <c r="G930" s="1">
        <v>1</v>
      </c>
      <c r="H930" s="1" t="s">
        <v>2281</v>
      </c>
      <c r="I930" s="2" t="s">
        <v>57</v>
      </c>
      <c r="J930" s="2" t="s">
        <v>2282</v>
      </c>
      <c r="K930" s="2" t="s">
        <v>652</v>
      </c>
      <c r="L930" s="3" t="s">
        <v>1006</v>
      </c>
      <c r="M930" s="2" t="s">
        <v>59</v>
      </c>
      <c r="N930" s="3"/>
      <c r="O930" s="3"/>
      <c r="P930" s="2" t="s">
        <v>131</v>
      </c>
      <c r="Q930" s="2"/>
      <c r="R930" s="2" t="s">
        <v>112</v>
      </c>
      <c r="S930" s="2" t="s">
        <v>61</v>
      </c>
      <c r="T930">
        <v>246.7</v>
      </c>
      <c r="U930">
        <v>237</v>
      </c>
      <c r="V930">
        <f>(T930+U930)/2</f>
        <v>241.85</v>
      </c>
      <c r="W930">
        <f>T930-U930</f>
        <v>9.6999999999999886</v>
      </c>
      <c r="X930" s="4">
        <v>26.623055999999998</v>
      </c>
      <c r="Y930" s="4">
        <v>-30.612223</v>
      </c>
      <c r="Z930" s="2"/>
      <c r="AA930" s="2" t="s">
        <v>86</v>
      </c>
      <c r="AB930" s="2" t="s">
        <v>2293</v>
      </c>
      <c r="AC930" s="2" t="s">
        <v>2283</v>
      </c>
      <c r="AD930" s="2" t="s">
        <v>777</v>
      </c>
      <c r="AE930" s="2" t="s">
        <v>90</v>
      </c>
      <c r="AF930" s="2" t="s">
        <v>2283</v>
      </c>
      <c r="AG930" s="2" t="s">
        <v>2294</v>
      </c>
      <c r="AH930" s="2"/>
      <c r="AI930" s="2" t="s">
        <v>2283</v>
      </c>
      <c r="AJ930" s="2" t="s">
        <v>2283</v>
      </c>
      <c r="AK930" s="2" t="s">
        <v>2286</v>
      </c>
      <c r="AL930" s="5" t="s">
        <v>2308</v>
      </c>
      <c r="AM930" s="4"/>
      <c r="AN930" s="4"/>
      <c r="AO930" s="2"/>
      <c r="AP930" s="2"/>
      <c r="AQ930" s="2"/>
      <c r="AR930" s="2"/>
      <c r="AS930" s="2"/>
      <c r="AT930" s="2"/>
      <c r="AU930" s="2"/>
      <c r="AV930" s="2"/>
      <c r="AW930" s="2"/>
      <c r="AX930" s="2"/>
      <c r="AY930" s="2"/>
      <c r="AZ930" s="2"/>
      <c r="BA930" s="2"/>
      <c r="BB930" s="2"/>
    </row>
    <row r="931" spans="1:54" x14ac:dyDescent="0.4">
      <c r="A931" s="1" t="s">
        <v>2309</v>
      </c>
      <c r="B931" s="1"/>
      <c r="C931" s="1"/>
      <c r="D931" s="1" t="s">
        <v>54</v>
      </c>
      <c r="E931" s="1"/>
      <c r="F931" s="1" t="s">
        <v>2310</v>
      </c>
      <c r="G931" s="1">
        <v>1</v>
      </c>
      <c r="H931" s="1" t="s">
        <v>2281</v>
      </c>
      <c r="I931" s="2" t="s">
        <v>57</v>
      </c>
      <c r="J931" s="2" t="s">
        <v>2282</v>
      </c>
      <c r="K931" s="2" t="s">
        <v>652</v>
      </c>
      <c r="L931" s="3" t="s">
        <v>1006</v>
      </c>
      <c r="M931" s="2" t="s">
        <v>59</v>
      </c>
      <c r="N931" s="3"/>
      <c r="O931" s="3"/>
      <c r="P931" s="2" t="s">
        <v>131</v>
      </c>
      <c r="Q931" s="2"/>
      <c r="R931" s="2" t="s">
        <v>112</v>
      </c>
      <c r="S931" s="2" t="s">
        <v>61</v>
      </c>
      <c r="T931">
        <v>246.7</v>
      </c>
      <c r="U931">
        <v>237</v>
      </c>
      <c r="V931">
        <f>(T931+U931)/2</f>
        <v>241.85</v>
      </c>
      <c r="W931">
        <f>T931-U931</f>
        <v>9.6999999999999886</v>
      </c>
      <c r="X931" s="4">
        <v>26.333333329999999</v>
      </c>
      <c r="Y931" s="4" t="s">
        <v>2311</v>
      </c>
      <c r="Z931" s="2"/>
      <c r="AA931" s="2" t="s">
        <v>86</v>
      </c>
      <c r="AB931" s="2" t="s">
        <v>2304</v>
      </c>
      <c r="AC931" s="2" t="s">
        <v>2283</v>
      </c>
      <c r="AD931" s="2" t="s">
        <v>777</v>
      </c>
      <c r="AE931" s="2" t="s">
        <v>90</v>
      </c>
      <c r="AF931" s="2" t="s">
        <v>2283</v>
      </c>
      <c r="AG931" s="2" t="s">
        <v>2294</v>
      </c>
      <c r="AH931" s="2"/>
      <c r="AI931" s="2" t="s">
        <v>2283</v>
      </c>
      <c r="AJ931" s="2" t="s">
        <v>2283</v>
      </c>
      <c r="AK931" s="2" t="s">
        <v>2286</v>
      </c>
      <c r="AL931" s="5" t="s">
        <v>2312</v>
      </c>
      <c r="AM931" s="4"/>
      <c r="AN931" s="4"/>
      <c r="AO931" s="2"/>
      <c r="AP931" s="2"/>
      <c r="AQ931" s="2"/>
      <c r="AR931" s="2"/>
      <c r="AS931" s="2"/>
      <c r="AT931" s="2"/>
      <c r="AU931" s="2"/>
      <c r="AV931" s="2"/>
      <c r="AW931" s="2"/>
      <c r="AX931" s="2"/>
      <c r="AY931" s="2"/>
      <c r="AZ931" s="2"/>
      <c r="BA931" s="2"/>
      <c r="BB931" s="2"/>
    </row>
    <row r="932" spans="1:54" x14ac:dyDescent="0.4">
      <c r="A932" s="1" t="s">
        <v>2313</v>
      </c>
      <c r="B932" s="1"/>
      <c r="C932" s="1"/>
      <c r="D932" s="1" t="s">
        <v>54</v>
      </c>
      <c r="E932" s="1"/>
      <c r="F932" s="1" t="s">
        <v>2314</v>
      </c>
      <c r="G932" s="1">
        <v>1</v>
      </c>
      <c r="H932" s="1" t="s">
        <v>2281</v>
      </c>
      <c r="I932" s="2" t="s">
        <v>57</v>
      </c>
      <c r="J932" s="2" t="s">
        <v>2282</v>
      </c>
      <c r="K932" s="2" t="s">
        <v>652</v>
      </c>
      <c r="L932" s="3" t="s">
        <v>1006</v>
      </c>
      <c r="M932" s="2" t="s">
        <v>59</v>
      </c>
      <c r="N932" s="3"/>
      <c r="O932" s="3"/>
      <c r="P932" s="2" t="s">
        <v>131</v>
      </c>
      <c r="Q932" s="2"/>
      <c r="R932" s="2" t="s">
        <v>112</v>
      </c>
      <c r="S932" s="2" t="s">
        <v>61</v>
      </c>
      <c r="T932">
        <v>246.7</v>
      </c>
      <c r="U932">
        <v>237</v>
      </c>
      <c r="V932">
        <f>(T932+U932)/2</f>
        <v>241.85</v>
      </c>
      <c r="W932">
        <f>T932-U932</f>
        <v>9.6999999999999886</v>
      </c>
      <c r="X932" s="4">
        <v>26.333333329999999</v>
      </c>
      <c r="Y932" s="4" t="s">
        <v>2311</v>
      </c>
      <c r="Z932" s="2"/>
      <c r="AA932" s="2" t="s">
        <v>86</v>
      </c>
      <c r="AB932" s="2" t="s">
        <v>2304</v>
      </c>
      <c r="AC932" s="2" t="s">
        <v>2283</v>
      </c>
      <c r="AD932" s="2" t="s">
        <v>777</v>
      </c>
      <c r="AE932" s="2" t="s">
        <v>90</v>
      </c>
      <c r="AF932" s="2" t="s">
        <v>2283</v>
      </c>
      <c r="AG932" s="2" t="s">
        <v>2294</v>
      </c>
      <c r="AH932" s="2"/>
      <c r="AI932" s="2" t="s">
        <v>2283</v>
      </c>
      <c r="AJ932" s="2" t="s">
        <v>2283</v>
      </c>
      <c r="AK932" s="2" t="s">
        <v>2286</v>
      </c>
      <c r="AL932" s="5" t="s">
        <v>2315</v>
      </c>
      <c r="AM932" s="4"/>
      <c r="AN932" s="4"/>
      <c r="AO932" s="2"/>
      <c r="AP932" s="2"/>
      <c r="AQ932" s="2"/>
      <c r="AR932" s="2"/>
      <c r="AS932" s="2"/>
      <c r="AT932" s="2"/>
      <c r="AU932" s="2"/>
      <c r="AV932" s="2"/>
      <c r="AW932" s="2"/>
      <c r="AX932" s="2"/>
      <c r="AY932" s="2"/>
      <c r="AZ932" s="2"/>
      <c r="BA932" s="2"/>
      <c r="BB932" s="2"/>
    </row>
    <row r="933" spans="1:54" x14ac:dyDescent="0.4">
      <c r="A933" s="1" t="s">
        <v>2316</v>
      </c>
      <c r="B933" s="1"/>
      <c r="C933" s="1"/>
      <c r="D933" s="1" t="s">
        <v>54</v>
      </c>
      <c r="E933" s="1"/>
      <c r="F933" s="1" t="s">
        <v>2317</v>
      </c>
      <c r="G933" s="1">
        <v>1</v>
      </c>
      <c r="H933" s="1" t="s">
        <v>2281</v>
      </c>
      <c r="I933" s="2" t="s">
        <v>57</v>
      </c>
      <c r="J933" s="2" t="s">
        <v>2282</v>
      </c>
      <c r="K933" s="2" t="s">
        <v>652</v>
      </c>
      <c r="L933" s="3" t="s">
        <v>1006</v>
      </c>
      <c r="M933" s="2" t="s">
        <v>59</v>
      </c>
      <c r="N933" s="3"/>
      <c r="O933" s="3"/>
      <c r="P933" s="2" t="s">
        <v>131</v>
      </c>
      <c r="Q933" s="2"/>
      <c r="R933" s="2" t="s">
        <v>112</v>
      </c>
      <c r="S933" s="2" t="s">
        <v>61</v>
      </c>
      <c r="T933">
        <v>246.7</v>
      </c>
      <c r="U933">
        <v>237</v>
      </c>
      <c r="V933">
        <f>(T933+U933)/2</f>
        <v>241.85</v>
      </c>
      <c r="W933">
        <f>T933-U933</f>
        <v>9.6999999999999886</v>
      </c>
      <c r="X933" s="4">
        <v>26.111111000000001</v>
      </c>
      <c r="Y933" s="4">
        <v>-30.906943999999999</v>
      </c>
      <c r="Z933" s="2"/>
      <c r="AA933" s="2" t="s">
        <v>86</v>
      </c>
      <c r="AB933" s="2" t="s">
        <v>2304</v>
      </c>
      <c r="AC933" s="2" t="s">
        <v>2283</v>
      </c>
      <c r="AD933" s="2" t="s">
        <v>777</v>
      </c>
      <c r="AE933" s="2" t="s">
        <v>90</v>
      </c>
      <c r="AF933" s="2" t="s">
        <v>2283</v>
      </c>
      <c r="AG933" s="2" t="s">
        <v>2294</v>
      </c>
      <c r="AH933" s="2"/>
      <c r="AI933" s="2" t="s">
        <v>2283</v>
      </c>
      <c r="AJ933" s="2" t="s">
        <v>2283</v>
      </c>
      <c r="AK933" s="2" t="s">
        <v>2286</v>
      </c>
      <c r="AL933" s="5" t="s">
        <v>2318</v>
      </c>
      <c r="AM933" s="4"/>
      <c r="AN933" s="4"/>
      <c r="AO933" s="2"/>
      <c r="AP933" s="2"/>
      <c r="AQ933" s="2"/>
      <c r="AR933" s="2"/>
      <c r="AS933" s="2"/>
      <c r="AT933" s="2"/>
      <c r="AU933" s="2"/>
      <c r="AV933" s="2"/>
      <c r="AW933" s="2"/>
      <c r="AX933" s="2"/>
      <c r="AY933" s="2"/>
      <c r="AZ933" s="2"/>
      <c r="BA933" s="2"/>
      <c r="BB933" s="2"/>
    </row>
    <row r="934" spans="1:54" x14ac:dyDescent="0.4">
      <c r="A934" s="1" t="s">
        <v>2319</v>
      </c>
      <c r="B934" s="1"/>
      <c r="C934" s="1"/>
      <c r="D934" s="1" t="s">
        <v>54</v>
      </c>
      <c r="E934" s="1"/>
      <c r="F934" s="1" t="s">
        <v>2320</v>
      </c>
      <c r="G934" s="1">
        <v>1</v>
      </c>
      <c r="H934" s="1" t="s">
        <v>2281</v>
      </c>
      <c r="I934" s="2" t="s">
        <v>57</v>
      </c>
      <c r="J934" s="2" t="s">
        <v>2282</v>
      </c>
      <c r="K934" s="2" t="s">
        <v>2283</v>
      </c>
      <c r="L934" s="3" t="s">
        <v>783</v>
      </c>
      <c r="M934" s="2" t="s">
        <v>59</v>
      </c>
      <c r="N934" s="3"/>
      <c r="O934" s="3"/>
      <c r="P934" s="2" t="s">
        <v>131</v>
      </c>
      <c r="Q934" s="2"/>
      <c r="R934" s="2" t="s">
        <v>112</v>
      </c>
      <c r="S934" s="2" t="s">
        <v>61</v>
      </c>
      <c r="T934">
        <v>246.7</v>
      </c>
      <c r="U934">
        <v>237</v>
      </c>
      <c r="V934">
        <f>(T934+U934)/2</f>
        <v>241.85</v>
      </c>
      <c r="W934">
        <f>T934-U934</f>
        <v>9.6999999999999886</v>
      </c>
      <c r="X934" s="4">
        <v>26.716666669999999</v>
      </c>
      <c r="Y934" s="4">
        <v>-30.7</v>
      </c>
      <c r="Z934" s="2"/>
      <c r="AA934" s="2" t="s">
        <v>86</v>
      </c>
      <c r="AB934" s="2" t="s">
        <v>2293</v>
      </c>
      <c r="AC934" s="2" t="s">
        <v>2321</v>
      </c>
      <c r="AD934" s="2" t="s">
        <v>777</v>
      </c>
      <c r="AE934" s="2" t="s">
        <v>90</v>
      </c>
      <c r="AF934" s="2" t="s">
        <v>2283</v>
      </c>
      <c r="AG934" s="2" t="s">
        <v>1911</v>
      </c>
      <c r="AH934" s="2"/>
      <c r="AI934" s="2" t="s">
        <v>2283</v>
      </c>
      <c r="AJ934" s="2" t="s">
        <v>2283</v>
      </c>
      <c r="AK934" s="2" t="s">
        <v>2286</v>
      </c>
      <c r="AL934" s="5" t="s">
        <v>2322</v>
      </c>
      <c r="AM934" s="4"/>
      <c r="AN934" s="4"/>
      <c r="AO934" s="2"/>
      <c r="AP934" s="2"/>
      <c r="AQ934" s="2"/>
      <c r="AR934" s="2"/>
      <c r="AS934" s="2"/>
      <c r="AT934" s="2"/>
      <c r="AU934" s="2"/>
      <c r="AV934" s="2"/>
      <c r="AW934" s="2"/>
      <c r="AX934" s="2"/>
      <c r="AY934" s="2"/>
      <c r="AZ934" s="2"/>
      <c r="BA934" s="2"/>
      <c r="BB934" s="2"/>
    </row>
    <row r="935" spans="1:54" x14ac:dyDescent="0.4">
      <c r="A935" s="1" t="s">
        <v>2323</v>
      </c>
      <c r="B935" s="1"/>
      <c r="C935" s="1"/>
      <c r="D935" s="1" t="s">
        <v>54</v>
      </c>
      <c r="E935" s="1"/>
      <c r="F935" s="1" t="s">
        <v>2307</v>
      </c>
      <c r="G935" s="1">
        <v>1</v>
      </c>
      <c r="H935" s="1" t="s">
        <v>2281</v>
      </c>
      <c r="I935" s="2" t="s">
        <v>57</v>
      </c>
      <c r="J935" s="2" t="s">
        <v>2282</v>
      </c>
      <c r="K935" s="2" t="s">
        <v>2283</v>
      </c>
      <c r="L935" s="3" t="s">
        <v>783</v>
      </c>
      <c r="M935" s="2" t="s">
        <v>59</v>
      </c>
      <c r="N935" s="3"/>
      <c r="O935" s="3"/>
      <c r="P935" s="2" t="s">
        <v>131</v>
      </c>
      <c r="Q935" s="2"/>
      <c r="R935" s="2" t="s">
        <v>112</v>
      </c>
      <c r="S935" s="2" t="s">
        <v>61</v>
      </c>
      <c r="T935">
        <v>246.7</v>
      </c>
      <c r="U935">
        <v>237</v>
      </c>
      <c r="V935">
        <f>(T935+U935)/2</f>
        <v>241.85</v>
      </c>
      <c r="W935">
        <f>T935-U935</f>
        <v>9.6999999999999886</v>
      </c>
      <c r="X935" s="4">
        <v>26.708300000000001</v>
      </c>
      <c r="Y935" s="4">
        <v>-30.691700000000001</v>
      </c>
      <c r="Z935" s="2"/>
      <c r="AA935" s="2" t="s">
        <v>86</v>
      </c>
      <c r="AB935" s="2" t="s">
        <v>2293</v>
      </c>
      <c r="AC935" s="2" t="s">
        <v>2283</v>
      </c>
      <c r="AD935" s="2" t="s">
        <v>777</v>
      </c>
      <c r="AE935" s="2" t="s">
        <v>90</v>
      </c>
      <c r="AF935" s="2" t="s">
        <v>2283</v>
      </c>
      <c r="AG935" s="2" t="s">
        <v>2294</v>
      </c>
      <c r="AH935" s="2"/>
      <c r="AI935" s="2" t="s">
        <v>2283</v>
      </c>
      <c r="AJ935" s="2" t="s">
        <v>2283</v>
      </c>
      <c r="AK935" s="2" t="s">
        <v>2286</v>
      </c>
      <c r="AL935" s="5" t="s">
        <v>2324</v>
      </c>
      <c r="AM935" s="4"/>
      <c r="AN935" s="4"/>
      <c r="AO935" s="2"/>
      <c r="AP935" s="2"/>
      <c r="AQ935" s="2"/>
      <c r="AR935" s="2"/>
      <c r="AS935" s="2"/>
      <c r="AT935" s="2"/>
      <c r="AU935" s="2"/>
      <c r="AV935" s="2"/>
      <c r="AW935" s="2"/>
      <c r="AX935" s="2"/>
      <c r="AY935" s="2"/>
      <c r="AZ935" s="2"/>
      <c r="BA935" s="2"/>
      <c r="BB935" s="2"/>
    </row>
    <row r="936" spans="1:54" x14ac:dyDescent="0.4">
      <c r="A936" s="1" t="s">
        <v>2325</v>
      </c>
      <c r="B936" s="1"/>
      <c r="C936" s="1"/>
      <c r="D936" s="1" t="s">
        <v>54</v>
      </c>
      <c r="E936" s="1"/>
      <c r="F936" s="1" t="s">
        <v>2326</v>
      </c>
      <c r="G936" s="1">
        <v>1</v>
      </c>
      <c r="H936" s="1" t="s">
        <v>2281</v>
      </c>
      <c r="I936" s="2" t="s">
        <v>57</v>
      </c>
      <c r="J936" s="2" t="s">
        <v>2282</v>
      </c>
      <c r="K936" s="2" t="s">
        <v>2283</v>
      </c>
      <c r="L936" s="3" t="s">
        <v>783</v>
      </c>
      <c r="M936" s="2" t="s">
        <v>59</v>
      </c>
      <c r="N936" s="3"/>
      <c r="O936" s="3"/>
      <c r="P936" s="2" t="s">
        <v>131</v>
      </c>
      <c r="Q936" s="2"/>
      <c r="R936" s="2" t="s">
        <v>112</v>
      </c>
      <c r="S936" s="2" t="s">
        <v>61</v>
      </c>
      <c r="T936">
        <v>246.7</v>
      </c>
      <c r="U936">
        <v>237</v>
      </c>
      <c r="V936">
        <f>(T936+U936)/2</f>
        <v>241.85</v>
      </c>
      <c r="W936">
        <f>T936-U936</f>
        <v>9.6999999999999886</v>
      </c>
      <c r="X936" s="4">
        <v>26.708300000000001</v>
      </c>
      <c r="Y936" s="4">
        <v>-30.691700000000001</v>
      </c>
      <c r="Z936" s="2"/>
      <c r="AA936" s="2" t="s">
        <v>86</v>
      </c>
      <c r="AB936" s="2" t="s">
        <v>2293</v>
      </c>
      <c r="AC936" s="2" t="s">
        <v>2283</v>
      </c>
      <c r="AD936" s="2" t="s">
        <v>777</v>
      </c>
      <c r="AE936" s="2" t="s">
        <v>90</v>
      </c>
      <c r="AF936" s="2" t="s">
        <v>2283</v>
      </c>
      <c r="AG936" s="2" t="s">
        <v>2294</v>
      </c>
      <c r="AH936" s="2"/>
      <c r="AI936" s="2" t="s">
        <v>2283</v>
      </c>
      <c r="AJ936" s="2" t="s">
        <v>2283</v>
      </c>
      <c r="AK936" s="2" t="s">
        <v>2286</v>
      </c>
      <c r="AL936" s="5" t="s">
        <v>2327</v>
      </c>
      <c r="AM936" s="4"/>
      <c r="AN936" s="4"/>
      <c r="AO936" s="2"/>
      <c r="AP936" s="2"/>
      <c r="AQ936" s="2"/>
      <c r="AR936" s="2"/>
      <c r="AS936" s="2"/>
      <c r="AT936" s="2"/>
      <c r="AU936" s="2"/>
      <c r="AV936" s="2"/>
      <c r="AW936" s="2"/>
      <c r="AX936" s="2"/>
      <c r="AY936" s="2"/>
      <c r="AZ936" s="2"/>
      <c r="BA936" s="2"/>
      <c r="BB936" s="2"/>
    </row>
    <row r="937" spans="1:54" x14ac:dyDescent="0.4">
      <c r="A937" s="1" t="s">
        <v>2328</v>
      </c>
      <c r="B937" s="1"/>
      <c r="C937" s="1"/>
      <c r="D937" s="1" t="s">
        <v>54</v>
      </c>
      <c r="E937" s="1"/>
      <c r="F937" s="1" t="s">
        <v>2329</v>
      </c>
      <c r="G937" s="1">
        <v>1</v>
      </c>
      <c r="H937" s="1" t="s">
        <v>2281</v>
      </c>
      <c r="I937" s="2" t="s">
        <v>57</v>
      </c>
      <c r="J937" s="2" t="s">
        <v>2282</v>
      </c>
      <c r="K937" s="2" t="s">
        <v>2283</v>
      </c>
      <c r="L937" s="3" t="s">
        <v>783</v>
      </c>
      <c r="M937" s="2" t="s">
        <v>59</v>
      </c>
      <c r="N937" s="3"/>
      <c r="O937" s="3"/>
      <c r="P937" s="2" t="s">
        <v>131</v>
      </c>
      <c r="Q937" s="2"/>
      <c r="R937" s="2" t="s">
        <v>112</v>
      </c>
      <c r="S937" s="2" t="s">
        <v>61</v>
      </c>
      <c r="T937">
        <v>246.7</v>
      </c>
      <c r="U937">
        <v>237</v>
      </c>
      <c r="V937">
        <f>(T937+U937)/2</f>
        <v>241.85</v>
      </c>
      <c r="W937">
        <f>T937-U937</f>
        <v>9.6999999999999886</v>
      </c>
      <c r="X937" s="4">
        <v>26.708300000000001</v>
      </c>
      <c r="Y937" s="4">
        <v>-30.691700000000001</v>
      </c>
      <c r="Z937" s="2"/>
      <c r="AA937" s="2" t="s">
        <v>86</v>
      </c>
      <c r="AB937" s="2" t="s">
        <v>2293</v>
      </c>
      <c r="AC937" s="2" t="s">
        <v>2283</v>
      </c>
      <c r="AD937" s="2" t="s">
        <v>777</v>
      </c>
      <c r="AE937" s="2" t="s">
        <v>90</v>
      </c>
      <c r="AF937" s="2" t="s">
        <v>2283</v>
      </c>
      <c r="AG937" s="2" t="s">
        <v>2294</v>
      </c>
      <c r="AH937" s="2"/>
      <c r="AI937" s="2" t="s">
        <v>2283</v>
      </c>
      <c r="AJ937" s="2" t="s">
        <v>2283</v>
      </c>
      <c r="AK937" s="2" t="s">
        <v>2286</v>
      </c>
      <c r="AL937" s="5" t="s">
        <v>2330</v>
      </c>
      <c r="AM937" s="4"/>
      <c r="AN937" s="4"/>
      <c r="AO937" s="2"/>
      <c r="AP937" s="2"/>
      <c r="AQ937" s="2"/>
      <c r="AR937" s="2"/>
      <c r="AS937" s="2"/>
      <c r="AT937" s="2"/>
      <c r="AU937" s="2"/>
      <c r="AV937" s="2"/>
      <c r="AW937" s="2"/>
      <c r="AX937" s="2"/>
      <c r="AY937" s="2"/>
      <c r="AZ937" s="2"/>
      <c r="BA937" s="2"/>
      <c r="BB937" s="2"/>
    </row>
    <row r="938" spans="1:54" x14ac:dyDescent="0.4">
      <c r="A938" s="1" t="s">
        <v>2331</v>
      </c>
      <c r="B938" s="1"/>
      <c r="C938" s="1"/>
      <c r="D938" s="1" t="s">
        <v>54</v>
      </c>
      <c r="E938" s="1"/>
      <c r="F938" s="1" t="s">
        <v>2332</v>
      </c>
      <c r="G938" s="1">
        <v>1</v>
      </c>
      <c r="H938" s="1" t="s">
        <v>2281</v>
      </c>
      <c r="I938" s="2" t="s">
        <v>57</v>
      </c>
      <c r="J938" s="2" t="s">
        <v>2282</v>
      </c>
      <c r="K938" s="2" t="s">
        <v>2283</v>
      </c>
      <c r="L938" s="3" t="s">
        <v>1491</v>
      </c>
      <c r="M938" s="2" t="s">
        <v>59</v>
      </c>
      <c r="N938" s="3"/>
      <c r="O938" s="3"/>
      <c r="P938" s="2" t="s">
        <v>131</v>
      </c>
      <c r="Q938" s="2"/>
      <c r="R938" s="2" t="s">
        <v>112</v>
      </c>
      <c r="S938" s="2" t="s">
        <v>61</v>
      </c>
      <c r="T938">
        <v>246.7</v>
      </c>
      <c r="U938">
        <v>237</v>
      </c>
      <c r="V938">
        <f>(T938+U938)/2</f>
        <v>241.85</v>
      </c>
      <c r="W938">
        <f>T938-U938</f>
        <v>9.6999999999999886</v>
      </c>
      <c r="X938" s="4">
        <v>35.216666670000002</v>
      </c>
      <c r="Y938" s="4">
        <v>-10.35</v>
      </c>
      <c r="Z938" s="2"/>
      <c r="AA938" s="2" t="s">
        <v>455</v>
      </c>
      <c r="AB938" s="2" t="s">
        <v>2333</v>
      </c>
      <c r="AC938" s="2" t="s">
        <v>2283</v>
      </c>
      <c r="AD938" s="2" t="s">
        <v>777</v>
      </c>
      <c r="AE938" s="2" t="s">
        <v>90</v>
      </c>
      <c r="AF938" s="2" t="s">
        <v>2283</v>
      </c>
      <c r="AG938" s="2" t="s">
        <v>2294</v>
      </c>
      <c r="AH938" s="2"/>
      <c r="AI938" s="2" t="s">
        <v>2283</v>
      </c>
      <c r="AJ938" s="2" t="s">
        <v>2283</v>
      </c>
      <c r="AK938" s="2" t="s">
        <v>2286</v>
      </c>
      <c r="AL938" s="5" t="s">
        <v>2334</v>
      </c>
      <c r="AM938" s="4"/>
      <c r="AN938" s="4"/>
      <c r="AO938" s="2"/>
      <c r="AP938" s="2"/>
      <c r="AQ938" s="2"/>
      <c r="AR938" s="2"/>
      <c r="AS938" s="2"/>
      <c r="AT938" s="2"/>
      <c r="AU938" s="2"/>
      <c r="AV938" s="2"/>
      <c r="AW938" s="2"/>
      <c r="AX938" s="2"/>
      <c r="AY938" s="2"/>
      <c r="AZ938" s="2"/>
      <c r="BA938" s="2"/>
      <c r="BB938" s="2"/>
    </row>
    <row r="939" spans="1:54" x14ac:dyDescent="0.4">
      <c r="A939" s="1" t="s">
        <v>2335</v>
      </c>
      <c r="B939" s="1"/>
      <c r="C939" s="1"/>
      <c r="D939" s="1" t="s">
        <v>54</v>
      </c>
      <c r="E939" s="1"/>
      <c r="F939" s="1" t="s">
        <v>2336</v>
      </c>
      <c r="G939" s="1">
        <v>1</v>
      </c>
      <c r="H939" s="1" t="s">
        <v>2281</v>
      </c>
      <c r="I939" s="2" t="s">
        <v>57</v>
      </c>
      <c r="J939" s="2" t="s">
        <v>2282</v>
      </c>
      <c r="K939" s="2" t="s">
        <v>2283</v>
      </c>
      <c r="L939" s="3" t="s">
        <v>1491</v>
      </c>
      <c r="M939" s="2" t="s">
        <v>59</v>
      </c>
      <c r="N939" s="3"/>
      <c r="O939" s="3"/>
      <c r="P939" s="2" t="s">
        <v>131</v>
      </c>
      <c r="Q939" s="2"/>
      <c r="R939" s="2" t="s">
        <v>112</v>
      </c>
      <c r="S939" s="2" t="s">
        <v>61</v>
      </c>
      <c r="T939">
        <v>246.7</v>
      </c>
      <c r="U939">
        <v>237</v>
      </c>
      <c r="V939">
        <f>(T939+U939)/2</f>
        <v>241.85</v>
      </c>
      <c r="W939">
        <f>T939-U939</f>
        <v>9.6999999999999886</v>
      </c>
      <c r="X939" s="4">
        <v>35.216666670000002</v>
      </c>
      <c r="Y939" s="4">
        <v>-10.35</v>
      </c>
      <c r="Z939" s="2"/>
      <c r="AA939" s="2" t="s">
        <v>455</v>
      </c>
      <c r="AB939" s="2" t="s">
        <v>2333</v>
      </c>
      <c r="AC939" s="2" t="s">
        <v>2283</v>
      </c>
      <c r="AD939" s="2" t="s">
        <v>777</v>
      </c>
      <c r="AE939" s="2" t="s">
        <v>90</v>
      </c>
      <c r="AF939" s="2" t="s">
        <v>2283</v>
      </c>
      <c r="AG939" s="2" t="s">
        <v>2294</v>
      </c>
      <c r="AH939" s="2"/>
      <c r="AI939" s="2" t="s">
        <v>2283</v>
      </c>
      <c r="AJ939" s="2" t="s">
        <v>2283</v>
      </c>
      <c r="AK939" s="2" t="s">
        <v>2286</v>
      </c>
      <c r="AL939" s="5" t="s">
        <v>2337</v>
      </c>
      <c r="AM939" s="4"/>
      <c r="AN939" s="4"/>
      <c r="AO939" s="2"/>
      <c r="AP939" s="2"/>
      <c r="AQ939" s="2"/>
      <c r="AR939" s="2"/>
      <c r="AS939" s="2"/>
      <c r="AT939" s="2"/>
      <c r="AU939" s="2"/>
      <c r="AV939" s="2"/>
      <c r="AW939" s="2"/>
      <c r="AX939" s="2"/>
      <c r="AY939" s="2"/>
      <c r="AZ939" s="2"/>
      <c r="BA939" s="2"/>
      <c r="BB939" s="2"/>
    </row>
    <row r="940" spans="1:54" x14ac:dyDescent="0.4">
      <c r="A940" s="1" t="s">
        <v>2338</v>
      </c>
      <c r="B940" s="1"/>
      <c r="C940" s="1"/>
      <c r="D940" s="1" t="s">
        <v>54</v>
      </c>
      <c r="E940" s="1"/>
      <c r="F940" s="1" t="s">
        <v>2339</v>
      </c>
      <c r="G940" s="1">
        <v>1</v>
      </c>
      <c r="H940" s="1" t="s">
        <v>2281</v>
      </c>
      <c r="I940" s="2" t="s">
        <v>57</v>
      </c>
      <c r="J940" s="2" t="s">
        <v>2282</v>
      </c>
      <c r="K940" s="2" t="s">
        <v>2283</v>
      </c>
      <c r="L940" s="3" t="s">
        <v>1491</v>
      </c>
      <c r="M940" s="2" t="s">
        <v>59</v>
      </c>
      <c r="N940" s="3"/>
      <c r="O940" s="3"/>
      <c r="P940" s="2" t="s">
        <v>131</v>
      </c>
      <c r="Q940" s="2"/>
      <c r="R940" s="2" t="s">
        <v>112</v>
      </c>
      <c r="S940" s="2" t="s">
        <v>61</v>
      </c>
      <c r="T940">
        <v>246.7</v>
      </c>
      <c r="U940">
        <v>237</v>
      </c>
      <c r="V940">
        <f>(T940+U940)/2</f>
        <v>241.85</v>
      </c>
      <c r="W940">
        <f>T940-U940</f>
        <v>9.6999999999999886</v>
      </c>
      <c r="X940" s="4">
        <v>35.216666670000002</v>
      </c>
      <c r="Y940" s="4">
        <v>-10.35</v>
      </c>
      <c r="Z940" s="2"/>
      <c r="AA940" s="2" t="s">
        <v>455</v>
      </c>
      <c r="AB940" s="2" t="s">
        <v>2333</v>
      </c>
      <c r="AC940" s="2" t="s">
        <v>2283</v>
      </c>
      <c r="AD940" s="2" t="s">
        <v>777</v>
      </c>
      <c r="AE940" s="2" t="s">
        <v>90</v>
      </c>
      <c r="AF940" s="2" t="s">
        <v>2283</v>
      </c>
      <c r="AG940" s="2" t="s">
        <v>2294</v>
      </c>
      <c r="AH940" s="2"/>
      <c r="AI940" s="2" t="s">
        <v>2283</v>
      </c>
      <c r="AJ940" s="2" t="s">
        <v>2283</v>
      </c>
      <c r="AK940" s="2" t="s">
        <v>2286</v>
      </c>
      <c r="AL940" s="5" t="s">
        <v>2340</v>
      </c>
      <c r="AM940" s="4"/>
      <c r="AN940" s="4"/>
      <c r="AO940" s="2"/>
      <c r="AP940" s="2"/>
      <c r="AQ940" s="2"/>
      <c r="AR940" s="2"/>
      <c r="AS940" s="2"/>
      <c r="AT940" s="2"/>
      <c r="AU940" s="2"/>
      <c r="AV940" s="2"/>
      <c r="AW940" s="2"/>
      <c r="AX940" s="2"/>
      <c r="AY940" s="2"/>
      <c r="AZ940" s="2"/>
      <c r="BA940" s="2"/>
      <c r="BB940" s="2"/>
    </row>
    <row r="941" spans="1:54" x14ac:dyDescent="0.4">
      <c r="A941" s="1" t="s">
        <v>2341</v>
      </c>
      <c r="B941" s="1"/>
      <c r="C941" s="1"/>
      <c r="D941" s="1" t="s">
        <v>54</v>
      </c>
      <c r="E941" s="1"/>
      <c r="F941" s="1" t="s">
        <v>2342</v>
      </c>
      <c r="G941" s="1">
        <v>1</v>
      </c>
      <c r="H941" s="1" t="s">
        <v>2281</v>
      </c>
      <c r="I941" s="2" t="s">
        <v>57</v>
      </c>
      <c r="J941" s="2" t="s">
        <v>2282</v>
      </c>
      <c r="K941" s="2" t="s">
        <v>2283</v>
      </c>
      <c r="L941" s="3" t="s">
        <v>1491</v>
      </c>
      <c r="M941" s="2" t="s">
        <v>59</v>
      </c>
      <c r="N941" s="3"/>
      <c r="O941" s="3"/>
      <c r="P941" s="2" t="s">
        <v>131</v>
      </c>
      <c r="Q941" s="2"/>
      <c r="R941" s="2" t="s">
        <v>112</v>
      </c>
      <c r="S941" s="2" t="s">
        <v>61</v>
      </c>
      <c r="T941">
        <v>246.7</v>
      </c>
      <c r="U941">
        <v>237</v>
      </c>
      <c r="V941">
        <f>(T941+U941)/2</f>
        <v>241.85</v>
      </c>
      <c r="W941">
        <f>T941-U941</f>
        <v>9.6999999999999886</v>
      </c>
      <c r="X941" s="4">
        <v>35.216666670000002</v>
      </c>
      <c r="Y941" s="4">
        <v>-10.35</v>
      </c>
      <c r="Z941" s="2"/>
      <c r="AA941" s="2" t="s">
        <v>455</v>
      </c>
      <c r="AB941" s="2" t="s">
        <v>2333</v>
      </c>
      <c r="AC941" s="2" t="s">
        <v>2283</v>
      </c>
      <c r="AD941" s="2" t="s">
        <v>777</v>
      </c>
      <c r="AE941" s="2" t="s">
        <v>90</v>
      </c>
      <c r="AF941" s="2" t="s">
        <v>2283</v>
      </c>
      <c r="AG941" s="2" t="s">
        <v>2294</v>
      </c>
      <c r="AH941" s="2"/>
      <c r="AI941" s="2" t="s">
        <v>2283</v>
      </c>
      <c r="AJ941" s="2" t="s">
        <v>2283</v>
      </c>
      <c r="AK941" s="2" t="s">
        <v>2286</v>
      </c>
      <c r="AL941" s="5" t="s">
        <v>2343</v>
      </c>
      <c r="AM941" s="4"/>
      <c r="AN941" s="4"/>
      <c r="AO941" s="2"/>
      <c r="AP941" s="2"/>
      <c r="AQ941" s="2"/>
      <c r="AR941" s="2"/>
      <c r="AS941" s="2"/>
      <c r="AT941" s="2"/>
      <c r="AU941" s="2"/>
      <c r="AV941" s="2"/>
      <c r="AW941" s="2"/>
      <c r="AX941" s="2"/>
      <c r="AY941" s="2"/>
      <c r="AZ941" s="2"/>
      <c r="BA941" s="2"/>
      <c r="BB941" s="2"/>
    </row>
    <row r="942" spans="1:54" x14ac:dyDescent="0.4">
      <c r="A942" s="1" t="s">
        <v>2344</v>
      </c>
      <c r="B942" s="1"/>
      <c r="C942" s="1"/>
      <c r="D942" s="1" t="s">
        <v>54</v>
      </c>
      <c r="E942" s="1"/>
      <c r="F942" s="1" t="s">
        <v>2345</v>
      </c>
      <c r="G942" s="1">
        <v>1</v>
      </c>
      <c r="H942" s="1" t="s">
        <v>2281</v>
      </c>
      <c r="I942" s="2" t="s">
        <v>57</v>
      </c>
      <c r="J942" s="2" t="s">
        <v>2282</v>
      </c>
      <c r="K942" s="2" t="s">
        <v>2283</v>
      </c>
      <c r="L942" s="3" t="s">
        <v>1491</v>
      </c>
      <c r="M942" s="2" t="s">
        <v>59</v>
      </c>
      <c r="N942" s="3"/>
      <c r="O942" s="3"/>
      <c r="P942" s="2" t="s">
        <v>131</v>
      </c>
      <c r="Q942" s="2"/>
      <c r="R942" s="2" t="s">
        <v>112</v>
      </c>
      <c r="S942" s="2" t="s">
        <v>61</v>
      </c>
      <c r="T942">
        <v>246.7</v>
      </c>
      <c r="U942">
        <v>237</v>
      </c>
      <c r="V942">
        <f>(T942+U942)/2</f>
        <v>241.85</v>
      </c>
      <c r="W942">
        <f>T942-U942</f>
        <v>9.6999999999999886</v>
      </c>
      <c r="X942" s="4">
        <v>35.216666670000002</v>
      </c>
      <c r="Y942" s="4">
        <v>-10.35</v>
      </c>
      <c r="Z942" s="2"/>
      <c r="AA942" s="2" t="s">
        <v>455</v>
      </c>
      <c r="AB942" s="2" t="s">
        <v>2333</v>
      </c>
      <c r="AC942" s="2" t="s">
        <v>2283</v>
      </c>
      <c r="AD942" s="2" t="s">
        <v>777</v>
      </c>
      <c r="AE942" s="2" t="s">
        <v>90</v>
      </c>
      <c r="AF942" s="2" t="s">
        <v>2283</v>
      </c>
      <c r="AG942" s="2" t="s">
        <v>2294</v>
      </c>
      <c r="AH942" s="2"/>
      <c r="AI942" s="2" t="s">
        <v>2283</v>
      </c>
      <c r="AJ942" s="2" t="s">
        <v>2283</v>
      </c>
      <c r="AK942" s="2" t="s">
        <v>2286</v>
      </c>
      <c r="AL942" s="5" t="s">
        <v>2346</v>
      </c>
      <c r="AM942" s="4"/>
      <c r="AN942" s="4"/>
      <c r="AO942" s="2"/>
      <c r="AP942" s="2"/>
      <c r="AQ942" s="2"/>
      <c r="AR942" s="2"/>
      <c r="AS942" s="2"/>
      <c r="AT942" s="2"/>
      <c r="AU942" s="2"/>
      <c r="AV942" s="2"/>
      <c r="AW942" s="2"/>
      <c r="AX942" s="2"/>
      <c r="AY942" s="2"/>
      <c r="AZ942" s="2"/>
      <c r="BA942" s="2"/>
      <c r="BB942" s="2"/>
    </row>
    <row r="943" spans="1:54" x14ac:dyDescent="0.4">
      <c r="A943" s="1" t="s">
        <v>2347</v>
      </c>
      <c r="B943" s="1"/>
      <c r="C943" s="1"/>
      <c r="D943" s="1" t="s">
        <v>54</v>
      </c>
      <c r="E943" s="1"/>
      <c r="F943" s="1" t="s">
        <v>2348</v>
      </c>
      <c r="G943" s="1">
        <v>1</v>
      </c>
      <c r="H943" s="1" t="s">
        <v>2281</v>
      </c>
      <c r="I943" s="2" t="s">
        <v>57</v>
      </c>
      <c r="J943" s="2" t="s">
        <v>2282</v>
      </c>
      <c r="K943" s="2" t="s">
        <v>2283</v>
      </c>
      <c r="L943" s="3" t="s">
        <v>1491</v>
      </c>
      <c r="M943" s="2" t="s">
        <v>59</v>
      </c>
      <c r="N943" s="3"/>
      <c r="O943" s="3"/>
      <c r="P943" s="2" t="s">
        <v>131</v>
      </c>
      <c r="Q943" s="2"/>
      <c r="R943" s="2" t="s">
        <v>112</v>
      </c>
      <c r="S943" s="2" t="s">
        <v>61</v>
      </c>
      <c r="T943">
        <v>246.7</v>
      </c>
      <c r="U943">
        <v>237</v>
      </c>
      <c r="V943">
        <f>(T943+U943)/2</f>
        <v>241.85</v>
      </c>
      <c r="W943">
        <f>T943-U943</f>
        <v>9.6999999999999886</v>
      </c>
      <c r="X943" s="4">
        <v>35.216666670000002</v>
      </c>
      <c r="Y943" s="4">
        <v>-10.35</v>
      </c>
      <c r="Z943" s="2"/>
      <c r="AA943" s="2" t="s">
        <v>455</v>
      </c>
      <c r="AB943" s="2" t="s">
        <v>2333</v>
      </c>
      <c r="AC943" s="2" t="s">
        <v>2283</v>
      </c>
      <c r="AD943" s="2" t="s">
        <v>777</v>
      </c>
      <c r="AE943" s="2" t="s">
        <v>90</v>
      </c>
      <c r="AF943" s="2" t="s">
        <v>2283</v>
      </c>
      <c r="AG943" s="2" t="s">
        <v>2294</v>
      </c>
      <c r="AH943" s="2"/>
      <c r="AI943" s="2" t="s">
        <v>2283</v>
      </c>
      <c r="AJ943" s="2" t="s">
        <v>2283</v>
      </c>
      <c r="AK943" s="2" t="s">
        <v>2286</v>
      </c>
      <c r="AL943" s="5" t="s">
        <v>2349</v>
      </c>
      <c r="AM943" s="4"/>
      <c r="AN943" s="4"/>
      <c r="AO943" s="2"/>
      <c r="AP943" s="2"/>
      <c r="AQ943" s="2"/>
      <c r="AR943" s="2"/>
      <c r="AS943" s="2"/>
      <c r="AT943" s="2"/>
      <c r="AU943" s="2"/>
      <c r="AV943" s="2"/>
      <c r="AW943" s="2"/>
      <c r="AX943" s="2"/>
      <c r="AY943" s="2"/>
      <c r="AZ943" s="2"/>
      <c r="BA943" s="2"/>
      <c r="BB943" s="2"/>
    </row>
    <row r="944" spans="1:54" x14ac:dyDescent="0.4">
      <c r="A944" s="1" t="s">
        <v>2350</v>
      </c>
      <c r="B944" s="1"/>
      <c r="C944" s="1"/>
      <c r="D944" s="1" t="s">
        <v>54</v>
      </c>
      <c r="E944" s="1"/>
      <c r="F944" s="1" t="s">
        <v>2351</v>
      </c>
      <c r="G944" s="1">
        <v>1</v>
      </c>
      <c r="H944" s="1" t="s">
        <v>2281</v>
      </c>
      <c r="I944" s="2" t="s">
        <v>57</v>
      </c>
      <c r="J944" s="2" t="s">
        <v>2282</v>
      </c>
      <c r="K944" s="2" t="s">
        <v>2283</v>
      </c>
      <c r="L944" s="3" t="s">
        <v>1491</v>
      </c>
      <c r="M944" s="2" t="s">
        <v>59</v>
      </c>
      <c r="N944" s="3"/>
      <c r="O944" s="3"/>
      <c r="P944" s="2" t="s">
        <v>131</v>
      </c>
      <c r="Q944" s="2"/>
      <c r="R944" s="2" t="s">
        <v>112</v>
      </c>
      <c r="S944" s="2" t="s">
        <v>61</v>
      </c>
      <c r="T944">
        <v>246.7</v>
      </c>
      <c r="U944">
        <v>237</v>
      </c>
      <c r="V944">
        <f>(T944+U944)/2</f>
        <v>241.85</v>
      </c>
      <c r="W944">
        <f>T944-U944</f>
        <v>9.6999999999999886</v>
      </c>
      <c r="X944" s="4">
        <v>35.216666670000002</v>
      </c>
      <c r="Y944" s="4">
        <v>-10.35</v>
      </c>
      <c r="Z944" s="2"/>
      <c r="AA944" s="2" t="s">
        <v>455</v>
      </c>
      <c r="AB944" s="2" t="s">
        <v>2333</v>
      </c>
      <c r="AC944" s="2" t="s">
        <v>2283</v>
      </c>
      <c r="AD944" s="2" t="s">
        <v>777</v>
      </c>
      <c r="AE944" s="2" t="s">
        <v>90</v>
      </c>
      <c r="AF944" s="2" t="s">
        <v>2283</v>
      </c>
      <c r="AG944" s="2" t="s">
        <v>2294</v>
      </c>
      <c r="AH944" s="2"/>
      <c r="AI944" s="2" t="s">
        <v>2283</v>
      </c>
      <c r="AJ944" s="2" t="s">
        <v>2283</v>
      </c>
      <c r="AK944" s="2" t="s">
        <v>2286</v>
      </c>
      <c r="AL944" s="5" t="s">
        <v>2352</v>
      </c>
      <c r="AM944" s="4"/>
      <c r="AN944" s="4"/>
      <c r="AO944" s="2"/>
      <c r="AP944" s="2"/>
      <c r="AQ944" s="2"/>
      <c r="AR944" s="2"/>
      <c r="AS944" s="2"/>
      <c r="AT944" s="2"/>
      <c r="AU944" s="2"/>
      <c r="AV944" s="2"/>
      <c r="AW944" s="2"/>
      <c r="AX944" s="2"/>
      <c r="AY944" s="2"/>
      <c r="AZ944" s="2"/>
      <c r="BA944" s="2"/>
      <c r="BB944" s="2"/>
    </row>
    <row r="945" spans="1:54" x14ac:dyDescent="0.4">
      <c r="A945" s="1" t="s">
        <v>2353</v>
      </c>
      <c r="B945" s="1"/>
      <c r="C945" s="1"/>
      <c r="D945" s="1" t="s">
        <v>54</v>
      </c>
      <c r="E945" s="1"/>
      <c r="F945" s="1" t="s">
        <v>2354</v>
      </c>
      <c r="G945" s="1">
        <v>1</v>
      </c>
      <c r="H945" s="1" t="s">
        <v>2281</v>
      </c>
      <c r="I945" s="2" t="s">
        <v>57</v>
      </c>
      <c r="J945" s="2" t="s">
        <v>2282</v>
      </c>
      <c r="K945" s="2" t="s">
        <v>2283</v>
      </c>
      <c r="L945" s="3" t="s">
        <v>1491</v>
      </c>
      <c r="M945" s="2" t="s">
        <v>59</v>
      </c>
      <c r="N945" s="3"/>
      <c r="O945" s="3"/>
      <c r="P945" s="2" t="s">
        <v>131</v>
      </c>
      <c r="Q945" s="2"/>
      <c r="R945" s="2" t="s">
        <v>112</v>
      </c>
      <c r="S945" s="2" t="s">
        <v>61</v>
      </c>
      <c r="T945">
        <v>246.7</v>
      </c>
      <c r="U945">
        <v>237</v>
      </c>
      <c r="V945">
        <f>(T945+U945)/2</f>
        <v>241.85</v>
      </c>
      <c r="W945">
        <f>T945-U945</f>
        <v>9.6999999999999886</v>
      </c>
      <c r="X945" s="4">
        <v>35.216666670000002</v>
      </c>
      <c r="Y945" s="4">
        <v>-10.35</v>
      </c>
      <c r="Z945" s="2"/>
      <c r="AA945" s="2" t="s">
        <v>455</v>
      </c>
      <c r="AB945" s="2" t="s">
        <v>2333</v>
      </c>
      <c r="AC945" s="2" t="s">
        <v>2283</v>
      </c>
      <c r="AD945" s="2" t="s">
        <v>777</v>
      </c>
      <c r="AE945" s="2" t="s">
        <v>90</v>
      </c>
      <c r="AF945" s="2" t="s">
        <v>2283</v>
      </c>
      <c r="AG945" s="2" t="s">
        <v>2294</v>
      </c>
      <c r="AH945" s="2"/>
      <c r="AI945" s="2" t="s">
        <v>2283</v>
      </c>
      <c r="AJ945" s="2" t="s">
        <v>2283</v>
      </c>
      <c r="AK945" s="2" t="s">
        <v>2286</v>
      </c>
      <c r="AL945" s="5" t="s">
        <v>2355</v>
      </c>
      <c r="AM945" s="4"/>
      <c r="AN945" s="4"/>
      <c r="AO945" s="2"/>
      <c r="AP945" s="2"/>
      <c r="AQ945" s="2"/>
      <c r="AR945" s="2"/>
      <c r="AS945" s="2"/>
      <c r="AT945" s="2"/>
      <c r="AU945" s="2"/>
      <c r="AV945" s="2"/>
      <c r="AW945" s="2"/>
      <c r="AX945" s="2"/>
      <c r="AY945" s="2"/>
      <c r="AZ945" s="2"/>
      <c r="BA945" s="2"/>
      <c r="BB945" s="2"/>
    </row>
    <row r="946" spans="1:54" x14ac:dyDescent="0.4">
      <c r="A946" s="1" t="s">
        <v>2356</v>
      </c>
      <c r="B946" s="1"/>
      <c r="C946" s="1"/>
      <c r="D946" s="1" t="s">
        <v>54</v>
      </c>
      <c r="E946" s="1"/>
      <c r="F946" s="1" t="s">
        <v>2357</v>
      </c>
      <c r="G946" s="1">
        <v>1</v>
      </c>
      <c r="H946" s="1" t="s">
        <v>2281</v>
      </c>
      <c r="I946" s="2" t="s">
        <v>57</v>
      </c>
      <c r="J946" s="2" t="s">
        <v>2282</v>
      </c>
      <c r="K946" s="2" t="s">
        <v>2283</v>
      </c>
      <c r="L946" s="3" t="s">
        <v>1491</v>
      </c>
      <c r="M946" s="2" t="s">
        <v>59</v>
      </c>
      <c r="N946" s="3"/>
      <c r="O946" s="3"/>
      <c r="P946" s="2" t="s">
        <v>131</v>
      </c>
      <c r="Q946" s="2"/>
      <c r="R946" s="2" t="s">
        <v>112</v>
      </c>
      <c r="S946" s="2" t="s">
        <v>61</v>
      </c>
      <c r="T946">
        <v>246.7</v>
      </c>
      <c r="U946">
        <v>237</v>
      </c>
      <c r="V946">
        <f>(T946+U946)/2</f>
        <v>241.85</v>
      </c>
      <c r="W946">
        <f>T946-U946</f>
        <v>9.6999999999999886</v>
      </c>
      <c r="X946" s="4">
        <v>35.216666670000002</v>
      </c>
      <c r="Y946" s="4">
        <v>-10.35</v>
      </c>
      <c r="Z946" s="2"/>
      <c r="AA946" s="2" t="s">
        <v>455</v>
      </c>
      <c r="AB946" s="2" t="s">
        <v>2333</v>
      </c>
      <c r="AC946" s="2" t="s">
        <v>2283</v>
      </c>
      <c r="AD946" s="2" t="s">
        <v>777</v>
      </c>
      <c r="AE946" s="2" t="s">
        <v>90</v>
      </c>
      <c r="AF946" s="2" t="s">
        <v>2283</v>
      </c>
      <c r="AG946" s="2" t="s">
        <v>2294</v>
      </c>
      <c r="AH946" s="2"/>
      <c r="AI946" s="2" t="s">
        <v>2283</v>
      </c>
      <c r="AJ946" s="2" t="s">
        <v>2283</v>
      </c>
      <c r="AK946" s="2" t="s">
        <v>2286</v>
      </c>
      <c r="AL946" s="5" t="s">
        <v>2358</v>
      </c>
      <c r="AM946" s="4"/>
      <c r="AN946" s="4"/>
      <c r="AO946" s="2"/>
      <c r="AP946" s="2"/>
      <c r="AQ946" s="2"/>
      <c r="AR946" s="2"/>
      <c r="AS946" s="2"/>
      <c r="AT946" s="2"/>
      <c r="AU946" s="2"/>
      <c r="AV946" s="2"/>
      <c r="AW946" s="2"/>
      <c r="AX946" s="2"/>
      <c r="AY946" s="2"/>
      <c r="AZ946" s="2"/>
      <c r="BA946" s="2"/>
      <c r="BB946" s="2"/>
    </row>
    <row r="947" spans="1:54" x14ac:dyDescent="0.4">
      <c r="A947" s="1" t="s">
        <v>2359</v>
      </c>
      <c r="B947" s="1"/>
      <c r="C947" s="1"/>
      <c r="D947" s="1" t="s">
        <v>54</v>
      </c>
      <c r="E947" s="1"/>
      <c r="F947" s="1" t="s">
        <v>2357</v>
      </c>
      <c r="G947" s="1">
        <v>1</v>
      </c>
      <c r="H947" s="1" t="s">
        <v>2281</v>
      </c>
      <c r="I947" s="2" t="s">
        <v>57</v>
      </c>
      <c r="J947" s="2" t="s">
        <v>2282</v>
      </c>
      <c r="K947" s="2" t="s">
        <v>2283</v>
      </c>
      <c r="L947" s="3" t="s">
        <v>1491</v>
      </c>
      <c r="M947" s="2" t="s">
        <v>59</v>
      </c>
      <c r="N947" s="3"/>
      <c r="O947" s="3"/>
      <c r="P947" s="2" t="s">
        <v>131</v>
      </c>
      <c r="Q947" s="2"/>
      <c r="R947" s="2" t="s">
        <v>112</v>
      </c>
      <c r="S947" s="2" t="s">
        <v>61</v>
      </c>
      <c r="T947">
        <v>246.7</v>
      </c>
      <c r="U947">
        <v>237</v>
      </c>
      <c r="V947">
        <f>(T947+U947)/2</f>
        <v>241.85</v>
      </c>
      <c r="W947">
        <f>T947-U947</f>
        <v>9.6999999999999886</v>
      </c>
      <c r="X947" s="4">
        <v>35.216666670000002</v>
      </c>
      <c r="Y947" s="4">
        <v>-10.35</v>
      </c>
      <c r="Z947" s="2"/>
      <c r="AA947" s="2" t="s">
        <v>455</v>
      </c>
      <c r="AB947" s="2" t="s">
        <v>2333</v>
      </c>
      <c r="AC947" s="2" t="s">
        <v>2283</v>
      </c>
      <c r="AD947" s="2" t="s">
        <v>777</v>
      </c>
      <c r="AE947" s="2" t="s">
        <v>90</v>
      </c>
      <c r="AF947" s="2" t="s">
        <v>2283</v>
      </c>
      <c r="AG947" s="2" t="s">
        <v>2294</v>
      </c>
      <c r="AH947" s="2"/>
      <c r="AI947" s="2" t="s">
        <v>2283</v>
      </c>
      <c r="AJ947" s="2" t="s">
        <v>2283</v>
      </c>
      <c r="AK947" s="2" t="s">
        <v>2286</v>
      </c>
      <c r="AL947" s="5" t="s">
        <v>2360</v>
      </c>
      <c r="AM947" s="4"/>
      <c r="AN947" s="4"/>
      <c r="AO947" s="2"/>
      <c r="AP947" s="2"/>
      <c r="AQ947" s="2"/>
      <c r="AR947" s="2"/>
      <c r="AS947" s="2"/>
      <c r="AT947" s="2"/>
      <c r="AU947" s="2"/>
      <c r="AV947" s="2"/>
      <c r="AW947" s="2"/>
      <c r="AX947" s="2"/>
      <c r="AY947" s="2"/>
      <c r="AZ947" s="2"/>
      <c r="BA947" s="2"/>
      <c r="BB947" s="2"/>
    </row>
    <row r="948" spans="1:54" x14ac:dyDescent="0.4">
      <c r="A948" s="1" t="s">
        <v>2361</v>
      </c>
      <c r="B948" s="1"/>
      <c r="C948" s="1"/>
      <c r="D948" s="1" t="s">
        <v>54</v>
      </c>
      <c r="E948" s="1"/>
      <c r="F948" s="1" t="s">
        <v>2357</v>
      </c>
      <c r="G948" s="1">
        <v>1</v>
      </c>
      <c r="H948" s="1" t="s">
        <v>2281</v>
      </c>
      <c r="I948" s="2" t="s">
        <v>57</v>
      </c>
      <c r="J948" s="2" t="s">
        <v>2282</v>
      </c>
      <c r="K948" s="2" t="s">
        <v>2283</v>
      </c>
      <c r="L948" s="3" t="s">
        <v>1491</v>
      </c>
      <c r="M948" s="2" t="s">
        <v>59</v>
      </c>
      <c r="N948" s="3"/>
      <c r="O948" s="3"/>
      <c r="P948" s="2" t="s">
        <v>131</v>
      </c>
      <c r="Q948" s="2"/>
      <c r="R948" s="2" t="s">
        <v>112</v>
      </c>
      <c r="S948" s="2" t="s">
        <v>61</v>
      </c>
      <c r="T948">
        <v>246.7</v>
      </c>
      <c r="U948">
        <v>237</v>
      </c>
      <c r="V948">
        <f>(T948+U948)/2</f>
        <v>241.85</v>
      </c>
      <c r="W948">
        <f>T948-U948</f>
        <v>9.6999999999999886</v>
      </c>
      <c r="X948" s="4">
        <v>35.216666670000002</v>
      </c>
      <c r="Y948" s="4">
        <v>-10.35</v>
      </c>
      <c r="Z948" s="2"/>
      <c r="AA948" s="2" t="s">
        <v>455</v>
      </c>
      <c r="AB948" s="2" t="s">
        <v>2333</v>
      </c>
      <c r="AC948" s="2" t="s">
        <v>2283</v>
      </c>
      <c r="AD948" s="2" t="s">
        <v>777</v>
      </c>
      <c r="AE948" s="2" t="s">
        <v>90</v>
      </c>
      <c r="AF948" s="2" t="s">
        <v>2283</v>
      </c>
      <c r="AG948" s="2" t="s">
        <v>2294</v>
      </c>
      <c r="AH948" s="2"/>
      <c r="AI948" s="2" t="s">
        <v>2283</v>
      </c>
      <c r="AJ948" s="2" t="s">
        <v>2283</v>
      </c>
      <c r="AK948" s="2" t="s">
        <v>2286</v>
      </c>
      <c r="AL948" s="5" t="s">
        <v>2362</v>
      </c>
      <c r="AM948" s="4"/>
      <c r="AN948" s="4"/>
      <c r="AO948" s="2"/>
      <c r="AP948" s="2"/>
      <c r="AQ948" s="2"/>
      <c r="AR948" s="2"/>
      <c r="AS948" s="2"/>
      <c r="AT948" s="2"/>
      <c r="AU948" s="2"/>
      <c r="AV948" s="2"/>
      <c r="AW948" s="2"/>
      <c r="AX948" s="2"/>
      <c r="AY948" s="2"/>
      <c r="AZ948" s="2"/>
      <c r="BA948" s="2"/>
      <c r="BB948" s="2"/>
    </row>
    <row r="949" spans="1:54" x14ac:dyDescent="0.4">
      <c r="A949" s="1" t="s">
        <v>2363</v>
      </c>
      <c r="B949" s="1"/>
      <c r="C949" s="1"/>
      <c r="D949" s="1" t="s">
        <v>54</v>
      </c>
      <c r="E949" s="1"/>
      <c r="F949" s="1" t="s">
        <v>2364</v>
      </c>
      <c r="G949" s="1">
        <v>1</v>
      </c>
      <c r="H949" s="1" t="s">
        <v>2281</v>
      </c>
      <c r="I949" s="2" t="s">
        <v>57</v>
      </c>
      <c r="J949" s="2" t="s">
        <v>2282</v>
      </c>
      <c r="K949" s="2" t="s">
        <v>2283</v>
      </c>
      <c r="L949" s="3" t="s">
        <v>1491</v>
      </c>
      <c r="M949" s="2" t="s">
        <v>59</v>
      </c>
      <c r="N949" s="3"/>
      <c r="O949" s="3"/>
      <c r="P949" s="2" t="s">
        <v>131</v>
      </c>
      <c r="Q949" s="2"/>
      <c r="R949" s="2" t="s">
        <v>112</v>
      </c>
      <c r="S949" s="2" t="s">
        <v>61</v>
      </c>
      <c r="T949">
        <v>246.7</v>
      </c>
      <c r="U949">
        <v>237</v>
      </c>
      <c r="V949">
        <f>(T949+U949)/2</f>
        <v>241.85</v>
      </c>
      <c r="W949">
        <f>T949-U949</f>
        <v>9.6999999999999886</v>
      </c>
      <c r="X949" s="4">
        <v>35.216666670000002</v>
      </c>
      <c r="Y949" s="4">
        <v>-10.35</v>
      </c>
      <c r="Z949" s="2"/>
      <c r="AA949" s="2" t="s">
        <v>455</v>
      </c>
      <c r="AB949" s="2" t="s">
        <v>2333</v>
      </c>
      <c r="AC949" s="2" t="s">
        <v>2283</v>
      </c>
      <c r="AD949" s="2" t="s">
        <v>777</v>
      </c>
      <c r="AE949" s="2" t="s">
        <v>90</v>
      </c>
      <c r="AF949" s="2" t="s">
        <v>2283</v>
      </c>
      <c r="AG949" s="2" t="s">
        <v>2294</v>
      </c>
      <c r="AH949" s="2"/>
      <c r="AI949" s="2" t="s">
        <v>2283</v>
      </c>
      <c r="AJ949" s="2" t="s">
        <v>2283</v>
      </c>
      <c r="AK949" s="2" t="s">
        <v>2286</v>
      </c>
      <c r="AL949" s="5" t="s">
        <v>2362</v>
      </c>
      <c r="AM949" s="4"/>
      <c r="AN949" s="4"/>
      <c r="AO949" s="2"/>
      <c r="AP949" s="2"/>
      <c r="AQ949" s="2"/>
      <c r="AR949" s="2"/>
      <c r="AS949" s="2"/>
      <c r="AT949" s="2"/>
      <c r="AU949" s="2"/>
      <c r="AV949" s="2"/>
      <c r="AW949" s="2"/>
      <c r="AX949" s="2"/>
      <c r="AY949" s="2"/>
      <c r="AZ949" s="2"/>
      <c r="BA949" s="2"/>
      <c r="BB949" s="2"/>
    </row>
    <row r="950" spans="1:54" x14ac:dyDescent="0.4">
      <c r="A950" s="1" t="s">
        <v>2365</v>
      </c>
      <c r="B950" s="1"/>
      <c r="C950" s="1"/>
      <c r="D950" s="1" t="s">
        <v>54</v>
      </c>
      <c r="E950" s="1"/>
      <c r="F950" s="1" t="s">
        <v>2366</v>
      </c>
      <c r="G950" s="1">
        <v>1</v>
      </c>
      <c r="H950" s="1" t="s">
        <v>2281</v>
      </c>
      <c r="I950" s="2" t="s">
        <v>57</v>
      </c>
      <c r="J950" s="2" t="s">
        <v>2282</v>
      </c>
      <c r="K950" s="2" t="s">
        <v>2283</v>
      </c>
      <c r="L950" s="3" t="s">
        <v>1491</v>
      </c>
      <c r="M950" s="2" t="s">
        <v>59</v>
      </c>
      <c r="N950" s="3"/>
      <c r="O950" s="3"/>
      <c r="P950" s="2" t="s">
        <v>131</v>
      </c>
      <c r="Q950" s="2"/>
      <c r="R950" s="2" t="s">
        <v>112</v>
      </c>
      <c r="S950" s="2" t="s">
        <v>61</v>
      </c>
      <c r="T950">
        <v>246.7</v>
      </c>
      <c r="U950">
        <v>237</v>
      </c>
      <c r="V950">
        <f>(T950+U950)/2</f>
        <v>241.85</v>
      </c>
      <c r="W950">
        <f>T950-U950</f>
        <v>9.6999999999999886</v>
      </c>
      <c r="X950" s="4">
        <v>35.216666670000002</v>
      </c>
      <c r="Y950" s="4">
        <v>-10.35</v>
      </c>
      <c r="Z950" s="2"/>
      <c r="AA950" s="2" t="s">
        <v>455</v>
      </c>
      <c r="AB950" s="2" t="s">
        <v>2333</v>
      </c>
      <c r="AC950" s="2" t="s">
        <v>2283</v>
      </c>
      <c r="AD950" s="2" t="s">
        <v>777</v>
      </c>
      <c r="AE950" s="2" t="s">
        <v>90</v>
      </c>
      <c r="AF950" s="2" t="s">
        <v>2283</v>
      </c>
      <c r="AG950" s="2" t="s">
        <v>2294</v>
      </c>
      <c r="AH950" s="2"/>
      <c r="AI950" s="2" t="s">
        <v>2283</v>
      </c>
      <c r="AJ950" s="2" t="s">
        <v>2283</v>
      </c>
      <c r="AK950" s="2" t="s">
        <v>2286</v>
      </c>
      <c r="AL950" s="5" t="s">
        <v>2362</v>
      </c>
      <c r="AM950" s="4"/>
      <c r="AN950" s="4"/>
      <c r="AO950" s="2"/>
      <c r="AP950" s="2"/>
      <c r="AQ950" s="2"/>
      <c r="AR950" s="2"/>
      <c r="AS950" s="2"/>
      <c r="AT950" s="2"/>
      <c r="AU950" s="2"/>
      <c r="AV950" s="2"/>
      <c r="AW950" s="2"/>
      <c r="AX950" s="2"/>
      <c r="AY950" s="2"/>
      <c r="AZ950" s="2"/>
      <c r="BA950" s="2"/>
      <c r="BB950" s="2"/>
    </row>
    <row r="951" spans="1:54" x14ac:dyDescent="0.4">
      <c r="A951" s="1" t="s">
        <v>2367</v>
      </c>
      <c r="B951" s="1"/>
      <c r="C951" s="1"/>
      <c r="D951" s="1" t="s">
        <v>54</v>
      </c>
      <c r="E951" s="1"/>
      <c r="F951" s="1" t="s">
        <v>2368</v>
      </c>
      <c r="G951" s="1">
        <v>1</v>
      </c>
      <c r="H951" s="1" t="s">
        <v>2281</v>
      </c>
      <c r="I951" s="2" t="s">
        <v>57</v>
      </c>
      <c r="J951" s="2" t="s">
        <v>2282</v>
      </c>
      <c r="K951" s="2" t="s">
        <v>2283</v>
      </c>
      <c r="L951" s="3" t="s">
        <v>1491</v>
      </c>
      <c r="M951" s="2" t="s">
        <v>59</v>
      </c>
      <c r="N951" s="3"/>
      <c r="O951" s="3"/>
      <c r="P951" s="2" t="s">
        <v>131</v>
      </c>
      <c r="Q951" s="2"/>
      <c r="R951" s="2" t="s">
        <v>112</v>
      </c>
      <c r="S951" s="2" t="s">
        <v>61</v>
      </c>
      <c r="T951">
        <v>246.7</v>
      </c>
      <c r="U951">
        <v>237</v>
      </c>
      <c r="V951">
        <f>(T951+U951)/2</f>
        <v>241.85</v>
      </c>
      <c r="W951">
        <f>T951-U951</f>
        <v>9.6999999999999886</v>
      </c>
      <c r="X951" s="4">
        <v>35.216666670000002</v>
      </c>
      <c r="Y951" s="4">
        <v>-10.35</v>
      </c>
      <c r="Z951" s="2"/>
      <c r="AA951" s="2" t="s">
        <v>455</v>
      </c>
      <c r="AB951" s="2" t="s">
        <v>2333</v>
      </c>
      <c r="AC951" s="2" t="s">
        <v>2283</v>
      </c>
      <c r="AD951" s="2" t="s">
        <v>777</v>
      </c>
      <c r="AE951" s="2" t="s">
        <v>90</v>
      </c>
      <c r="AF951" s="2" t="s">
        <v>2283</v>
      </c>
      <c r="AG951" s="2" t="s">
        <v>2294</v>
      </c>
      <c r="AH951" s="2"/>
      <c r="AI951" s="2" t="s">
        <v>2283</v>
      </c>
      <c r="AJ951" s="2" t="s">
        <v>2283</v>
      </c>
      <c r="AK951" s="2" t="s">
        <v>2286</v>
      </c>
      <c r="AL951" s="5" t="s">
        <v>2362</v>
      </c>
      <c r="AM951" s="4"/>
      <c r="AN951" s="4"/>
      <c r="AO951" s="2"/>
      <c r="AP951" s="2"/>
      <c r="AQ951" s="2"/>
      <c r="AR951" s="2"/>
      <c r="AS951" s="2"/>
      <c r="AT951" s="2"/>
      <c r="AU951" s="2"/>
      <c r="AV951" s="2"/>
      <c r="AW951" s="2"/>
      <c r="AX951" s="2"/>
      <c r="AY951" s="2"/>
      <c r="AZ951" s="2"/>
      <c r="BA951" s="2"/>
      <c r="BB951" s="2"/>
    </row>
    <row r="952" spans="1:54" x14ac:dyDescent="0.4">
      <c r="A952" s="1" t="s">
        <v>2369</v>
      </c>
      <c r="B952" s="1"/>
      <c r="C952" s="1"/>
      <c r="D952" s="1" t="s">
        <v>54</v>
      </c>
      <c r="E952" s="1"/>
      <c r="F952" s="1" t="s">
        <v>2370</v>
      </c>
      <c r="G952" s="1">
        <v>1</v>
      </c>
      <c r="H952" s="1" t="s">
        <v>2281</v>
      </c>
      <c r="I952" s="2" t="s">
        <v>57</v>
      </c>
      <c r="J952" s="2" t="s">
        <v>2282</v>
      </c>
      <c r="K952" s="2" t="s">
        <v>2283</v>
      </c>
      <c r="L952" s="3" t="s">
        <v>1491</v>
      </c>
      <c r="M952" s="2" t="s">
        <v>59</v>
      </c>
      <c r="N952" s="3"/>
      <c r="O952" s="3"/>
      <c r="P952" s="2" t="s">
        <v>131</v>
      </c>
      <c r="Q952" s="2"/>
      <c r="R952" s="2" t="s">
        <v>112</v>
      </c>
      <c r="S952" s="2" t="s">
        <v>61</v>
      </c>
      <c r="T952">
        <v>246.7</v>
      </c>
      <c r="U952">
        <v>237</v>
      </c>
      <c r="V952">
        <f>(T952+U952)/2</f>
        <v>241.85</v>
      </c>
      <c r="W952">
        <f>T952-U952</f>
        <v>9.6999999999999886</v>
      </c>
      <c r="X952" s="4">
        <v>35.216666670000002</v>
      </c>
      <c r="Y952" s="4">
        <v>-10.35</v>
      </c>
      <c r="Z952" s="2"/>
      <c r="AA952" s="2" t="s">
        <v>455</v>
      </c>
      <c r="AB952" s="2" t="s">
        <v>2333</v>
      </c>
      <c r="AC952" s="2" t="s">
        <v>2283</v>
      </c>
      <c r="AD952" s="2" t="s">
        <v>777</v>
      </c>
      <c r="AE952" s="2" t="s">
        <v>90</v>
      </c>
      <c r="AF952" s="2" t="s">
        <v>2283</v>
      </c>
      <c r="AG952" s="2" t="s">
        <v>2294</v>
      </c>
      <c r="AH952" s="2"/>
      <c r="AI952" s="2" t="s">
        <v>2283</v>
      </c>
      <c r="AJ952" s="2" t="s">
        <v>2283</v>
      </c>
      <c r="AK952" s="2" t="s">
        <v>2286</v>
      </c>
      <c r="AL952" s="5" t="s">
        <v>2362</v>
      </c>
      <c r="AM952" s="4"/>
      <c r="AN952" s="4"/>
      <c r="AO952" s="2"/>
      <c r="AP952" s="2"/>
      <c r="AQ952" s="2"/>
      <c r="AR952" s="2"/>
      <c r="AS952" s="2"/>
      <c r="AT952" s="2"/>
      <c r="AU952" s="2"/>
      <c r="AV952" s="2"/>
      <c r="AW952" s="2"/>
      <c r="AX952" s="2"/>
      <c r="AY952" s="2"/>
      <c r="AZ952" s="2"/>
      <c r="BA952" s="2"/>
      <c r="BB952" s="2"/>
    </row>
    <row r="953" spans="1:54" x14ac:dyDescent="0.4">
      <c r="A953" s="1" t="s">
        <v>2371</v>
      </c>
      <c r="B953" s="1"/>
      <c r="C953" s="1"/>
      <c r="D953" s="1" t="s">
        <v>54</v>
      </c>
      <c r="E953" s="1"/>
      <c r="F953" s="1" t="s">
        <v>2372</v>
      </c>
      <c r="G953" s="1">
        <v>1</v>
      </c>
      <c r="H953" s="1" t="s">
        <v>2281</v>
      </c>
      <c r="I953" s="2" t="s">
        <v>57</v>
      </c>
      <c r="J953" s="2" t="s">
        <v>2282</v>
      </c>
      <c r="K953" s="2" t="s">
        <v>2283</v>
      </c>
      <c r="L953" s="3" t="s">
        <v>1491</v>
      </c>
      <c r="M953" s="2" t="s">
        <v>59</v>
      </c>
      <c r="N953" s="3"/>
      <c r="O953" s="3"/>
      <c r="P953" s="2" t="s">
        <v>131</v>
      </c>
      <c r="Q953" s="2"/>
      <c r="R953" s="2" t="s">
        <v>112</v>
      </c>
      <c r="S953" s="2" t="s">
        <v>61</v>
      </c>
      <c r="T953">
        <v>246.7</v>
      </c>
      <c r="U953">
        <v>237</v>
      </c>
      <c r="V953">
        <f>(T953+U953)/2</f>
        <v>241.85</v>
      </c>
      <c r="W953">
        <f>T953-U953</f>
        <v>9.6999999999999886</v>
      </c>
      <c r="X953" s="4">
        <v>35.216666670000002</v>
      </c>
      <c r="Y953" s="4">
        <v>-10.35</v>
      </c>
      <c r="Z953" s="2"/>
      <c r="AA953" s="2" t="s">
        <v>455</v>
      </c>
      <c r="AB953" s="2" t="s">
        <v>2333</v>
      </c>
      <c r="AC953" s="2" t="s">
        <v>2283</v>
      </c>
      <c r="AD953" s="2" t="s">
        <v>777</v>
      </c>
      <c r="AE953" s="2" t="s">
        <v>90</v>
      </c>
      <c r="AF953" s="2" t="s">
        <v>2283</v>
      </c>
      <c r="AG953" s="2" t="s">
        <v>2294</v>
      </c>
      <c r="AH953" s="2"/>
      <c r="AI953" s="2" t="s">
        <v>2283</v>
      </c>
      <c r="AJ953" s="2" t="s">
        <v>2283</v>
      </c>
      <c r="AK953" s="2" t="s">
        <v>2286</v>
      </c>
      <c r="AL953" s="5" t="s">
        <v>2362</v>
      </c>
      <c r="AM953" s="4"/>
      <c r="AN953" s="4"/>
      <c r="AO953" s="2"/>
      <c r="AP953" s="2"/>
      <c r="AQ953" s="2"/>
      <c r="AR953" s="2"/>
      <c r="AS953" s="2"/>
      <c r="AT953" s="2"/>
      <c r="AU953" s="2"/>
      <c r="AV953" s="2"/>
      <c r="AW953" s="2"/>
      <c r="AX953" s="2"/>
      <c r="AY953" s="2"/>
      <c r="AZ953" s="2"/>
      <c r="BA953" s="2"/>
      <c r="BB953" s="2"/>
    </row>
    <row r="954" spans="1:54" x14ac:dyDescent="0.4">
      <c r="A954" s="1" t="s">
        <v>2373</v>
      </c>
      <c r="B954" s="1"/>
      <c r="C954" s="1"/>
      <c r="D954" s="1" t="s">
        <v>54</v>
      </c>
      <c r="E954" s="1"/>
      <c r="F954" s="1" t="s">
        <v>2374</v>
      </c>
      <c r="G954" s="1">
        <v>1</v>
      </c>
      <c r="H954" s="1" t="s">
        <v>2281</v>
      </c>
      <c r="I954" s="2" t="s">
        <v>57</v>
      </c>
      <c r="J954" s="2" t="s">
        <v>2282</v>
      </c>
      <c r="K954" s="2" t="s">
        <v>2283</v>
      </c>
      <c r="L954" s="3" t="s">
        <v>1491</v>
      </c>
      <c r="M954" s="2" t="s">
        <v>59</v>
      </c>
      <c r="N954" s="3"/>
      <c r="O954" s="3"/>
      <c r="P954" s="2" t="s">
        <v>131</v>
      </c>
      <c r="Q954" s="2"/>
      <c r="R954" s="2" t="s">
        <v>112</v>
      </c>
      <c r="S954" s="2" t="s">
        <v>61</v>
      </c>
      <c r="T954">
        <v>246.7</v>
      </c>
      <c r="U954">
        <v>237</v>
      </c>
      <c r="V954">
        <f>(T954+U954)/2</f>
        <v>241.85</v>
      </c>
      <c r="W954">
        <f>T954-U954</f>
        <v>9.6999999999999886</v>
      </c>
      <c r="X954" s="4">
        <v>35.216666670000002</v>
      </c>
      <c r="Y954" s="4">
        <v>-10.35</v>
      </c>
      <c r="Z954" s="2"/>
      <c r="AA954" s="2" t="s">
        <v>455</v>
      </c>
      <c r="AB954" s="2" t="s">
        <v>2333</v>
      </c>
      <c r="AC954" s="2" t="s">
        <v>2283</v>
      </c>
      <c r="AD954" s="2" t="s">
        <v>777</v>
      </c>
      <c r="AE954" s="2" t="s">
        <v>90</v>
      </c>
      <c r="AF954" s="2" t="s">
        <v>2283</v>
      </c>
      <c r="AG954" s="2" t="s">
        <v>2294</v>
      </c>
      <c r="AH954" s="2"/>
      <c r="AI954" s="2" t="s">
        <v>2283</v>
      </c>
      <c r="AJ954" s="2" t="s">
        <v>2283</v>
      </c>
      <c r="AK954" s="2" t="s">
        <v>2286</v>
      </c>
      <c r="AL954" s="5" t="s">
        <v>2375</v>
      </c>
      <c r="AM954" s="4"/>
      <c r="AN954" s="4"/>
      <c r="AO954" s="2"/>
      <c r="AP954" s="2"/>
      <c r="AQ954" s="2"/>
      <c r="AR954" s="2"/>
      <c r="AS954" s="2"/>
      <c r="AT954" s="2"/>
      <c r="AU954" s="2"/>
      <c r="AV954" s="2"/>
      <c r="AW954" s="2"/>
      <c r="AX954" s="2"/>
      <c r="AY954" s="2"/>
      <c r="AZ954" s="2"/>
      <c r="BA954" s="2"/>
      <c r="BB954" s="2"/>
    </row>
    <row r="955" spans="1:54" x14ac:dyDescent="0.4">
      <c r="A955" s="1" t="s">
        <v>2376</v>
      </c>
      <c r="B955" s="1"/>
      <c r="C955" s="1"/>
      <c r="D955" s="1" t="s">
        <v>54</v>
      </c>
      <c r="E955" s="1"/>
      <c r="F955" s="1" t="s">
        <v>2377</v>
      </c>
      <c r="G955" s="1">
        <v>1</v>
      </c>
      <c r="H955" s="1" t="s">
        <v>2281</v>
      </c>
      <c r="I955" s="2" t="s">
        <v>57</v>
      </c>
      <c r="J955" s="2" t="s">
        <v>2282</v>
      </c>
      <c r="K955" s="2" t="s">
        <v>2283</v>
      </c>
      <c r="L955" s="3" t="s">
        <v>1491</v>
      </c>
      <c r="M955" s="2" t="s">
        <v>59</v>
      </c>
      <c r="N955" s="3"/>
      <c r="O955" s="3"/>
      <c r="P955" s="2" t="s">
        <v>131</v>
      </c>
      <c r="Q955" s="2"/>
      <c r="R955" s="2" t="s">
        <v>112</v>
      </c>
      <c r="S955" s="2" t="s">
        <v>61</v>
      </c>
      <c r="T955">
        <v>246.7</v>
      </c>
      <c r="U955">
        <v>237</v>
      </c>
      <c r="V955">
        <f>(T955+U955)/2</f>
        <v>241.85</v>
      </c>
      <c r="W955">
        <f>T955-U955</f>
        <v>9.6999999999999886</v>
      </c>
      <c r="X955" s="4">
        <v>35.216666670000002</v>
      </c>
      <c r="Y955" s="4">
        <v>-10.35</v>
      </c>
      <c r="Z955" s="2"/>
      <c r="AA955" s="2" t="s">
        <v>455</v>
      </c>
      <c r="AB955" s="2" t="s">
        <v>2333</v>
      </c>
      <c r="AC955" s="2" t="s">
        <v>2283</v>
      </c>
      <c r="AD955" s="2" t="s">
        <v>777</v>
      </c>
      <c r="AE955" s="2" t="s">
        <v>90</v>
      </c>
      <c r="AF955" s="2" t="s">
        <v>2283</v>
      </c>
      <c r="AG955" s="2" t="s">
        <v>2294</v>
      </c>
      <c r="AH955" s="2"/>
      <c r="AI955" s="2" t="s">
        <v>2283</v>
      </c>
      <c r="AJ955" s="2" t="s">
        <v>2283</v>
      </c>
      <c r="AK955" s="2" t="s">
        <v>2286</v>
      </c>
      <c r="AL955" s="5" t="s">
        <v>2375</v>
      </c>
      <c r="AM955" s="4"/>
      <c r="AN955" s="4"/>
      <c r="AO955" s="2"/>
      <c r="AP955" s="2"/>
      <c r="AQ955" s="2"/>
      <c r="AR955" s="2"/>
      <c r="AS955" s="2"/>
      <c r="AT955" s="2"/>
      <c r="AU955" s="2"/>
      <c r="AV955" s="2"/>
      <c r="AW955" s="2"/>
      <c r="AX955" s="2"/>
      <c r="AY955" s="2"/>
      <c r="AZ955" s="2"/>
      <c r="BA955" s="2"/>
      <c r="BB955" s="2"/>
    </row>
    <row r="956" spans="1:54" x14ac:dyDescent="0.4">
      <c r="A956" s="1" t="s">
        <v>2378</v>
      </c>
      <c r="B956" s="1"/>
      <c r="C956" s="1"/>
      <c r="D956" s="1" t="s">
        <v>54</v>
      </c>
      <c r="E956" s="1"/>
      <c r="F956" s="1" t="s">
        <v>2379</v>
      </c>
      <c r="G956" s="1">
        <v>1</v>
      </c>
      <c r="H956" s="1" t="s">
        <v>2281</v>
      </c>
      <c r="I956" s="2" t="s">
        <v>57</v>
      </c>
      <c r="J956" s="2" t="s">
        <v>2282</v>
      </c>
      <c r="K956" s="2" t="s">
        <v>355</v>
      </c>
      <c r="L956" s="6" t="s">
        <v>2380</v>
      </c>
      <c r="M956" s="2" t="s">
        <v>59</v>
      </c>
      <c r="N956" s="6"/>
      <c r="O956" s="6"/>
      <c r="P956" s="2" t="s">
        <v>131</v>
      </c>
      <c r="Q956" s="2"/>
      <c r="R956" s="2" t="s">
        <v>112</v>
      </c>
      <c r="S956" s="2" t="s">
        <v>61</v>
      </c>
      <c r="T956">
        <v>246.7</v>
      </c>
      <c r="U956">
        <v>237</v>
      </c>
      <c r="V956">
        <f>(T956+U956)/2</f>
        <v>241.85</v>
      </c>
      <c r="W956">
        <f>T956-U956</f>
        <v>9.6999999999999886</v>
      </c>
      <c r="X956" s="4" t="s">
        <v>2381</v>
      </c>
      <c r="Y956" s="4" t="s">
        <v>2382</v>
      </c>
      <c r="Z956" s="4"/>
      <c r="AA956" s="2" t="s">
        <v>186</v>
      </c>
      <c r="AB956" s="7" t="s">
        <v>332</v>
      </c>
      <c r="AC956" s="7" t="s">
        <v>2383</v>
      </c>
      <c r="AD956" s="2" t="s">
        <v>878</v>
      </c>
      <c r="AE956" s="2" t="s">
        <v>2283</v>
      </c>
      <c r="AF956" s="2" t="s">
        <v>2283</v>
      </c>
      <c r="AG956" s="3"/>
      <c r="AH956" s="3"/>
      <c r="AI956" s="2" t="s">
        <v>2384</v>
      </c>
      <c r="AJ956" s="2">
        <v>2023</v>
      </c>
      <c r="AK956" s="4" t="s">
        <v>2385</v>
      </c>
      <c r="AL956" s="8" t="s">
        <v>2386</v>
      </c>
      <c r="AM956" s="2"/>
      <c r="AN956" s="2"/>
      <c r="AO956" s="2"/>
      <c r="AP956" s="2"/>
      <c r="AQ956" s="2"/>
      <c r="AR956" s="2"/>
      <c r="AS956" s="2"/>
      <c r="AT956" s="2"/>
      <c r="AU956" s="2"/>
      <c r="AV956" s="2"/>
      <c r="AW956" s="2"/>
      <c r="AX956" s="2"/>
      <c r="AY956" s="2"/>
      <c r="AZ956" s="2"/>
      <c r="BA956" s="2"/>
      <c r="BB956" s="2"/>
    </row>
    <row r="957" spans="1:54" x14ac:dyDescent="0.4">
      <c r="A957">
        <v>933167</v>
      </c>
      <c r="D957" t="s">
        <v>54</v>
      </c>
      <c r="E957" t="s">
        <v>104</v>
      </c>
      <c r="F957" t="s">
        <v>1509</v>
      </c>
      <c r="G957">
        <v>10</v>
      </c>
      <c r="H957" t="s">
        <v>74</v>
      </c>
      <c r="I957" t="s">
        <v>57</v>
      </c>
      <c r="K957" t="s">
        <v>102</v>
      </c>
      <c r="L957" t="s">
        <v>1586</v>
      </c>
      <c r="M957" t="s">
        <v>59</v>
      </c>
      <c r="P957" t="s">
        <v>131</v>
      </c>
      <c r="R957" t="s">
        <v>112</v>
      </c>
      <c r="S957" t="s">
        <v>61</v>
      </c>
      <c r="T957">
        <v>246.7</v>
      </c>
      <c r="U957">
        <v>242</v>
      </c>
      <c r="V957">
        <f>(T957+U957)/2</f>
        <v>244.35</v>
      </c>
      <c r="W957">
        <f>T957-U957</f>
        <v>4.6999999999999886</v>
      </c>
      <c r="X957">
        <v>9.7833330000000007</v>
      </c>
      <c r="Y957">
        <v>27.85</v>
      </c>
      <c r="Z957" t="s">
        <v>113</v>
      </c>
      <c r="AA957" t="s">
        <v>1587</v>
      </c>
      <c r="AB957" t="s">
        <v>1588</v>
      </c>
      <c r="AD957" t="s">
        <v>1589</v>
      </c>
      <c r="AE957" t="s">
        <v>1590</v>
      </c>
      <c r="AF957" t="s">
        <v>1591</v>
      </c>
      <c r="AH957" t="s">
        <v>65</v>
      </c>
      <c r="AI957" t="s">
        <v>1592</v>
      </c>
      <c r="AJ957">
        <v>1997</v>
      </c>
      <c r="AK957" t="s">
        <v>1593</v>
      </c>
      <c r="AN957" t="s">
        <v>121</v>
      </c>
      <c r="AO957" t="s">
        <v>106</v>
      </c>
      <c r="AP957" t="s">
        <v>69</v>
      </c>
      <c r="AQ957" t="s">
        <v>1594</v>
      </c>
      <c r="AR957" t="s">
        <v>70</v>
      </c>
      <c r="AS957">
        <v>715</v>
      </c>
      <c r="AT957" t="s">
        <v>71</v>
      </c>
      <c r="AU957">
        <v>19.29</v>
      </c>
      <c r="AV957">
        <v>4.68</v>
      </c>
      <c r="AW957" t="s">
        <v>72</v>
      </c>
      <c r="AX957">
        <v>715</v>
      </c>
      <c r="AY957" t="s">
        <v>71</v>
      </c>
      <c r="AZ957">
        <v>13.7</v>
      </c>
      <c r="BA957">
        <v>-8.9700000000000006</v>
      </c>
      <c r="BB957" t="s">
        <v>73</v>
      </c>
    </row>
    <row r="958" spans="1:54" x14ac:dyDescent="0.4">
      <c r="A958">
        <v>558341</v>
      </c>
      <c r="D958" t="s">
        <v>381</v>
      </c>
      <c r="E958" t="s">
        <v>55</v>
      </c>
      <c r="G958">
        <v>2</v>
      </c>
      <c r="H958" t="s">
        <v>74</v>
      </c>
      <c r="I958" t="s">
        <v>57</v>
      </c>
      <c r="K958" t="s">
        <v>102</v>
      </c>
      <c r="L958" t="s">
        <v>420</v>
      </c>
      <c r="M958" t="s">
        <v>59</v>
      </c>
      <c r="P958" t="s">
        <v>131</v>
      </c>
      <c r="R958" t="s">
        <v>112</v>
      </c>
      <c r="S958" t="s">
        <v>61</v>
      </c>
      <c r="T958">
        <v>246.7</v>
      </c>
      <c r="U958">
        <v>242</v>
      </c>
      <c r="V958">
        <f>(T958+U958)/2</f>
        <v>244.35</v>
      </c>
      <c r="W958">
        <f>T958-U958</f>
        <v>4.6999999999999886</v>
      </c>
      <c r="X958">
        <v>-1.5762799999999999</v>
      </c>
      <c r="Y958">
        <v>52.286876999999997</v>
      </c>
      <c r="Z958" t="s">
        <v>239</v>
      </c>
      <c r="AA958" t="s">
        <v>78</v>
      </c>
      <c r="AB958" t="s">
        <v>79</v>
      </c>
      <c r="AC958" t="s">
        <v>334</v>
      </c>
      <c r="AD958" t="s">
        <v>421</v>
      </c>
      <c r="AE958" t="s">
        <v>422</v>
      </c>
      <c r="AH958" t="s">
        <v>65</v>
      </c>
      <c r="AI958" t="s">
        <v>423</v>
      </c>
      <c r="AJ958">
        <v>1996</v>
      </c>
      <c r="AK958" t="s">
        <v>424</v>
      </c>
      <c r="AM958" t="s">
        <v>425</v>
      </c>
      <c r="AN958" t="s">
        <v>67</v>
      </c>
      <c r="AO958">
        <v>6</v>
      </c>
      <c r="AP958" t="s">
        <v>69</v>
      </c>
      <c r="AQ958" t="s">
        <v>426</v>
      </c>
      <c r="AR958" t="s">
        <v>70</v>
      </c>
      <c r="AS958">
        <v>315</v>
      </c>
      <c r="AT958" t="s">
        <v>71</v>
      </c>
      <c r="AU958">
        <v>20.309999999999999</v>
      </c>
      <c r="AV958">
        <v>29.55</v>
      </c>
      <c r="AW958" t="s">
        <v>72</v>
      </c>
      <c r="AX958">
        <v>315</v>
      </c>
      <c r="AY958" t="s">
        <v>71</v>
      </c>
      <c r="AZ958">
        <v>11.49</v>
      </c>
      <c r="BA958">
        <v>15.59</v>
      </c>
      <c r="BB958" t="s">
        <v>73</v>
      </c>
    </row>
    <row r="959" spans="1:54" x14ac:dyDescent="0.4">
      <c r="A959">
        <v>558342</v>
      </c>
      <c r="D959" t="s">
        <v>381</v>
      </c>
      <c r="E959" t="s">
        <v>55</v>
      </c>
      <c r="G959">
        <v>5</v>
      </c>
      <c r="H959" t="s">
        <v>74</v>
      </c>
      <c r="I959" t="s">
        <v>57</v>
      </c>
      <c r="K959" t="s">
        <v>279</v>
      </c>
      <c r="L959" t="s">
        <v>427</v>
      </c>
      <c r="M959" t="s">
        <v>59</v>
      </c>
      <c r="O959" t="s">
        <v>76</v>
      </c>
      <c r="P959" t="s">
        <v>131</v>
      </c>
      <c r="R959" t="s">
        <v>112</v>
      </c>
      <c r="S959" t="s">
        <v>61</v>
      </c>
      <c r="T959">
        <v>246.7</v>
      </c>
      <c r="U959">
        <v>242</v>
      </c>
      <c r="V959">
        <f>(T959+U959)/2</f>
        <v>244.35</v>
      </c>
      <c r="W959">
        <f>T959-U959</f>
        <v>4.6999999999999886</v>
      </c>
      <c r="X959">
        <v>-1.5762799999999999</v>
      </c>
      <c r="Y959">
        <v>52.286876999999997</v>
      </c>
      <c r="Z959" t="s">
        <v>239</v>
      </c>
      <c r="AA959" t="s">
        <v>78</v>
      </c>
      <c r="AB959" t="s">
        <v>79</v>
      </c>
      <c r="AC959" t="s">
        <v>334</v>
      </c>
      <c r="AD959" t="s">
        <v>421</v>
      </c>
      <c r="AE959" t="s">
        <v>422</v>
      </c>
      <c r="AH959" t="s">
        <v>65</v>
      </c>
      <c r="AI959" t="s">
        <v>412</v>
      </c>
      <c r="AJ959">
        <v>1994</v>
      </c>
      <c r="AK959" t="s">
        <v>424</v>
      </c>
      <c r="AM959" t="s">
        <v>425</v>
      </c>
      <c r="AN959" t="s">
        <v>67</v>
      </c>
      <c r="AO959">
        <v>6</v>
      </c>
      <c r="AP959" t="s">
        <v>69</v>
      </c>
      <c r="AQ959" t="s">
        <v>426</v>
      </c>
      <c r="AR959" t="s">
        <v>70</v>
      </c>
      <c r="AS959">
        <v>315</v>
      </c>
      <c r="AT959" t="s">
        <v>71</v>
      </c>
      <c r="AU959">
        <v>20.309999999999999</v>
      </c>
      <c r="AV959">
        <v>29.55</v>
      </c>
      <c r="AW959" t="s">
        <v>72</v>
      </c>
      <c r="AX959">
        <v>315</v>
      </c>
      <c r="AY959" t="s">
        <v>71</v>
      </c>
      <c r="AZ959">
        <v>11.49</v>
      </c>
      <c r="BA959">
        <v>15.59</v>
      </c>
      <c r="BB959" t="s">
        <v>73</v>
      </c>
    </row>
    <row r="960" spans="1:54" x14ac:dyDescent="0.4">
      <c r="A960">
        <v>558344</v>
      </c>
      <c r="D960" t="s">
        <v>381</v>
      </c>
      <c r="E960" t="s">
        <v>55</v>
      </c>
      <c r="G960">
        <v>4</v>
      </c>
      <c r="H960" t="s">
        <v>74</v>
      </c>
      <c r="I960" t="s">
        <v>57</v>
      </c>
      <c r="K960" t="s">
        <v>279</v>
      </c>
      <c r="L960" t="s">
        <v>427</v>
      </c>
      <c r="M960" t="s">
        <v>59</v>
      </c>
      <c r="O960" t="s">
        <v>76</v>
      </c>
      <c r="P960" t="s">
        <v>131</v>
      </c>
      <c r="R960" t="s">
        <v>112</v>
      </c>
      <c r="S960" t="s">
        <v>61</v>
      </c>
      <c r="T960">
        <v>246.7</v>
      </c>
      <c r="U960">
        <v>242</v>
      </c>
      <c r="V960">
        <f>(T960+U960)/2</f>
        <v>244.35</v>
      </c>
      <c r="W960">
        <f>T960-U960</f>
        <v>4.6999999999999886</v>
      </c>
      <c r="X960">
        <v>-1.5762799999999999</v>
      </c>
      <c r="Y960">
        <v>52.286876999999997</v>
      </c>
      <c r="Z960" t="s">
        <v>239</v>
      </c>
      <c r="AA960" t="s">
        <v>78</v>
      </c>
      <c r="AB960" t="s">
        <v>79</v>
      </c>
      <c r="AC960" t="s">
        <v>334</v>
      </c>
      <c r="AD960" t="s">
        <v>421</v>
      </c>
      <c r="AE960" t="s">
        <v>422</v>
      </c>
      <c r="AH960" t="s">
        <v>65</v>
      </c>
      <c r="AI960" t="s">
        <v>411</v>
      </c>
      <c r="AJ960">
        <v>1842</v>
      </c>
      <c r="AK960" t="s">
        <v>424</v>
      </c>
      <c r="AM960" t="s">
        <v>425</v>
      </c>
      <c r="AN960" t="s">
        <v>67</v>
      </c>
      <c r="AO960">
        <v>6</v>
      </c>
      <c r="AP960" t="s">
        <v>69</v>
      </c>
      <c r="AQ960" t="s">
        <v>426</v>
      </c>
      <c r="AR960" t="s">
        <v>70</v>
      </c>
      <c r="AS960">
        <v>315</v>
      </c>
      <c r="AT960" t="s">
        <v>71</v>
      </c>
      <c r="AU960">
        <v>20.309999999999999</v>
      </c>
      <c r="AV960">
        <v>29.55</v>
      </c>
      <c r="AW960" t="s">
        <v>72</v>
      </c>
      <c r="AX960">
        <v>315</v>
      </c>
      <c r="AY960" t="s">
        <v>71</v>
      </c>
      <c r="AZ960">
        <v>11.49</v>
      </c>
      <c r="BA960">
        <v>15.59</v>
      </c>
      <c r="BB960" t="s">
        <v>73</v>
      </c>
    </row>
    <row r="961" spans="1:54" x14ac:dyDescent="0.4">
      <c r="A961">
        <v>558345</v>
      </c>
      <c r="D961" t="s">
        <v>381</v>
      </c>
      <c r="E961" t="s">
        <v>55</v>
      </c>
      <c r="G961">
        <v>1</v>
      </c>
      <c r="H961" t="s">
        <v>74</v>
      </c>
      <c r="I961" t="s">
        <v>57</v>
      </c>
      <c r="K961" t="s">
        <v>279</v>
      </c>
      <c r="L961" t="s">
        <v>427</v>
      </c>
      <c r="M961" t="s">
        <v>59</v>
      </c>
      <c r="O961" t="s">
        <v>76</v>
      </c>
      <c r="P961" t="s">
        <v>131</v>
      </c>
      <c r="R961" t="s">
        <v>112</v>
      </c>
      <c r="S961" t="s">
        <v>61</v>
      </c>
      <c r="T961">
        <v>246.7</v>
      </c>
      <c r="U961">
        <v>242</v>
      </c>
      <c r="V961">
        <f>(T961+U961)/2</f>
        <v>244.35</v>
      </c>
      <c r="W961">
        <f>T961-U961</f>
        <v>4.6999999999999886</v>
      </c>
      <c r="X961">
        <v>-1.5762799999999999</v>
      </c>
      <c r="Y961">
        <v>52.286876999999997</v>
      </c>
      <c r="Z961" t="s">
        <v>239</v>
      </c>
      <c r="AA961" t="s">
        <v>78</v>
      </c>
      <c r="AB961" t="s">
        <v>79</v>
      </c>
      <c r="AC961" t="s">
        <v>334</v>
      </c>
      <c r="AD961" t="s">
        <v>421</v>
      </c>
      <c r="AE961" t="s">
        <v>422</v>
      </c>
      <c r="AH961" t="s">
        <v>11</v>
      </c>
      <c r="AI961" t="s">
        <v>184</v>
      </c>
      <c r="AJ961">
        <v>2012</v>
      </c>
      <c r="AK961" t="s">
        <v>424</v>
      </c>
      <c r="AM961" t="s">
        <v>425</v>
      </c>
      <c r="AN961" t="s">
        <v>67</v>
      </c>
      <c r="AO961">
        <v>6</v>
      </c>
      <c r="AP961" t="s">
        <v>69</v>
      </c>
      <c r="AQ961" t="s">
        <v>426</v>
      </c>
      <c r="AR961" t="s">
        <v>70</v>
      </c>
      <c r="AS961">
        <v>315</v>
      </c>
      <c r="AT961" t="s">
        <v>71</v>
      </c>
      <c r="AU961">
        <v>20.309999999999999</v>
      </c>
      <c r="AV961">
        <v>29.55</v>
      </c>
      <c r="AW961" t="s">
        <v>72</v>
      </c>
      <c r="AX961">
        <v>315</v>
      </c>
      <c r="AY961" t="s">
        <v>71</v>
      </c>
      <c r="AZ961">
        <v>11.49</v>
      </c>
      <c r="BA961">
        <v>15.59</v>
      </c>
      <c r="BB961" t="s">
        <v>73</v>
      </c>
    </row>
    <row r="962" spans="1:54" x14ac:dyDescent="0.4">
      <c r="A962">
        <v>561984</v>
      </c>
      <c r="D962" t="s">
        <v>381</v>
      </c>
      <c r="E962" t="s">
        <v>55</v>
      </c>
      <c r="G962">
        <v>1</v>
      </c>
      <c r="H962" t="s">
        <v>74</v>
      </c>
      <c r="I962" t="s">
        <v>57</v>
      </c>
      <c r="K962" t="s">
        <v>373</v>
      </c>
      <c r="L962" t="s">
        <v>429</v>
      </c>
      <c r="M962" t="s">
        <v>59</v>
      </c>
      <c r="O962" t="s">
        <v>107</v>
      </c>
      <c r="P962" t="s">
        <v>131</v>
      </c>
      <c r="R962" t="s">
        <v>112</v>
      </c>
      <c r="S962" t="s">
        <v>61</v>
      </c>
      <c r="T962">
        <v>246.7</v>
      </c>
      <c r="U962">
        <v>242</v>
      </c>
      <c r="V962">
        <f>(T962+U962)/2</f>
        <v>244.35</v>
      </c>
      <c r="W962">
        <f>T962-U962</f>
        <v>4.6999999999999886</v>
      </c>
      <c r="X962">
        <v>-1.5762799999999999</v>
      </c>
      <c r="Y962">
        <v>52.286876999999997</v>
      </c>
      <c r="Z962" t="s">
        <v>239</v>
      </c>
      <c r="AA962" t="s">
        <v>78</v>
      </c>
      <c r="AB962" t="s">
        <v>79</v>
      </c>
      <c r="AC962" t="s">
        <v>334</v>
      </c>
      <c r="AD962" t="s">
        <v>421</v>
      </c>
      <c r="AE962" t="s">
        <v>422</v>
      </c>
      <c r="AH962" t="s">
        <v>65</v>
      </c>
      <c r="AI962" t="s">
        <v>430</v>
      </c>
      <c r="AJ962">
        <v>1990</v>
      </c>
      <c r="AK962" t="s">
        <v>424</v>
      </c>
      <c r="AM962" t="s">
        <v>425</v>
      </c>
      <c r="AN962" t="s">
        <v>67</v>
      </c>
      <c r="AO962">
        <v>6</v>
      </c>
      <c r="AP962" t="s">
        <v>69</v>
      </c>
      <c r="AQ962" t="s">
        <v>426</v>
      </c>
      <c r="AR962" t="s">
        <v>70</v>
      </c>
      <c r="AS962">
        <v>315</v>
      </c>
      <c r="AT962" t="s">
        <v>71</v>
      </c>
      <c r="AU962">
        <v>20.309999999999999</v>
      </c>
      <c r="AV962">
        <v>29.55</v>
      </c>
      <c r="AW962" t="s">
        <v>72</v>
      </c>
      <c r="AX962">
        <v>315</v>
      </c>
      <c r="AY962" t="s">
        <v>71</v>
      </c>
      <c r="AZ962">
        <v>11.49</v>
      </c>
      <c r="BA962">
        <v>15.59</v>
      </c>
      <c r="BB962" t="s">
        <v>73</v>
      </c>
    </row>
    <row r="963" spans="1:54" x14ac:dyDescent="0.4">
      <c r="A963">
        <v>601699</v>
      </c>
      <c r="D963" t="s">
        <v>54</v>
      </c>
      <c r="I963" t="s">
        <v>57</v>
      </c>
      <c r="K963" t="s">
        <v>355</v>
      </c>
      <c r="L963" t="s">
        <v>451</v>
      </c>
      <c r="M963" t="s">
        <v>59</v>
      </c>
      <c r="N963" t="s">
        <v>97</v>
      </c>
      <c r="O963" t="s">
        <v>179</v>
      </c>
      <c r="P963" t="s">
        <v>131</v>
      </c>
      <c r="R963" t="s">
        <v>112</v>
      </c>
      <c r="S963" t="s">
        <v>61</v>
      </c>
      <c r="T963">
        <v>246.7</v>
      </c>
      <c r="U963">
        <v>242</v>
      </c>
      <c r="V963">
        <f>(T963+U963)/2</f>
        <v>244.35</v>
      </c>
      <c r="W963">
        <f>T963-U963</f>
        <v>4.6999999999999886</v>
      </c>
      <c r="X963">
        <v>34.883330999999998</v>
      </c>
      <c r="Y963">
        <v>30.566668</v>
      </c>
      <c r="Z963" t="s">
        <v>268</v>
      </c>
      <c r="AA963" t="s">
        <v>447</v>
      </c>
      <c r="AH963" t="s">
        <v>11</v>
      </c>
      <c r="AI963" t="s">
        <v>448</v>
      </c>
      <c r="AJ963">
        <v>1956</v>
      </c>
      <c r="AK963" t="s">
        <v>450</v>
      </c>
      <c r="AN963" t="s">
        <v>121</v>
      </c>
      <c r="AO963" t="s">
        <v>106</v>
      </c>
      <c r="AP963" t="s">
        <v>182</v>
      </c>
      <c r="AQ963" t="s">
        <v>449</v>
      </c>
      <c r="AR963" t="s">
        <v>70</v>
      </c>
      <c r="AS963">
        <v>508</v>
      </c>
      <c r="AT963" t="s">
        <v>71</v>
      </c>
      <c r="AU963">
        <v>39.1</v>
      </c>
      <c r="AV963">
        <v>-3.42</v>
      </c>
      <c r="AW963" t="s">
        <v>72</v>
      </c>
      <c r="AX963">
        <v>508</v>
      </c>
      <c r="AY963" t="s">
        <v>71</v>
      </c>
      <c r="AZ963">
        <v>34.950000000000003</v>
      </c>
      <c r="BA963">
        <v>-13.96</v>
      </c>
      <c r="BB963" t="s">
        <v>73</v>
      </c>
    </row>
    <row r="964" spans="1:54" x14ac:dyDescent="0.4">
      <c r="A964">
        <v>602403</v>
      </c>
      <c r="D964" t="s">
        <v>54</v>
      </c>
      <c r="E964" t="s">
        <v>55</v>
      </c>
      <c r="G964">
        <v>1</v>
      </c>
      <c r="H964" t="s">
        <v>56</v>
      </c>
      <c r="I964" t="s">
        <v>57</v>
      </c>
      <c r="K964" t="s">
        <v>445</v>
      </c>
      <c r="L964" t="s">
        <v>453</v>
      </c>
      <c r="M964" t="s">
        <v>59</v>
      </c>
      <c r="O964" t="s">
        <v>76</v>
      </c>
      <c r="P964" t="s">
        <v>131</v>
      </c>
      <c r="R964" t="s">
        <v>112</v>
      </c>
      <c r="S964" t="s">
        <v>61</v>
      </c>
      <c r="T964">
        <v>246.7</v>
      </c>
      <c r="U964">
        <v>242</v>
      </c>
      <c r="V964">
        <f>(T964+U964)/2</f>
        <v>244.35</v>
      </c>
      <c r="W964">
        <f>T964-U964</f>
        <v>4.6999999999999886</v>
      </c>
      <c r="X964">
        <v>35.233299000000002</v>
      </c>
      <c r="Y964">
        <v>-10.283300000000001</v>
      </c>
      <c r="Z964" t="s">
        <v>454</v>
      </c>
      <c r="AA964" t="s">
        <v>455</v>
      </c>
      <c r="AB964" t="s">
        <v>456</v>
      </c>
      <c r="AC964" t="s">
        <v>457</v>
      </c>
      <c r="AD964" t="s">
        <v>458</v>
      </c>
      <c r="AF964" t="s">
        <v>459</v>
      </c>
      <c r="AG964" t="s">
        <v>460</v>
      </c>
      <c r="AH964" t="s">
        <v>65</v>
      </c>
      <c r="AI964" t="s">
        <v>335</v>
      </c>
      <c r="AJ964">
        <v>1939</v>
      </c>
      <c r="AK964" t="s">
        <v>461</v>
      </c>
      <c r="AN964" t="s">
        <v>94</v>
      </c>
      <c r="AO964">
        <v>4</v>
      </c>
      <c r="AP964" t="s">
        <v>69</v>
      </c>
      <c r="AQ964" t="s">
        <v>462</v>
      </c>
      <c r="AR964" t="s">
        <v>70</v>
      </c>
      <c r="AS964">
        <v>701</v>
      </c>
      <c r="AT964" t="s">
        <v>71</v>
      </c>
      <c r="AU964">
        <v>20.55</v>
      </c>
      <c r="AV964">
        <v>-40.409999999999997</v>
      </c>
      <c r="AW964" t="s">
        <v>72</v>
      </c>
      <c r="AX964">
        <v>709</v>
      </c>
      <c r="AY964" t="s">
        <v>71</v>
      </c>
      <c r="AZ964">
        <v>22.52</v>
      </c>
      <c r="BA964">
        <v>-53.41</v>
      </c>
      <c r="BB964" t="s">
        <v>73</v>
      </c>
    </row>
    <row r="965" spans="1:54" x14ac:dyDescent="0.4">
      <c r="A965">
        <v>792535</v>
      </c>
      <c r="D965" t="s">
        <v>54</v>
      </c>
      <c r="E965" t="s">
        <v>55</v>
      </c>
      <c r="G965">
        <v>1</v>
      </c>
      <c r="H965" t="s">
        <v>56</v>
      </c>
      <c r="I965" t="s">
        <v>57</v>
      </c>
      <c r="K965" t="s">
        <v>102</v>
      </c>
      <c r="L965" t="s">
        <v>775</v>
      </c>
      <c r="M965" t="s">
        <v>59</v>
      </c>
      <c r="P965" t="s">
        <v>131</v>
      </c>
      <c r="R965" t="s">
        <v>112</v>
      </c>
      <c r="S965" t="s">
        <v>61</v>
      </c>
      <c r="T965">
        <v>246.7</v>
      </c>
      <c r="U965">
        <v>242</v>
      </c>
      <c r="V965">
        <f>(T965+U965)/2</f>
        <v>244.35</v>
      </c>
      <c r="W965">
        <f>T965-U965</f>
        <v>4.6999999999999886</v>
      </c>
      <c r="X965">
        <v>26.708331999999999</v>
      </c>
      <c r="Y965">
        <v>-30.691668</v>
      </c>
      <c r="Z965" t="s">
        <v>372</v>
      </c>
      <c r="AA965" t="s">
        <v>86</v>
      </c>
      <c r="AB965" t="s">
        <v>87</v>
      </c>
      <c r="AC965" t="s">
        <v>776</v>
      </c>
      <c r="AD965" t="s">
        <v>777</v>
      </c>
      <c r="AE965" t="s">
        <v>90</v>
      </c>
      <c r="AG965" t="s">
        <v>778</v>
      </c>
      <c r="AH965" t="s">
        <v>65</v>
      </c>
      <c r="AI965" t="s">
        <v>779</v>
      </c>
      <c r="AJ965">
        <v>1965</v>
      </c>
      <c r="AK965" t="s">
        <v>780</v>
      </c>
      <c r="AM965" t="s">
        <v>781</v>
      </c>
      <c r="AN965" t="s">
        <v>94</v>
      </c>
      <c r="AO965" t="s">
        <v>68</v>
      </c>
      <c r="AP965" t="s">
        <v>69</v>
      </c>
      <c r="AQ965" t="s">
        <v>782</v>
      </c>
      <c r="AR965" t="s">
        <v>70</v>
      </c>
      <c r="AS965">
        <v>701</v>
      </c>
      <c r="AT965" t="s">
        <v>71</v>
      </c>
      <c r="AU965">
        <v>-7.31</v>
      </c>
      <c r="AV965">
        <v>-50.77</v>
      </c>
      <c r="AW965" t="s">
        <v>72</v>
      </c>
      <c r="AX965">
        <v>701</v>
      </c>
      <c r="AY965" t="s">
        <v>71</v>
      </c>
      <c r="AZ965">
        <v>-13.04</v>
      </c>
      <c r="BA965">
        <v>-66.349999999999994</v>
      </c>
      <c r="BB965" t="s">
        <v>73</v>
      </c>
    </row>
    <row r="966" spans="1:54" x14ac:dyDescent="0.4">
      <c r="A966">
        <v>792535</v>
      </c>
      <c r="D966" t="s">
        <v>54</v>
      </c>
      <c r="E966" t="s">
        <v>55</v>
      </c>
      <c r="G966">
        <v>1</v>
      </c>
      <c r="H966" t="s">
        <v>56</v>
      </c>
      <c r="I966" t="s">
        <v>57</v>
      </c>
      <c r="K966" t="s">
        <v>102</v>
      </c>
      <c r="L966" t="s">
        <v>775</v>
      </c>
      <c r="M966" t="s">
        <v>59</v>
      </c>
      <c r="P966" t="s">
        <v>131</v>
      </c>
      <c r="R966" t="s">
        <v>112</v>
      </c>
      <c r="S966" t="s">
        <v>61</v>
      </c>
      <c r="T966">
        <v>246.7</v>
      </c>
      <c r="U966">
        <v>242</v>
      </c>
      <c r="V966">
        <f>(T966+U966)/2</f>
        <v>244.35</v>
      </c>
      <c r="W966">
        <f>T966-U966</f>
        <v>4.6999999999999886</v>
      </c>
      <c r="X966">
        <v>26.708331999999999</v>
      </c>
      <c r="Y966">
        <v>-30.691668</v>
      </c>
      <c r="Z966" t="s">
        <v>372</v>
      </c>
      <c r="AA966" t="s">
        <v>86</v>
      </c>
      <c r="AB966" t="s">
        <v>87</v>
      </c>
      <c r="AC966" t="s">
        <v>776</v>
      </c>
      <c r="AD966" t="s">
        <v>777</v>
      </c>
      <c r="AE966" t="s">
        <v>90</v>
      </c>
      <c r="AG966" t="s">
        <v>778</v>
      </c>
      <c r="AH966" t="s">
        <v>65</v>
      </c>
      <c r="AI966" t="s">
        <v>779</v>
      </c>
      <c r="AJ966">
        <v>1965</v>
      </c>
      <c r="AK966" t="s">
        <v>780</v>
      </c>
      <c r="AM966" t="s">
        <v>781</v>
      </c>
      <c r="AN966" t="s">
        <v>94</v>
      </c>
      <c r="AO966" t="s">
        <v>68</v>
      </c>
      <c r="AP966" t="s">
        <v>69</v>
      </c>
      <c r="AQ966" t="s">
        <v>782</v>
      </c>
      <c r="AR966" t="s">
        <v>70</v>
      </c>
      <c r="AS966">
        <v>701</v>
      </c>
      <c r="AT966" t="s">
        <v>71</v>
      </c>
      <c r="AU966">
        <v>-7.31</v>
      </c>
      <c r="AV966">
        <v>-50.77</v>
      </c>
      <c r="AW966" t="s">
        <v>72</v>
      </c>
      <c r="AX966">
        <v>701</v>
      </c>
      <c r="AY966" t="s">
        <v>71</v>
      </c>
      <c r="AZ966">
        <v>-13.04</v>
      </c>
      <c r="BA966">
        <v>-66.349999999999994</v>
      </c>
      <c r="BB966" t="s">
        <v>73</v>
      </c>
    </row>
    <row r="967" spans="1:54" x14ac:dyDescent="0.4">
      <c r="A967">
        <v>792535</v>
      </c>
      <c r="D967" t="s">
        <v>54</v>
      </c>
      <c r="E967" t="s">
        <v>55</v>
      </c>
      <c r="G967">
        <v>1</v>
      </c>
      <c r="H967" t="s">
        <v>56</v>
      </c>
      <c r="I967" t="s">
        <v>57</v>
      </c>
      <c r="K967" t="s">
        <v>102</v>
      </c>
      <c r="L967" t="s">
        <v>775</v>
      </c>
      <c r="M967" t="s">
        <v>59</v>
      </c>
      <c r="P967" t="s">
        <v>131</v>
      </c>
      <c r="R967" t="s">
        <v>112</v>
      </c>
      <c r="S967" t="s">
        <v>61</v>
      </c>
      <c r="T967">
        <v>246.7</v>
      </c>
      <c r="U967">
        <v>242</v>
      </c>
      <c r="V967">
        <f>(T967+U967)/2</f>
        <v>244.35</v>
      </c>
      <c r="W967">
        <f>T967-U967</f>
        <v>4.6999999999999886</v>
      </c>
      <c r="X967">
        <v>26.708331999999999</v>
      </c>
      <c r="Y967">
        <v>-30.691668</v>
      </c>
      <c r="Z967" t="s">
        <v>372</v>
      </c>
      <c r="AA967" t="s">
        <v>86</v>
      </c>
      <c r="AB967" t="s">
        <v>87</v>
      </c>
      <c r="AC967" t="s">
        <v>776</v>
      </c>
      <c r="AD967" t="s">
        <v>777</v>
      </c>
      <c r="AE967" t="s">
        <v>90</v>
      </c>
      <c r="AG967" t="s">
        <v>778</v>
      </c>
      <c r="AH967" t="s">
        <v>65</v>
      </c>
      <c r="AI967" t="s">
        <v>779</v>
      </c>
      <c r="AJ967">
        <v>1965</v>
      </c>
      <c r="AK967" t="s">
        <v>780</v>
      </c>
      <c r="AM967" t="s">
        <v>781</v>
      </c>
      <c r="AN967" t="s">
        <v>94</v>
      </c>
      <c r="AO967" t="s">
        <v>68</v>
      </c>
      <c r="AP967" t="s">
        <v>69</v>
      </c>
      <c r="AQ967" t="s">
        <v>782</v>
      </c>
      <c r="AR967" t="s">
        <v>70</v>
      </c>
      <c r="AS967">
        <v>701</v>
      </c>
      <c r="AT967" t="s">
        <v>71</v>
      </c>
      <c r="AU967">
        <v>-7.31</v>
      </c>
      <c r="AV967">
        <v>-50.77</v>
      </c>
      <c r="AW967" t="s">
        <v>72</v>
      </c>
      <c r="AX967">
        <v>701</v>
      </c>
      <c r="AY967" t="s">
        <v>71</v>
      </c>
      <c r="AZ967">
        <v>-13.04</v>
      </c>
      <c r="BA967">
        <v>-66.349999999999994</v>
      </c>
      <c r="BB967" t="s">
        <v>73</v>
      </c>
    </row>
    <row r="968" spans="1:54" x14ac:dyDescent="0.4">
      <c r="A968">
        <v>792535</v>
      </c>
      <c r="D968" t="s">
        <v>54</v>
      </c>
      <c r="E968" t="s">
        <v>55</v>
      </c>
      <c r="G968">
        <v>1</v>
      </c>
      <c r="H968" t="s">
        <v>56</v>
      </c>
      <c r="I968" t="s">
        <v>57</v>
      </c>
      <c r="K968" t="s">
        <v>102</v>
      </c>
      <c r="L968" t="s">
        <v>775</v>
      </c>
      <c r="M968" t="s">
        <v>59</v>
      </c>
      <c r="P968" t="s">
        <v>131</v>
      </c>
      <c r="R968" t="s">
        <v>112</v>
      </c>
      <c r="S968" t="s">
        <v>61</v>
      </c>
      <c r="T968">
        <v>246.7</v>
      </c>
      <c r="U968">
        <v>242</v>
      </c>
      <c r="V968">
        <f>(T968+U968)/2</f>
        <v>244.35</v>
      </c>
      <c r="W968">
        <f>T968-U968</f>
        <v>4.6999999999999886</v>
      </c>
      <c r="X968">
        <v>26.708331999999999</v>
      </c>
      <c r="Y968">
        <v>-30.691668</v>
      </c>
      <c r="Z968" t="s">
        <v>372</v>
      </c>
      <c r="AA968" t="s">
        <v>86</v>
      </c>
      <c r="AB968" t="s">
        <v>87</v>
      </c>
      <c r="AC968" t="s">
        <v>776</v>
      </c>
      <c r="AD968" t="s">
        <v>777</v>
      </c>
      <c r="AE968" t="s">
        <v>90</v>
      </c>
      <c r="AG968" t="s">
        <v>778</v>
      </c>
      <c r="AH968" t="s">
        <v>65</v>
      </c>
      <c r="AI968" t="s">
        <v>779</v>
      </c>
      <c r="AJ968">
        <v>1965</v>
      </c>
      <c r="AK968" t="s">
        <v>780</v>
      </c>
      <c r="AM968" t="s">
        <v>781</v>
      </c>
      <c r="AN968" t="s">
        <v>94</v>
      </c>
      <c r="AO968" t="s">
        <v>68</v>
      </c>
      <c r="AP968" t="s">
        <v>69</v>
      </c>
      <c r="AQ968" t="s">
        <v>782</v>
      </c>
      <c r="AR968" t="s">
        <v>70</v>
      </c>
      <c r="AS968">
        <v>701</v>
      </c>
      <c r="AT968" t="s">
        <v>71</v>
      </c>
      <c r="AU968">
        <v>-7.31</v>
      </c>
      <c r="AV968">
        <v>-50.77</v>
      </c>
      <c r="AW968" t="s">
        <v>72</v>
      </c>
      <c r="AX968">
        <v>701</v>
      </c>
      <c r="AY968" t="s">
        <v>71</v>
      </c>
      <c r="AZ968">
        <v>-13.04</v>
      </c>
      <c r="BA968">
        <v>-66.349999999999994</v>
      </c>
      <c r="BB968" t="s">
        <v>73</v>
      </c>
    </row>
    <row r="969" spans="1:54" x14ac:dyDescent="0.4">
      <c r="A969">
        <v>792535</v>
      </c>
      <c r="D969" t="s">
        <v>54</v>
      </c>
      <c r="E969" t="s">
        <v>55</v>
      </c>
      <c r="G969">
        <v>1</v>
      </c>
      <c r="H969" t="s">
        <v>56</v>
      </c>
      <c r="I969" t="s">
        <v>57</v>
      </c>
      <c r="K969" t="s">
        <v>102</v>
      </c>
      <c r="L969" t="s">
        <v>775</v>
      </c>
      <c r="M969" t="s">
        <v>59</v>
      </c>
      <c r="P969" t="s">
        <v>131</v>
      </c>
      <c r="R969" t="s">
        <v>112</v>
      </c>
      <c r="S969" t="s">
        <v>61</v>
      </c>
      <c r="T969">
        <v>246.7</v>
      </c>
      <c r="U969">
        <v>242</v>
      </c>
      <c r="V969">
        <f>(T969+U969)/2</f>
        <v>244.35</v>
      </c>
      <c r="W969">
        <f>T969-U969</f>
        <v>4.6999999999999886</v>
      </c>
      <c r="X969">
        <v>26.708331999999999</v>
      </c>
      <c r="Y969">
        <v>-30.691668</v>
      </c>
      <c r="Z969" t="s">
        <v>372</v>
      </c>
      <c r="AA969" t="s">
        <v>86</v>
      </c>
      <c r="AB969" t="s">
        <v>87</v>
      </c>
      <c r="AC969" t="s">
        <v>776</v>
      </c>
      <c r="AD969" t="s">
        <v>777</v>
      </c>
      <c r="AE969" t="s">
        <v>90</v>
      </c>
      <c r="AG969" t="s">
        <v>778</v>
      </c>
      <c r="AH969" t="s">
        <v>65</v>
      </c>
      <c r="AI969" t="s">
        <v>779</v>
      </c>
      <c r="AJ969">
        <v>1965</v>
      </c>
      <c r="AK969" t="s">
        <v>780</v>
      </c>
      <c r="AM969" t="s">
        <v>781</v>
      </c>
      <c r="AN969" t="s">
        <v>94</v>
      </c>
      <c r="AO969" t="s">
        <v>68</v>
      </c>
      <c r="AP969" t="s">
        <v>69</v>
      </c>
      <c r="AQ969" t="s">
        <v>782</v>
      </c>
      <c r="AR969" t="s">
        <v>70</v>
      </c>
      <c r="AS969">
        <v>701</v>
      </c>
      <c r="AT969" t="s">
        <v>71</v>
      </c>
      <c r="AU969">
        <v>-7.31</v>
      </c>
      <c r="AV969">
        <v>-50.77</v>
      </c>
      <c r="AW969" t="s">
        <v>72</v>
      </c>
      <c r="AX969">
        <v>701</v>
      </c>
      <c r="AY969" t="s">
        <v>71</v>
      </c>
      <c r="AZ969">
        <v>-13.04</v>
      </c>
      <c r="BA969">
        <v>-66.349999999999994</v>
      </c>
      <c r="BB969" t="s">
        <v>73</v>
      </c>
    </row>
    <row r="970" spans="1:54" x14ac:dyDescent="0.4">
      <c r="A970">
        <v>792535</v>
      </c>
      <c r="D970" t="s">
        <v>54</v>
      </c>
      <c r="E970" t="s">
        <v>55</v>
      </c>
      <c r="G970">
        <v>1</v>
      </c>
      <c r="H970" t="s">
        <v>56</v>
      </c>
      <c r="I970" t="s">
        <v>57</v>
      </c>
      <c r="K970" t="s">
        <v>102</v>
      </c>
      <c r="L970" t="s">
        <v>775</v>
      </c>
      <c r="M970" t="s">
        <v>59</v>
      </c>
      <c r="P970" t="s">
        <v>131</v>
      </c>
      <c r="R970" t="s">
        <v>112</v>
      </c>
      <c r="S970" t="s">
        <v>61</v>
      </c>
      <c r="T970">
        <v>246.7</v>
      </c>
      <c r="U970">
        <v>242</v>
      </c>
      <c r="V970">
        <f>(T970+U970)/2</f>
        <v>244.35</v>
      </c>
      <c r="W970">
        <f>T970-U970</f>
        <v>4.6999999999999886</v>
      </c>
      <c r="X970">
        <v>26.708331999999999</v>
      </c>
      <c r="Y970">
        <v>-30.691668</v>
      </c>
      <c r="Z970" t="s">
        <v>372</v>
      </c>
      <c r="AA970" t="s">
        <v>86</v>
      </c>
      <c r="AB970" t="s">
        <v>87</v>
      </c>
      <c r="AC970" t="s">
        <v>776</v>
      </c>
      <c r="AD970" t="s">
        <v>777</v>
      </c>
      <c r="AE970" t="s">
        <v>90</v>
      </c>
      <c r="AG970" t="s">
        <v>778</v>
      </c>
      <c r="AH970" t="s">
        <v>65</v>
      </c>
      <c r="AI970" t="s">
        <v>779</v>
      </c>
      <c r="AJ970">
        <v>1965</v>
      </c>
      <c r="AK970" t="s">
        <v>780</v>
      </c>
      <c r="AM970" t="s">
        <v>781</v>
      </c>
      <c r="AN970" t="s">
        <v>94</v>
      </c>
      <c r="AO970" t="s">
        <v>68</v>
      </c>
      <c r="AP970" t="s">
        <v>69</v>
      </c>
      <c r="AQ970" t="s">
        <v>782</v>
      </c>
      <c r="AR970" t="s">
        <v>70</v>
      </c>
      <c r="AS970">
        <v>701</v>
      </c>
      <c r="AT970" t="s">
        <v>71</v>
      </c>
      <c r="AU970">
        <v>-7.31</v>
      </c>
      <c r="AV970">
        <v>-50.77</v>
      </c>
      <c r="AW970" t="s">
        <v>72</v>
      </c>
      <c r="AX970">
        <v>701</v>
      </c>
      <c r="AY970" t="s">
        <v>71</v>
      </c>
      <c r="AZ970">
        <v>-13.04</v>
      </c>
      <c r="BA970">
        <v>-66.349999999999994</v>
      </c>
      <c r="BB970" t="s">
        <v>73</v>
      </c>
    </row>
    <row r="971" spans="1:54" x14ac:dyDescent="0.4">
      <c r="A971">
        <v>792535</v>
      </c>
      <c r="D971" t="s">
        <v>54</v>
      </c>
      <c r="E971" t="s">
        <v>55</v>
      </c>
      <c r="G971">
        <v>1</v>
      </c>
      <c r="H971" t="s">
        <v>56</v>
      </c>
      <c r="I971" t="s">
        <v>57</v>
      </c>
      <c r="K971" t="s">
        <v>102</v>
      </c>
      <c r="L971" t="s">
        <v>775</v>
      </c>
      <c r="M971" t="s">
        <v>59</v>
      </c>
      <c r="P971" t="s">
        <v>131</v>
      </c>
      <c r="R971" t="s">
        <v>112</v>
      </c>
      <c r="S971" t="s">
        <v>61</v>
      </c>
      <c r="T971">
        <v>246.7</v>
      </c>
      <c r="U971">
        <v>242</v>
      </c>
      <c r="V971">
        <f>(T971+U971)/2</f>
        <v>244.35</v>
      </c>
      <c r="W971">
        <f>T971-U971</f>
        <v>4.6999999999999886</v>
      </c>
      <c r="X971">
        <v>26.708331999999999</v>
      </c>
      <c r="Y971">
        <v>-30.691668</v>
      </c>
      <c r="Z971" t="s">
        <v>372</v>
      </c>
      <c r="AA971" t="s">
        <v>86</v>
      </c>
      <c r="AB971" t="s">
        <v>87</v>
      </c>
      <c r="AC971" t="s">
        <v>776</v>
      </c>
      <c r="AD971" t="s">
        <v>777</v>
      </c>
      <c r="AE971" t="s">
        <v>90</v>
      </c>
      <c r="AG971" t="s">
        <v>778</v>
      </c>
      <c r="AH971" t="s">
        <v>65</v>
      </c>
      <c r="AI971" t="s">
        <v>779</v>
      </c>
      <c r="AJ971">
        <v>1965</v>
      </c>
      <c r="AK971" t="s">
        <v>780</v>
      </c>
      <c r="AM971" t="s">
        <v>781</v>
      </c>
      <c r="AN971" t="s">
        <v>94</v>
      </c>
      <c r="AO971" t="s">
        <v>68</v>
      </c>
      <c r="AP971" t="s">
        <v>69</v>
      </c>
      <c r="AQ971" t="s">
        <v>782</v>
      </c>
      <c r="AR971" t="s">
        <v>70</v>
      </c>
      <c r="AS971">
        <v>701</v>
      </c>
      <c r="AT971" t="s">
        <v>71</v>
      </c>
      <c r="AU971">
        <v>-7.31</v>
      </c>
      <c r="AV971">
        <v>-50.77</v>
      </c>
      <c r="AW971" t="s">
        <v>72</v>
      </c>
      <c r="AX971">
        <v>701</v>
      </c>
      <c r="AY971" t="s">
        <v>71</v>
      </c>
      <c r="AZ971">
        <v>-13.04</v>
      </c>
      <c r="BA971">
        <v>-66.349999999999994</v>
      </c>
      <c r="BB971" t="s">
        <v>73</v>
      </c>
    </row>
    <row r="972" spans="1:54" x14ac:dyDescent="0.4">
      <c r="A972">
        <v>792535</v>
      </c>
      <c r="D972" t="s">
        <v>54</v>
      </c>
      <c r="E972" t="s">
        <v>55</v>
      </c>
      <c r="G972">
        <v>1</v>
      </c>
      <c r="H972" t="s">
        <v>56</v>
      </c>
      <c r="I972" t="s">
        <v>57</v>
      </c>
      <c r="K972" t="s">
        <v>102</v>
      </c>
      <c r="L972" t="s">
        <v>775</v>
      </c>
      <c r="M972" t="s">
        <v>59</v>
      </c>
      <c r="P972" t="s">
        <v>131</v>
      </c>
      <c r="R972" t="s">
        <v>112</v>
      </c>
      <c r="S972" t="s">
        <v>61</v>
      </c>
      <c r="T972">
        <v>246.7</v>
      </c>
      <c r="U972">
        <v>242</v>
      </c>
      <c r="V972">
        <f>(T972+U972)/2</f>
        <v>244.35</v>
      </c>
      <c r="W972">
        <f>T972-U972</f>
        <v>4.6999999999999886</v>
      </c>
      <c r="X972">
        <v>26.708331999999999</v>
      </c>
      <c r="Y972">
        <v>-30.691668</v>
      </c>
      <c r="Z972" t="s">
        <v>372</v>
      </c>
      <c r="AA972" t="s">
        <v>86</v>
      </c>
      <c r="AB972" t="s">
        <v>87</v>
      </c>
      <c r="AC972" t="s">
        <v>776</v>
      </c>
      <c r="AD972" t="s">
        <v>777</v>
      </c>
      <c r="AE972" t="s">
        <v>90</v>
      </c>
      <c r="AG972" t="s">
        <v>778</v>
      </c>
      <c r="AH972" t="s">
        <v>65</v>
      </c>
      <c r="AI972" t="s">
        <v>779</v>
      </c>
      <c r="AJ972">
        <v>1965</v>
      </c>
      <c r="AK972" t="s">
        <v>780</v>
      </c>
      <c r="AM972" t="s">
        <v>781</v>
      </c>
      <c r="AN972" t="s">
        <v>94</v>
      </c>
      <c r="AO972" t="s">
        <v>68</v>
      </c>
      <c r="AP972" t="s">
        <v>69</v>
      </c>
      <c r="AQ972" t="s">
        <v>782</v>
      </c>
      <c r="AR972" t="s">
        <v>70</v>
      </c>
      <c r="AS972">
        <v>701</v>
      </c>
      <c r="AT972" t="s">
        <v>71</v>
      </c>
      <c r="AU972">
        <v>-7.31</v>
      </c>
      <c r="AV972">
        <v>-50.77</v>
      </c>
      <c r="AW972" t="s">
        <v>72</v>
      </c>
      <c r="AX972">
        <v>701</v>
      </c>
      <c r="AY972" t="s">
        <v>71</v>
      </c>
      <c r="AZ972">
        <v>-13.04</v>
      </c>
      <c r="BA972">
        <v>-66.349999999999994</v>
      </c>
      <c r="BB972" t="s">
        <v>73</v>
      </c>
    </row>
    <row r="973" spans="1:54" x14ac:dyDescent="0.4">
      <c r="A973">
        <v>792535</v>
      </c>
      <c r="D973" t="s">
        <v>54</v>
      </c>
      <c r="E973" t="s">
        <v>55</v>
      </c>
      <c r="G973">
        <v>1</v>
      </c>
      <c r="H973" t="s">
        <v>56</v>
      </c>
      <c r="I973" t="s">
        <v>57</v>
      </c>
      <c r="K973" t="s">
        <v>102</v>
      </c>
      <c r="L973" t="s">
        <v>775</v>
      </c>
      <c r="M973" t="s">
        <v>59</v>
      </c>
      <c r="P973" t="s">
        <v>131</v>
      </c>
      <c r="R973" t="s">
        <v>112</v>
      </c>
      <c r="S973" t="s">
        <v>61</v>
      </c>
      <c r="T973">
        <v>246.7</v>
      </c>
      <c r="U973">
        <v>242</v>
      </c>
      <c r="V973">
        <f>(T973+U973)/2</f>
        <v>244.35</v>
      </c>
      <c r="W973">
        <f>T973-U973</f>
        <v>4.6999999999999886</v>
      </c>
      <c r="X973">
        <v>26.708331999999999</v>
      </c>
      <c r="Y973">
        <v>-30.691668</v>
      </c>
      <c r="Z973" t="s">
        <v>372</v>
      </c>
      <c r="AA973" t="s">
        <v>86</v>
      </c>
      <c r="AB973" t="s">
        <v>87</v>
      </c>
      <c r="AC973" t="s">
        <v>776</v>
      </c>
      <c r="AD973" t="s">
        <v>777</v>
      </c>
      <c r="AE973" t="s">
        <v>90</v>
      </c>
      <c r="AG973" t="s">
        <v>778</v>
      </c>
      <c r="AH973" t="s">
        <v>65</v>
      </c>
      <c r="AI973" t="s">
        <v>779</v>
      </c>
      <c r="AJ973">
        <v>1965</v>
      </c>
      <c r="AK973" t="s">
        <v>780</v>
      </c>
      <c r="AM973" t="s">
        <v>781</v>
      </c>
      <c r="AN973" t="s">
        <v>94</v>
      </c>
      <c r="AO973" t="s">
        <v>68</v>
      </c>
      <c r="AP973" t="s">
        <v>69</v>
      </c>
      <c r="AQ973" t="s">
        <v>782</v>
      </c>
      <c r="AR973" t="s">
        <v>70</v>
      </c>
      <c r="AS973">
        <v>701</v>
      </c>
      <c r="AT973" t="s">
        <v>71</v>
      </c>
      <c r="AU973">
        <v>-7.31</v>
      </c>
      <c r="AV973">
        <v>-50.77</v>
      </c>
      <c r="AW973" t="s">
        <v>72</v>
      </c>
      <c r="AX973">
        <v>701</v>
      </c>
      <c r="AY973" t="s">
        <v>71</v>
      </c>
      <c r="AZ973">
        <v>-13.04</v>
      </c>
      <c r="BA973">
        <v>-66.349999999999994</v>
      </c>
      <c r="BB973" t="s">
        <v>73</v>
      </c>
    </row>
    <row r="974" spans="1:54" x14ac:dyDescent="0.4">
      <c r="A974">
        <v>792535</v>
      </c>
      <c r="D974" t="s">
        <v>54</v>
      </c>
      <c r="E974" t="s">
        <v>55</v>
      </c>
      <c r="G974">
        <v>1</v>
      </c>
      <c r="H974" t="s">
        <v>56</v>
      </c>
      <c r="I974" t="s">
        <v>57</v>
      </c>
      <c r="K974" t="s">
        <v>102</v>
      </c>
      <c r="L974" t="s">
        <v>775</v>
      </c>
      <c r="M974" t="s">
        <v>59</v>
      </c>
      <c r="P974" t="s">
        <v>131</v>
      </c>
      <c r="R974" t="s">
        <v>112</v>
      </c>
      <c r="S974" t="s">
        <v>61</v>
      </c>
      <c r="T974">
        <v>246.7</v>
      </c>
      <c r="U974">
        <v>242</v>
      </c>
      <c r="V974">
        <f>(T974+U974)/2</f>
        <v>244.35</v>
      </c>
      <c r="W974">
        <f>T974-U974</f>
        <v>4.6999999999999886</v>
      </c>
      <c r="X974">
        <v>26.708331999999999</v>
      </c>
      <c r="Y974">
        <v>-30.691668</v>
      </c>
      <c r="Z974" t="s">
        <v>372</v>
      </c>
      <c r="AA974" t="s">
        <v>86</v>
      </c>
      <c r="AB974" t="s">
        <v>87</v>
      </c>
      <c r="AC974" t="s">
        <v>776</v>
      </c>
      <c r="AD974" t="s">
        <v>777</v>
      </c>
      <c r="AE974" t="s">
        <v>90</v>
      </c>
      <c r="AG974" t="s">
        <v>778</v>
      </c>
      <c r="AH974" t="s">
        <v>65</v>
      </c>
      <c r="AI974" t="s">
        <v>779</v>
      </c>
      <c r="AJ974">
        <v>1965</v>
      </c>
      <c r="AK974" t="s">
        <v>780</v>
      </c>
      <c r="AM974" t="s">
        <v>781</v>
      </c>
      <c r="AN974" t="s">
        <v>94</v>
      </c>
      <c r="AO974" t="s">
        <v>68</v>
      </c>
      <c r="AP974" t="s">
        <v>69</v>
      </c>
      <c r="AQ974" t="s">
        <v>782</v>
      </c>
      <c r="AR974" t="s">
        <v>70</v>
      </c>
      <c r="AS974">
        <v>701</v>
      </c>
      <c r="AT974" t="s">
        <v>71</v>
      </c>
      <c r="AU974">
        <v>-7.31</v>
      </c>
      <c r="AV974">
        <v>-50.77</v>
      </c>
      <c r="AW974" t="s">
        <v>72</v>
      </c>
      <c r="AX974">
        <v>701</v>
      </c>
      <c r="AY974" t="s">
        <v>71</v>
      </c>
      <c r="AZ974">
        <v>-13.04</v>
      </c>
      <c r="BA974">
        <v>-66.349999999999994</v>
      </c>
      <c r="BB974" t="s">
        <v>73</v>
      </c>
    </row>
    <row r="975" spans="1:54" x14ac:dyDescent="0.4">
      <c r="A975">
        <v>792535</v>
      </c>
      <c r="D975" t="s">
        <v>54</v>
      </c>
      <c r="E975" t="s">
        <v>55</v>
      </c>
      <c r="G975">
        <v>1</v>
      </c>
      <c r="H975" t="s">
        <v>56</v>
      </c>
      <c r="I975" t="s">
        <v>57</v>
      </c>
      <c r="K975" t="s">
        <v>102</v>
      </c>
      <c r="L975" t="s">
        <v>775</v>
      </c>
      <c r="M975" t="s">
        <v>59</v>
      </c>
      <c r="P975" t="s">
        <v>131</v>
      </c>
      <c r="R975" t="s">
        <v>112</v>
      </c>
      <c r="S975" t="s">
        <v>61</v>
      </c>
      <c r="T975">
        <v>246.7</v>
      </c>
      <c r="U975">
        <v>242</v>
      </c>
      <c r="V975">
        <f>(T975+U975)/2</f>
        <v>244.35</v>
      </c>
      <c r="W975">
        <f>T975-U975</f>
        <v>4.6999999999999886</v>
      </c>
      <c r="X975">
        <v>26.708331999999999</v>
      </c>
      <c r="Y975">
        <v>-30.691668</v>
      </c>
      <c r="Z975" t="s">
        <v>372</v>
      </c>
      <c r="AA975" t="s">
        <v>86</v>
      </c>
      <c r="AB975" t="s">
        <v>87</v>
      </c>
      <c r="AC975" t="s">
        <v>776</v>
      </c>
      <c r="AD975" t="s">
        <v>777</v>
      </c>
      <c r="AE975" t="s">
        <v>90</v>
      </c>
      <c r="AG975" t="s">
        <v>778</v>
      </c>
      <c r="AH975" t="s">
        <v>65</v>
      </c>
      <c r="AI975" t="s">
        <v>779</v>
      </c>
      <c r="AJ975">
        <v>1965</v>
      </c>
      <c r="AK975" t="s">
        <v>780</v>
      </c>
      <c r="AM975" t="s">
        <v>781</v>
      </c>
      <c r="AN975" t="s">
        <v>94</v>
      </c>
      <c r="AO975" t="s">
        <v>68</v>
      </c>
      <c r="AP975" t="s">
        <v>69</v>
      </c>
      <c r="AQ975" t="s">
        <v>782</v>
      </c>
      <c r="AR975" t="s">
        <v>70</v>
      </c>
      <c r="AS975">
        <v>701</v>
      </c>
      <c r="AT975" t="s">
        <v>71</v>
      </c>
      <c r="AU975">
        <v>-7.31</v>
      </c>
      <c r="AV975">
        <v>-50.77</v>
      </c>
      <c r="AW975" t="s">
        <v>72</v>
      </c>
      <c r="AX975">
        <v>701</v>
      </c>
      <c r="AY975" t="s">
        <v>71</v>
      </c>
      <c r="AZ975">
        <v>-13.04</v>
      </c>
      <c r="BA975">
        <v>-66.349999999999994</v>
      </c>
      <c r="BB975" t="s">
        <v>73</v>
      </c>
    </row>
    <row r="976" spans="1:54" x14ac:dyDescent="0.4">
      <c r="A976">
        <v>792535</v>
      </c>
      <c r="D976" t="s">
        <v>54</v>
      </c>
      <c r="E976" t="s">
        <v>55</v>
      </c>
      <c r="G976">
        <v>1</v>
      </c>
      <c r="H976" t="s">
        <v>56</v>
      </c>
      <c r="I976" t="s">
        <v>57</v>
      </c>
      <c r="K976" t="s">
        <v>102</v>
      </c>
      <c r="L976" t="s">
        <v>775</v>
      </c>
      <c r="M976" t="s">
        <v>59</v>
      </c>
      <c r="P976" t="s">
        <v>131</v>
      </c>
      <c r="R976" t="s">
        <v>112</v>
      </c>
      <c r="S976" t="s">
        <v>61</v>
      </c>
      <c r="T976">
        <v>246.7</v>
      </c>
      <c r="U976">
        <v>242</v>
      </c>
      <c r="V976">
        <f>(T976+U976)/2</f>
        <v>244.35</v>
      </c>
      <c r="W976">
        <f>T976-U976</f>
        <v>4.6999999999999886</v>
      </c>
      <c r="X976">
        <v>26.708331999999999</v>
      </c>
      <c r="Y976">
        <v>-30.691668</v>
      </c>
      <c r="Z976" t="s">
        <v>372</v>
      </c>
      <c r="AA976" t="s">
        <v>86</v>
      </c>
      <c r="AB976" t="s">
        <v>87</v>
      </c>
      <c r="AC976" t="s">
        <v>776</v>
      </c>
      <c r="AD976" t="s">
        <v>777</v>
      </c>
      <c r="AE976" t="s">
        <v>90</v>
      </c>
      <c r="AG976" t="s">
        <v>778</v>
      </c>
      <c r="AH976" t="s">
        <v>65</v>
      </c>
      <c r="AI976" t="s">
        <v>779</v>
      </c>
      <c r="AJ976">
        <v>1965</v>
      </c>
      <c r="AK976" t="s">
        <v>780</v>
      </c>
      <c r="AM976" t="s">
        <v>781</v>
      </c>
      <c r="AN976" t="s">
        <v>94</v>
      </c>
      <c r="AO976" t="s">
        <v>68</v>
      </c>
      <c r="AP976" t="s">
        <v>69</v>
      </c>
      <c r="AQ976" t="s">
        <v>782</v>
      </c>
      <c r="AR976" t="s">
        <v>70</v>
      </c>
      <c r="AS976">
        <v>701</v>
      </c>
      <c r="AT976" t="s">
        <v>71</v>
      </c>
      <c r="AU976">
        <v>-7.31</v>
      </c>
      <c r="AV976">
        <v>-50.77</v>
      </c>
      <c r="AW976" t="s">
        <v>72</v>
      </c>
      <c r="AX976">
        <v>701</v>
      </c>
      <c r="AY976" t="s">
        <v>71</v>
      </c>
      <c r="AZ976">
        <v>-13.04</v>
      </c>
      <c r="BA976">
        <v>-66.349999999999994</v>
      </c>
      <c r="BB976" t="s">
        <v>73</v>
      </c>
    </row>
    <row r="977" spans="1:54" x14ac:dyDescent="0.4">
      <c r="A977">
        <v>792536</v>
      </c>
      <c r="D977" t="s">
        <v>54</v>
      </c>
      <c r="E977" t="s">
        <v>55</v>
      </c>
      <c r="G977">
        <v>1</v>
      </c>
      <c r="H977" t="s">
        <v>56</v>
      </c>
      <c r="I977" t="s">
        <v>57</v>
      </c>
      <c r="K977" t="s">
        <v>102</v>
      </c>
      <c r="L977" t="s">
        <v>783</v>
      </c>
      <c r="M977" t="s">
        <v>59</v>
      </c>
      <c r="O977" t="s">
        <v>107</v>
      </c>
      <c r="P977" t="s">
        <v>131</v>
      </c>
      <c r="R977" t="s">
        <v>112</v>
      </c>
      <c r="S977" t="s">
        <v>61</v>
      </c>
      <c r="T977">
        <v>246.7</v>
      </c>
      <c r="U977">
        <v>242</v>
      </c>
      <c r="V977">
        <f>(T977+U977)/2</f>
        <v>244.35</v>
      </c>
      <c r="W977">
        <f>T977-U977</f>
        <v>4.6999999999999886</v>
      </c>
      <c r="X977">
        <v>26.708331999999999</v>
      </c>
      <c r="Y977">
        <v>-30.691668</v>
      </c>
      <c r="Z977" t="s">
        <v>372</v>
      </c>
      <c r="AA977" t="s">
        <v>86</v>
      </c>
      <c r="AB977" t="s">
        <v>87</v>
      </c>
      <c r="AC977" t="s">
        <v>776</v>
      </c>
      <c r="AD977" t="s">
        <v>777</v>
      </c>
      <c r="AE977" t="s">
        <v>90</v>
      </c>
      <c r="AG977" t="s">
        <v>778</v>
      </c>
      <c r="AH977" t="s">
        <v>65</v>
      </c>
      <c r="AI977" t="s">
        <v>784</v>
      </c>
      <c r="AJ977">
        <v>1998</v>
      </c>
      <c r="AK977" t="s">
        <v>780</v>
      </c>
      <c r="AM977" t="s">
        <v>781</v>
      </c>
      <c r="AN977" t="s">
        <v>94</v>
      </c>
      <c r="AO977" t="s">
        <v>68</v>
      </c>
      <c r="AP977" t="s">
        <v>69</v>
      </c>
      <c r="AQ977" t="s">
        <v>782</v>
      </c>
      <c r="AR977" t="s">
        <v>70</v>
      </c>
      <c r="AS977">
        <v>701</v>
      </c>
      <c r="AT977" t="s">
        <v>71</v>
      </c>
      <c r="AU977">
        <v>-7.31</v>
      </c>
      <c r="AV977">
        <v>-50.77</v>
      </c>
      <c r="AW977" t="s">
        <v>72</v>
      </c>
      <c r="AX977">
        <v>701</v>
      </c>
      <c r="AY977" t="s">
        <v>71</v>
      </c>
      <c r="AZ977">
        <v>-13.04</v>
      </c>
      <c r="BA977">
        <v>-66.349999999999994</v>
      </c>
      <c r="BB977" t="s">
        <v>73</v>
      </c>
    </row>
    <row r="978" spans="1:54" x14ac:dyDescent="0.4">
      <c r="A978">
        <v>792536</v>
      </c>
      <c r="D978" t="s">
        <v>54</v>
      </c>
      <c r="E978" t="s">
        <v>55</v>
      </c>
      <c r="G978">
        <v>1</v>
      </c>
      <c r="H978" t="s">
        <v>56</v>
      </c>
      <c r="I978" t="s">
        <v>57</v>
      </c>
      <c r="K978" t="s">
        <v>102</v>
      </c>
      <c r="L978" t="s">
        <v>783</v>
      </c>
      <c r="M978" t="s">
        <v>59</v>
      </c>
      <c r="O978" t="s">
        <v>107</v>
      </c>
      <c r="P978" t="s">
        <v>131</v>
      </c>
      <c r="R978" t="s">
        <v>112</v>
      </c>
      <c r="S978" t="s">
        <v>61</v>
      </c>
      <c r="T978">
        <v>246.7</v>
      </c>
      <c r="U978">
        <v>242</v>
      </c>
      <c r="V978">
        <f>(T978+U978)/2</f>
        <v>244.35</v>
      </c>
      <c r="W978">
        <f>T978-U978</f>
        <v>4.6999999999999886</v>
      </c>
      <c r="X978">
        <v>26.708331999999999</v>
      </c>
      <c r="Y978">
        <v>-30.691668</v>
      </c>
      <c r="Z978" t="s">
        <v>372</v>
      </c>
      <c r="AA978" t="s">
        <v>86</v>
      </c>
      <c r="AB978" t="s">
        <v>87</v>
      </c>
      <c r="AC978" t="s">
        <v>776</v>
      </c>
      <c r="AD978" t="s">
        <v>777</v>
      </c>
      <c r="AE978" t="s">
        <v>90</v>
      </c>
      <c r="AG978" t="s">
        <v>778</v>
      </c>
      <c r="AH978" t="s">
        <v>65</v>
      </c>
      <c r="AI978" t="s">
        <v>784</v>
      </c>
      <c r="AJ978">
        <v>1998</v>
      </c>
      <c r="AK978" t="s">
        <v>780</v>
      </c>
      <c r="AM978" t="s">
        <v>781</v>
      </c>
      <c r="AN978" t="s">
        <v>94</v>
      </c>
      <c r="AO978" t="s">
        <v>68</v>
      </c>
      <c r="AP978" t="s">
        <v>69</v>
      </c>
      <c r="AQ978" t="s">
        <v>782</v>
      </c>
      <c r="AR978" t="s">
        <v>70</v>
      </c>
      <c r="AS978">
        <v>701</v>
      </c>
      <c r="AT978" t="s">
        <v>71</v>
      </c>
      <c r="AU978">
        <v>-7.31</v>
      </c>
      <c r="AV978">
        <v>-50.77</v>
      </c>
      <c r="AW978" t="s">
        <v>72</v>
      </c>
      <c r="AX978">
        <v>701</v>
      </c>
      <c r="AY978" t="s">
        <v>71</v>
      </c>
      <c r="AZ978">
        <v>-13.04</v>
      </c>
      <c r="BA978">
        <v>-66.349999999999994</v>
      </c>
      <c r="BB978" t="s">
        <v>73</v>
      </c>
    </row>
    <row r="979" spans="1:54" x14ac:dyDescent="0.4">
      <c r="A979">
        <v>792536</v>
      </c>
      <c r="D979" t="s">
        <v>54</v>
      </c>
      <c r="E979" t="s">
        <v>55</v>
      </c>
      <c r="G979">
        <v>1</v>
      </c>
      <c r="H979" t="s">
        <v>56</v>
      </c>
      <c r="I979" t="s">
        <v>57</v>
      </c>
      <c r="K979" t="s">
        <v>102</v>
      </c>
      <c r="L979" t="s">
        <v>783</v>
      </c>
      <c r="M979" t="s">
        <v>59</v>
      </c>
      <c r="O979" t="s">
        <v>107</v>
      </c>
      <c r="P979" t="s">
        <v>131</v>
      </c>
      <c r="R979" t="s">
        <v>112</v>
      </c>
      <c r="S979" t="s">
        <v>61</v>
      </c>
      <c r="T979">
        <v>246.7</v>
      </c>
      <c r="U979">
        <v>242</v>
      </c>
      <c r="V979">
        <f>(T979+U979)/2</f>
        <v>244.35</v>
      </c>
      <c r="W979">
        <f>T979-U979</f>
        <v>4.6999999999999886</v>
      </c>
      <c r="X979">
        <v>26.708331999999999</v>
      </c>
      <c r="Y979">
        <v>-30.691668</v>
      </c>
      <c r="Z979" t="s">
        <v>372</v>
      </c>
      <c r="AA979" t="s">
        <v>86</v>
      </c>
      <c r="AB979" t="s">
        <v>87</v>
      </c>
      <c r="AC979" t="s">
        <v>776</v>
      </c>
      <c r="AD979" t="s">
        <v>777</v>
      </c>
      <c r="AE979" t="s">
        <v>90</v>
      </c>
      <c r="AG979" t="s">
        <v>778</v>
      </c>
      <c r="AH979" t="s">
        <v>65</v>
      </c>
      <c r="AI979" t="s">
        <v>784</v>
      </c>
      <c r="AJ979">
        <v>1998</v>
      </c>
      <c r="AK979" t="s">
        <v>780</v>
      </c>
      <c r="AM979" t="s">
        <v>781</v>
      </c>
      <c r="AN979" t="s">
        <v>94</v>
      </c>
      <c r="AO979" t="s">
        <v>68</v>
      </c>
      <c r="AP979" t="s">
        <v>69</v>
      </c>
      <c r="AQ979" t="s">
        <v>782</v>
      </c>
      <c r="AR979" t="s">
        <v>70</v>
      </c>
      <c r="AS979">
        <v>701</v>
      </c>
      <c r="AT979" t="s">
        <v>71</v>
      </c>
      <c r="AU979">
        <v>-7.31</v>
      </c>
      <c r="AV979">
        <v>-50.77</v>
      </c>
      <c r="AW979" t="s">
        <v>72</v>
      </c>
      <c r="AX979">
        <v>701</v>
      </c>
      <c r="AY979" t="s">
        <v>71</v>
      </c>
      <c r="AZ979">
        <v>-13.04</v>
      </c>
      <c r="BA979">
        <v>-66.349999999999994</v>
      </c>
      <c r="BB979" t="s">
        <v>73</v>
      </c>
    </row>
    <row r="980" spans="1:54" x14ac:dyDescent="0.4">
      <c r="A980">
        <v>792536</v>
      </c>
      <c r="D980" t="s">
        <v>54</v>
      </c>
      <c r="E980" t="s">
        <v>55</v>
      </c>
      <c r="G980">
        <v>1</v>
      </c>
      <c r="H980" t="s">
        <v>56</v>
      </c>
      <c r="I980" t="s">
        <v>57</v>
      </c>
      <c r="K980" t="s">
        <v>102</v>
      </c>
      <c r="L980" t="s">
        <v>783</v>
      </c>
      <c r="M980" t="s">
        <v>59</v>
      </c>
      <c r="O980" t="s">
        <v>107</v>
      </c>
      <c r="P980" t="s">
        <v>131</v>
      </c>
      <c r="R980" t="s">
        <v>112</v>
      </c>
      <c r="S980" t="s">
        <v>61</v>
      </c>
      <c r="T980">
        <v>246.7</v>
      </c>
      <c r="U980">
        <v>242</v>
      </c>
      <c r="V980">
        <f>(T980+U980)/2</f>
        <v>244.35</v>
      </c>
      <c r="W980">
        <f>T980-U980</f>
        <v>4.6999999999999886</v>
      </c>
      <c r="X980">
        <v>26.708331999999999</v>
      </c>
      <c r="Y980">
        <v>-30.691668</v>
      </c>
      <c r="Z980" t="s">
        <v>372</v>
      </c>
      <c r="AA980" t="s">
        <v>86</v>
      </c>
      <c r="AB980" t="s">
        <v>87</v>
      </c>
      <c r="AC980" t="s">
        <v>776</v>
      </c>
      <c r="AD980" t="s">
        <v>777</v>
      </c>
      <c r="AE980" t="s">
        <v>90</v>
      </c>
      <c r="AG980" t="s">
        <v>778</v>
      </c>
      <c r="AH980" t="s">
        <v>65</v>
      </c>
      <c r="AI980" t="s">
        <v>784</v>
      </c>
      <c r="AJ980">
        <v>1998</v>
      </c>
      <c r="AK980" t="s">
        <v>780</v>
      </c>
      <c r="AM980" t="s">
        <v>781</v>
      </c>
      <c r="AN980" t="s">
        <v>94</v>
      </c>
      <c r="AO980" t="s">
        <v>68</v>
      </c>
      <c r="AP980" t="s">
        <v>69</v>
      </c>
      <c r="AQ980" t="s">
        <v>782</v>
      </c>
      <c r="AR980" t="s">
        <v>70</v>
      </c>
      <c r="AS980">
        <v>701</v>
      </c>
      <c r="AT980" t="s">
        <v>71</v>
      </c>
      <c r="AU980">
        <v>-7.31</v>
      </c>
      <c r="AV980">
        <v>-50.77</v>
      </c>
      <c r="AW980" t="s">
        <v>72</v>
      </c>
      <c r="AX980">
        <v>701</v>
      </c>
      <c r="AY980" t="s">
        <v>71</v>
      </c>
      <c r="AZ980">
        <v>-13.04</v>
      </c>
      <c r="BA980">
        <v>-66.349999999999994</v>
      </c>
      <c r="BB980" t="s">
        <v>73</v>
      </c>
    </row>
    <row r="981" spans="1:54" x14ac:dyDescent="0.4">
      <c r="A981">
        <v>792537</v>
      </c>
      <c r="D981" t="s">
        <v>54</v>
      </c>
      <c r="E981" t="s">
        <v>55</v>
      </c>
      <c r="G981">
        <v>1</v>
      </c>
      <c r="H981" t="s">
        <v>56</v>
      </c>
      <c r="I981" t="s">
        <v>57</v>
      </c>
      <c r="K981" t="s">
        <v>102</v>
      </c>
      <c r="L981" t="s">
        <v>775</v>
      </c>
      <c r="M981" t="s">
        <v>59</v>
      </c>
      <c r="P981" t="s">
        <v>131</v>
      </c>
      <c r="R981" t="s">
        <v>112</v>
      </c>
      <c r="S981" t="s">
        <v>61</v>
      </c>
      <c r="T981">
        <v>246.7</v>
      </c>
      <c r="U981">
        <v>242</v>
      </c>
      <c r="V981">
        <f>(T981+U981)/2</f>
        <v>244.35</v>
      </c>
      <c r="W981">
        <f>T981-U981</f>
        <v>4.6999999999999886</v>
      </c>
      <c r="X981">
        <v>26.708331999999999</v>
      </c>
      <c r="Y981">
        <v>-30.691668</v>
      </c>
      <c r="Z981" t="s">
        <v>372</v>
      </c>
      <c r="AA981" t="s">
        <v>86</v>
      </c>
      <c r="AB981" t="s">
        <v>87</v>
      </c>
      <c r="AC981" t="s">
        <v>776</v>
      </c>
      <c r="AD981" t="s">
        <v>777</v>
      </c>
      <c r="AE981" t="s">
        <v>90</v>
      </c>
      <c r="AG981" t="s">
        <v>778</v>
      </c>
      <c r="AH981" t="s">
        <v>65</v>
      </c>
      <c r="AI981" t="s">
        <v>91</v>
      </c>
      <c r="AJ981">
        <v>1913</v>
      </c>
      <c r="AK981" t="s">
        <v>780</v>
      </c>
      <c r="AM981" t="s">
        <v>781</v>
      </c>
      <c r="AN981" t="s">
        <v>94</v>
      </c>
      <c r="AO981" t="s">
        <v>68</v>
      </c>
      <c r="AP981" t="s">
        <v>69</v>
      </c>
      <c r="AQ981" t="s">
        <v>782</v>
      </c>
      <c r="AR981" t="s">
        <v>70</v>
      </c>
      <c r="AS981">
        <v>701</v>
      </c>
      <c r="AT981" t="s">
        <v>71</v>
      </c>
      <c r="AU981">
        <v>-7.31</v>
      </c>
      <c r="AV981">
        <v>-50.77</v>
      </c>
      <c r="AW981" t="s">
        <v>72</v>
      </c>
      <c r="AX981">
        <v>701</v>
      </c>
      <c r="AY981" t="s">
        <v>71</v>
      </c>
      <c r="AZ981">
        <v>-13.04</v>
      </c>
      <c r="BA981">
        <v>-66.349999999999994</v>
      </c>
      <c r="BB981" t="s">
        <v>73</v>
      </c>
    </row>
    <row r="982" spans="1:54" x14ac:dyDescent="0.4">
      <c r="A982">
        <v>797942</v>
      </c>
      <c r="D982" t="s">
        <v>376</v>
      </c>
      <c r="E982" t="s">
        <v>153</v>
      </c>
      <c r="G982">
        <v>1</v>
      </c>
      <c r="H982" t="s">
        <v>56</v>
      </c>
      <c r="I982" t="s">
        <v>57</v>
      </c>
      <c r="K982" t="s">
        <v>355</v>
      </c>
      <c r="L982" t="s">
        <v>826</v>
      </c>
      <c r="M982" t="s">
        <v>59</v>
      </c>
      <c r="P982" t="s">
        <v>131</v>
      </c>
      <c r="R982" t="s">
        <v>112</v>
      </c>
      <c r="S982" t="s">
        <v>61</v>
      </c>
      <c r="T982">
        <v>246.7</v>
      </c>
      <c r="U982">
        <v>242</v>
      </c>
      <c r="V982">
        <f>(T982+U982)/2</f>
        <v>244.35</v>
      </c>
      <c r="W982">
        <f>T982-U982</f>
        <v>4.6999999999999886</v>
      </c>
      <c r="X982">
        <v>8.9366669999999999</v>
      </c>
      <c r="Y982">
        <v>45.910277999999998</v>
      </c>
      <c r="Z982" t="s">
        <v>465</v>
      </c>
      <c r="AA982" t="s">
        <v>133</v>
      </c>
      <c r="AB982" t="s">
        <v>833</v>
      </c>
      <c r="AC982" t="s">
        <v>834</v>
      </c>
      <c r="AD982" t="s">
        <v>829</v>
      </c>
      <c r="AF982" t="s">
        <v>835</v>
      </c>
      <c r="AG982" t="s">
        <v>836</v>
      </c>
      <c r="AH982" t="s">
        <v>65</v>
      </c>
      <c r="AI982" t="s">
        <v>357</v>
      </c>
      <c r="AJ982">
        <v>1962</v>
      </c>
      <c r="AK982" t="s">
        <v>837</v>
      </c>
      <c r="AM982" t="s">
        <v>838</v>
      </c>
      <c r="AN982" t="s">
        <v>121</v>
      </c>
      <c r="AO982" t="s">
        <v>68</v>
      </c>
      <c r="AP982" t="s">
        <v>95</v>
      </c>
      <c r="AQ982" t="s">
        <v>839</v>
      </c>
      <c r="AR982" t="s">
        <v>70</v>
      </c>
      <c r="AS982">
        <v>307</v>
      </c>
      <c r="AT982" t="s">
        <v>71</v>
      </c>
      <c r="AU982">
        <v>34.28</v>
      </c>
      <c r="AV982">
        <v>16.7</v>
      </c>
      <c r="AW982" t="s">
        <v>72</v>
      </c>
      <c r="AX982">
        <v>307</v>
      </c>
      <c r="AY982" t="s">
        <v>71</v>
      </c>
      <c r="AZ982">
        <v>22.06</v>
      </c>
      <c r="BA982">
        <v>7.2</v>
      </c>
      <c r="BB982" t="s">
        <v>73</v>
      </c>
    </row>
    <row r="983" spans="1:54" x14ac:dyDescent="0.4">
      <c r="A983">
        <v>797942</v>
      </c>
      <c r="D983" t="s">
        <v>376</v>
      </c>
      <c r="E983" t="s">
        <v>153</v>
      </c>
      <c r="G983">
        <v>1</v>
      </c>
      <c r="H983" t="s">
        <v>56</v>
      </c>
      <c r="I983" t="s">
        <v>57</v>
      </c>
      <c r="K983" t="s">
        <v>355</v>
      </c>
      <c r="L983" t="s">
        <v>826</v>
      </c>
      <c r="M983" t="s">
        <v>59</v>
      </c>
      <c r="P983" t="s">
        <v>131</v>
      </c>
      <c r="R983" t="s">
        <v>112</v>
      </c>
      <c r="S983" t="s">
        <v>61</v>
      </c>
      <c r="T983">
        <v>246.7</v>
      </c>
      <c r="U983">
        <v>242</v>
      </c>
      <c r="V983">
        <f>(T983+U983)/2</f>
        <v>244.35</v>
      </c>
      <c r="W983">
        <f>T983-U983</f>
        <v>4.6999999999999886</v>
      </c>
      <c r="X983">
        <v>8.9366669999999999</v>
      </c>
      <c r="Y983">
        <v>45.910277999999998</v>
      </c>
      <c r="Z983" t="s">
        <v>465</v>
      </c>
      <c r="AA983" t="s">
        <v>133</v>
      </c>
      <c r="AB983" t="s">
        <v>833</v>
      </c>
      <c r="AC983" t="s">
        <v>834</v>
      </c>
      <c r="AD983" t="s">
        <v>829</v>
      </c>
      <c r="AF983" t="s">
        <v>835</v>
      </c>
      <c r="AG983" t="s">
        <v>836</v>
      </c>
      <c r="AH983" t="s">
        <v>65</v>
      </c>
      <c r="AI983" t="s">
        <v>357</v>
      </c>
      <c r="AJ983">
        <v>1962</v>
      </c>
      <c r="AK983" t="s">
        <v>837</v>
      </c>
      <c r="AM983" t="s">
        <v>838</v>
      </c>
      <c r="AN983" t="s">
        <v>121</v>
      </c>
      <c r="AO983" t="s">
        <v>68</v>
      </c>
      <c r="AP983" t="s">
        <v>95</v>
      </c>
      <c r="AQ983" t="s">
        <v>839</v>
      </c>
      <c r="AR983" t="s">
        <v>70</v>
      </c>
      <c r="AS983">
        <v>307</v>
      </c>
      <c r="AT983" t="s">
        <v>71</v>
      </c>
      <c r="AU983">
        <v>34.28</v>
      </c>
      <c r="AV983">
        <v>16.7</v>
      </c>
      <c r="AW983" t="s">
        <v>72</v>
      </c>
      <c r="AX983">
        <v>307</v>
      </c>
      <c r="AY983" t="s">
        <v>71</v>
      </c>
      <c r="AZ983">
        <v>22.06</v>
      </c>
      <c r="BA983">
        <v>7.2</v>
      </c>
      <c r="BB983" t="s">
        <v>73</v>
      </c>
    </row>
    <row r="984" spans="1:54" x14ac:dyDescent="0.4">
      <c r="A984">
        <v>806332</v>
      </c>
      <c r="D984" t="s">
        <v>54</v>
      </c>
      <c r="E984" t="s">
        <v>105</v>
      </c>
      <c r="G984">
        <v>1</v>
      </c>
      <c r="H984" t="s">
        <v>56</v>
      </c>
      <c r="I984" t="s">
        <v>57</v>
      </c>
      <c r="K984" t="s">
        <v>162</v>
      </c>
      <c r="L984" t="s">
        <v>882</v>
      </c>
      <c r="M984" t="s">
        <v>59</v>
      </c>
      <c r="O984" t="s">
        <v>76</v>
      </c>
      <c r="P984" t="s">
        <v>131</v>
      </c>
      <c r="R984" t="s">
        <v>112</v>
      </c>
      <c r="S984" t="s">
        <v>61</v>
      </c>
      <c r="T984">
        <v>246.7</v>
      </c>
      <c r="U984">
        <v>242</v>
      </c>
      <c r="V984">
        <f>(T984+U984)/2</f>
        <v>244.35</v>
      </c>
      <c r="W984">
        <f>T984-U984</f>
        <v>4.6999999999999886</v>
      </c>
      <c r="X984">
        <v>89.166663999999997</v>
      </c>
      <c r="Y984">
        <v>42.916668000000001</v>
      </c>
      <c r="Z984" t="s">
        <v>99</v>
      </c>
      <c r="AA984" t="s">
        <v>186</v>
      </c>
      <c r="AB984" t="s">
        <v>883</v>
      </c>
      <c r="AC984" t="s">
        <v>884</v>
      </c>
      <c r="AD984" t="s">
        <v>885</v>
      </c>
      <c r="AH984" t="s">
        <v>65</v>
      </c>
      <c r="AI984" t="s">
        <v>333</v>
      </c>
      <c r="AJ984">
        <v>1973</v>
      </c>
      <c r="AK984" t="s">
        <v>886</v>
      </c>
      <c r="AM984" t="s">
        <v>887</v>
      </c>
      <c r="AN984" t="s">
        <v>177</v>
      </c>
      <c r="AO984" t="s">
        <v>106</v>
      </c>
      <c r="AP984" t="s">
        <v>182</v>
      </c>
      <c r="AQ984" t="s">
        <v>888</v>
      </c>
      <c r="AR984" t="s">
        <v>70</v>
      </c>
      <c r="AS984" t="s">
        <v>270</v>
      </c>
      <c r="AT984" t="s">
        <v>71</v>
      </c>
      <c r="AW984" t="s">
        <v>72</v>
      </c>
      <c r="AX984">
        <v>407</v>
      </c>
      <c r="AY984" t="s">
        <v>71</v>
      </c>
      <c r="AZ984">
        <v>70.97</v>
      </c>
      <c r="BA984">
        <v>47.52</v>
      </c>
      <c r="BB984" t="s">
        <v>73</v>
      </c>
    </row>
    <row r="985" spans="1:54" x14ac:dyDescent="0.4">
      <c r="A985">
        <v>811288</v>
      </c>
      <c r="D985" t="s">
        <v>54</v>
      </c>
      <c r="G985">
        <v>1</v>
      </c>
      <c r="H985" t="s">
        <v>56</v>
      </c>
      <c r="I985" t="s">
        <v>57</v>
      </c>
      <c r="K985" t="s">
        <v>373</v>
      </c>
      <c r="L985" t="s">
        <v>908</v>
      </c>
      <c r="M985" t="s">
        <v>59</v>
      </c>
      <c r="O985" t="s">
        <v>107</v>
      </c>
      <c r="P985" t="s">
        <v>131</v>
      </c>
      <c r="R985" t="s">
        <v>112</v>
      </c>
      <c r="S985" t="s">
        <v>61</v>
      </c>
      <c r="T985">
        <v>246.7</v>
      </c>
      <c r="U985">
        <v>242</v>
      </c>
      <c r="V985">
        <f>(T985+U985)/2</f>
        <v>244.35</v>
      </c>
      <c r="W985">
        <f>T985-U985</f>
        <v>4.6999999999999886</v>
      </c>
      <c r="X985">
        <v>-3.2794439999999998</v>
      </c>
      <c r="Y985">
        <v>50.655276999999998</v>
      </c>
      <c r="Z985" t="s">
        <v>113</v>
      </c>
      <c r="AA985" t="s">
        <v>78</v>
      </c>
      <c r="AB985" t="s">
        <v>79</v>
      </c>
      <c r="AC985" t="s">
        <v>909</v>
      </c>
      <c r="AD985" t="s">
        <v>910</v>
      </c>
      <c r="AE985" t="s">
        <v>422</v>
      </c>
      <c r="AH985" t="s">
        <v>65</v>
      </c>
      <c r="AI985" t="s">
        <v>430</v>
      </c>
      <c r="AJ985">
        <v>1990</v>
      </c>
      <c r="AK985" t="s">
        <v>911</v>
      </c>
      <c r="AN985" t="s">
        <v>67</v>
      </c>
      <c r="AO985" t="s">
        <v>68</v>
      </c>
      <c r="AP985" t="s">
        <v>95</v>
      </c>
      <c r="AQ985" t="s">
        <v>912</v>
      </c>
      <c r="AR985" t="s">
        <v>70</v>
      </c>
      <c r="AS985">
        <v>315</v>
      </c>
      <c r="AT985" t="s">
        <v>71</v>
      </c>
      <c r="AU985">
        <v>19.38</v>
      </c>
      <c r="AV985">
        <v>27.79</v>
      </c>
      <c r="AW985" t="s">
        <v>72</v>
      </c>
      <c r="AX985">
        <v>315</v>
      </c>
      <c r="AY985" t="s">
        <v>71</v>
      </c>
      <c r="AZ985">
        <v>10.89</v>
      </c>
      <c r="BA985">
        <v>13.73</v>
      </c>
      <c r="BB985" t="s">
        <v>73</v>
      </c>
    </row>
    <row r="986" spans="1:54" x14ac:dyDescent="0.4">
      <c r="A986">
        <v>811289</v>
      </c>
      <c r="D986" t="s">
        <v>54</v>
      </c>
      <c r="G986">
        <v>1</v>
      </c>
      <c r="H986" t="s">
        <v>74</v>
      </c>
      <c r="I986" t="s">
        <v>57</v>
      </c>
      <c r="K986" t="s">
        <v>373</v>
      </c>
      <c r="L986" t="s">
        <v>908</v>
      </c>
      <c r="M986" t="s">
        <v>59</v>
      </c>
      <c r="O986" t="s">
        <v>107</v>
      </c>
      <c r="P986" t="s">
        <v>131</v>
      </c>
      <c r="R986" t="s">
        <v>112</v>
      </c>
      <c r="S986" t="s">
        <v>61</v>
      </c>
      <c r="T986">
        <v>246.7</v>
      </c>
      <c r="U986">
        <v>242</v>
      </c>
      <c r="V986">
        <f>(T986+U986)/2</f>
        <v>244.35</v>
      </c>
      <c r="W986">
        <f>T986-U986</f>
        <v>4.6999999999999886</v>
      </c>
      <c r="X986">
        <v>-3.276389</v>
      </c>
      <c r="Y986">
        <v>50.661667000000001</v>
      </c>
      <c r="Z986" t="s">
        <v>113</v>
      </c>
      <c r="AA986" t="s">
        <v>78</v>
      </c>
      <c r="AB986" t="s">
        <v>79</v>
      </c>
      <c r="AC986" t="s">
        <v>909</v>
      </c>
      <c r="AD986" t="s">
        <v>910</v>
      </c>
      <c r="AE986" t="s">
        <v>422</v>
      </c>
      <c r="AH986" t="s">
        <v>65</v>
      </c>
      <c r="AI986" t="s">
        <v>430</v>
      </c>
      <c r="AJ986">
        <v>1990</v>
      </c>
      <c r="AK986" t="s">
        <v>913</v>
      </c>
      <c r="AN986" t="s">
        <v>67</v>
      </c>
      <c r="AO986" t="s">
        <v>68</v>
      </c>
      <c r="AP986" t="s">
        <v>95</v>
      </c>
      <c r="AQ986" t="s">
        <v>914</v>
      </c>
      <c r="AR986" t="s">
        <v>70</v>
      </c>
      <c r="AS986">
        <v>315</v>
      </c>
      <c r="AT986" t="s">
        <v>71</v>
      </c>
      <c r="AU986">
        <v>19.38</v>
      </c>
      <c r="AV986">
        <v>27.79</v>
      </c>
      <c r="AW986" t="s">
        <v>72</v>
      </c>
      <c r="AX986">
        <v>315</v>
      </c>
      <c r="AY986" t="s">
        <v>71</v>
      </c>
      <c r="AZ986">
        <v>10.89</v>
      </c>
      <c r="BA986">
        <v>13.74</v>
      </c>
      <c r="BB986" t="s">
        <v>73</v>
      </c>
    </row>
    <row r="987" spans="1:54" x14ac:dyDescent="0.4">
      <c r="A987">
        <v>811299</v>
      </c>
      <c r="D987" t="s">
        <v>54</v>
      </c>
      <c r="G987">
        <v>4</v>
      </c>
      <c r="H987" t="s">
        <v>74</v>
      </c>
      <c r="I987" t="s">
        <v>57</v>
      </c>
      <c r="K987" t="s">
        <v>373</v>
      </c>
      <c r="L987" t="s">
        <v>908</v>
      </c>
      <c r="M987" t="s">
        <v>59</v>
      </c>
      <c r="O987" t="s">
        <v>107</v>
      </c>
      <c r="P987" t="s">
        <v>131</v>
      </c>
      <c r="R987" t="s">
        <v>112</v>
      </c>
      <c r="S987" t="s">
        <v>61</v>
      </c>
      <c r="T987">
        <v>246.7</v>
      </c>
      <c r="U987">
        <v>242</v>
      </c>
      <c r="V987">
        <f>(T987+U987)/2</f>
        <v>244.35</v>
      </c>
      <c r="W987">
        <f>T987-U987</f>
        <v>4.6999999999999886</v>
      </c>
      <c r="X987">
        <v>-3.273333</v>
      </c>
      <c r="Y987">
        <v>50.662776999999998</v>
      </c>
      <c r="Z987" t="s">
        <v>113</v>
      </c>
      <c r="AA987" t="s">
        <v>78</v>
      </c>
      <c r="AB987" t="s">
        <v>79</v>
      </c>
      <c r="AC987" t="s">
        <v>909</v>
      </c>
      <c r="AD987" t="s">
        <v>910</v>
      </c>
      <c r="AE987" t="s">
        <v>422</v>
      </c>
      <c r="AH987" t="s">
        <v>65</v>
      </c>
      <c r="AI987" t="s">
        <v>430</v>
      </c>
      <c r="AJ987">
        <v>1990</v>
      </c>
      <c r="AK987" t="s">
        <v>915</v>
      </c>
      <c r="AN987" t="s">
        <v>67</v>
      </c>
      <c r="AO987" t="s">
        <v>68</v>
      </c>
      <c r="AP987" t="s">
        <v>95</v>
      </c>
      <c r="AQ987" t="s">
        <v>916</v>
      </c>
      <c r="AR987" t="s">
        <v>70</v>
      </c>
      <c r="AS987">
        <v>315</v>
      </c>
      <c r="AT987" t="s">
        <v>71</v>
      </c>
      <c r="AU987">
        <v>19.38</v>
      </c>
      <c r="AV987">
        <v>27.8</v>
      </c>
      <c r="AW987" t="s">
        <v>72</v>
      </c>
      <c r="AX987">
        <v>315</v>
      </c>
      <c r="AY987" t="s">
        <v>71</v>
      </c>
      <c r="AZ987">
        <v>10.89</v>
      </c>
      <c r="BA987">
        <v>13.74</v>
      </c>
      <c r="BB987" t="s">
        <v>73</v>
      </c>
    </row>
    <row r="988" spans="1:54" x14ac:dyDescent="0.4">
      <c r="A988">
        <v>811300</v>
      </c>
      <c r="D988" t="s">
        <v>54</v>
      </c>
      <c r="G988">
        <v>10</v>
      </c>
      <c r="H988" t="s">
        <v>74</v>
      </c>
      <c r="I988" t="s">
        <v>57</v>
      </c>
      <c r="K988" t="s">
        <v>373</v>
      </c>
      <c r="L988" t="s">
        <v>908</v>
      </c>
      <c r="M988" t="s">
        <v>59</v>
      </c>
      <c r="O988" t="s">
        <v>107</v>
      </c>
      <c r="P988" t="s">
        <v>131</v>
      </c>
      <c r="R988" t="s">
        <v>112</v>
      </c>
      <c r="S988" t="s">
        <v>61</v>
      </c>
      <c r="T988">
        <v>246.7</v>
      </c>
      <c r="U988">
        <v>242</v>
      </c>
      <c r="V988">
        <f>(T988+U988)/2</f>
        <v>244.35</v>
      </c>
      <c r="W988">
        <f>T988-U988</f>
        <v>4.6999999999999886</v>
      </c>
      <c r="X988">
        <v>-3.2716669999999999</v>
      </c>
      <c r="Y988">
        <v>50.663891</v>
      </c>
      <c r="Z988" t="s">
        <v>113</v>
      </c>
      <c r="AA988" t="s">
        <v>78</v>
      </c>
      <c r="AB988" t="s">
        <v>79</v>
      </c>
      <c r="AC988" t="s">
        <v>909</v>
      </c>
      <c r="AD988" t="s">
        <v>910</v>
      </c>
      <c r="AE988" t="s">
        <v>422</v>
      </c>
      <c r="AH988" t="s">
        <v>65</v>
      </c>
      <c r="AI988" t="s">
        <v>430</v>
      </c>
      <c r="AJ988">
        <v>1990</v>
      </c>
      <c r="AK988" t="s">
        <v>917</v>
      </c>
      <c r="AN988" t="s">
        <v>67</v>
      </c>
      <c r="AO988" t="s">
        <v>68</v>
      </c>
      <c r="AP988" t="s">
        <v>95</v>
      </c>
      <c r="AQ988" t="s">
        <v>918</v>
      </c>
      <c r="AR988" t="s">
        <v>70</v>
      </c>
      <c r="AS988">
        <v>315</v>
      </c>
      <c r="AT988" t="s">
        <v>71</v>
      </c>
      <c r="AU988">
        <v>19.39</v>
      </c>
      <c r="AV988">
        <v>27.8</v>
      </c>
      <c r="AW988" t="s">
        <v>72</v>
      </c>
      <c r="AX988">
        <v>315</v>
      </c>
      <c r="AY988" t="s">
        <v>71</v>
      </c>
      <c r="AZ988">
        <v>10.89</v>
      </c>
      <c r="BA988">
        <v>13.74</v>
      </c>
      <c r="BB988" t="s">
        <v>73</v>
      </c>
    </row>
    <row r="989" spans="1:54" x14ac:dyDescent="0.4">
      <c r="A989">
        <v>811301</v>
      </c>
      <c r="D989" t="s">
        <v>54</v>
      </c>
      <c r="G989">
        <v>3</v>
      </c>
      <c r="H989" t="s">
        <v>74</v>
      </c>
      <c r="I989" t="s">
        <v>57</v>
      </c>
      <c r="K989" t="s">
        <v>373</v>
      </c>
      <c r="L989" t="s">
        <v>908</v>
      </c>
      <c r="M989" t="s">
        <v>59</v>
      </c>
      <c r="O989" t="s">
        <v>107</v>
      </c>
      <c r="P989" t="s">
        <v>131</v>
      </c>
      <c r="R989" t="s">
        <v>112</v>
      </c>
      <c r="S989" t="s">
        <v>61</v>
      </c>
      <c r="T989">
        <v>246.7</v>
      </c>
      <c r="U989">
        <v>242</v>
      </c>
      <c r="V989">
        <f>(T989+U989)/2</f>
        <v>244.35</v>
      </c>
      <c r="W989">
        <f>T989-U989</f>
        <v>4.6999999999999886</v>
      </c>
      <c r="X989">
        <v>-3.2702779999999998</v>
      </c>
      <c r="Y989">
        <v>50.665557999999997</v>
      </c>
      <c r="Z989" t="s">
        <v>113</v>
      </c>
      <c r="AA989" t="s">
        <v>78</v>
      </c>
      <c r="AB989" t="s">
        <v>79</v>
      </c>
      <c r="AC989" t="s">
        <v>909</v>
      </c>
      <c r="AD989" t="s">
        <v>910</v>
      </c>
      <c r="AE989" t="s">
        <v>422</v>
      </c>
      <c r="AH989" t="s">
        <v>65</v>
      </c>
      <c r="AI989" t="s">
        <v>430</v>
      </c>
      <c r="AJ989">
        <v>1990</v>
      </c>
      <c r="AK989" t="s">
        <v>919</v>
      </c>
      <c r="AN989" t="s">
        <v>67</v>
      </c>
      <c r="AO989" t="s">
        <v>68</v>
      </c>
      <c r="AP989" t="s">
        <v>95</v>
      </c>
      <c r="AQ989" t="s">
        <v>920</v>
      </c>
      <c r="AR989" t="s">
        <v>70</v>
      </c>
      <c r="AS989">
        <v>315</v>
      </c>
      <c r="AT989" t="s">
        <v>71</v>
      </c>
      <c r="AU989">
        <v>19.39</v>
      </c>
      <c r="AV989">
        <v>27.8</v>
      </c>
      <c r="AW989" t="s">
        <v>72</v>
      </c>
      <c r="AX989">
        <v>315</v>
      </c>
      <c r="AY989" t="s">
        <v>71</v>
      </c>
      <c r="AZ989">
        <v>10.89</v>
      </c>
      <c r="BA989">
        <v>13.74</v>
      </c>
      <c r="BB989" t="s">
        <v>73</v>
      </c>
    </row>
    <row r="990" spans="1:54" x14ac:dyDescent="0.4">
      <c r="A990">
        <v>811302</v>
      </c>
      <c r="D990" t="s">
        <v>54</v>
      </c>
      <c r="G990">
        <v>2</v>
      </c>
      <c r="H990" t="s">
        <v>74</v>
      </c>
      <c r="I990" t="s">
        <v>57</v>
      </c>
      <c r="K990" t="s">
        <v>373</v>
      </c>
      <c r="L990" t="s">
        <v>908</v>
      </c>
      <c r="M990" t="s">
        <v>59</v>
      </c>
      <c r="O990" t="s">
        <v>107</v>
      </c>
      <c r="P990" t="s">
        <v>131</v>
      </c>
      <c r="R990" t="s">
        <v>112</v>
      </c>
      <c r="S990" t="s">
        <v>61</v>
      </c>
      <c r="T990">
        <v>246.7</v>
      </c>
      <c r="U990">
        <v>242</v>
      </c>
      <c r="V990">
        <f>(T990+U990)/2</f>
        <v>244.35</v>
      </c>
      <c r="W990">
        <f>T990-U990</f>
        <v>4.6999999999999886</v>
      </c>
      <c r="X990">
        <v>-3.2686109999999999</v>
      </c>
      <c r="Y990">
        <v>50.665832999999999</v>
      </c>
      <c r="Z990" t="s">
        <v>113</v>
      </c>
      <c r="AA990" t="s">
        <v>78</v>
      </c>
      <c r="AB990" t="s">
        <v>79</v>
      </c>
      <c r="AC990" t="s">
        <v>909</v>
      </c>
      <c r="AD990" t="s">
        <v>910</v>
      </c>
      <c r="AE990" t="s">
        <v>422</v>
      </c>
      <c r="AH990" t="s">
        <v>65</v>
      </c>
      <c r="AI990" t="s">
        <v>430</v>
      </c>
      <c r="AJ990">
        <v>1990</v>
      </c>
      <c r="AK990" t="s">
        <v>921</v>
      </c>
      <c r="AN990" t="s">
        <v>67</v>
      </c>
      <c r="AO990" t="s">
        <v>68</v>
      </c>
      <c r="AP990" t="s">
        <v>95</v>
      </c>
      <c r="AQ990" t="s">
        <v>922</v>
      </c>
      <c r="AR990" t="s">
        <v>70</v>
      </c>
      <c r="AS990">
        <v>315</v>
      </c>
      <c r="AT990" t="s">
        <v>71</v>
      </c>
      <c r="AU990">
        <v>19.39</v>
      </c>
      <c r="AV990">
        <v>27.8</v>
      </c>
      <c r="AW990" t="s">
        <v>72</v>
      </c>
      <c r="AX990">
        <v>315</v>
      </c>
      <c r="AY990" t="s">
        <v>71</v>
      </c>
      <c r="AZ990">
        <v>10.89</v>
      </c>
      <c r="BA990">
        <v>13.74</v>
      </c>
      <c r="BB990" t="s">
        <v>73</v>
      </c>
    </row>
    <row r="991" spans="1:54" x14ac:dyDescent="0.4">
      <c r="A991">
        <v>811303</v>
      </c>
      <c r="D991" t="s">
        <v>855</v>
      </c>
      <c r="G991">
        <v>1</v>
      </c>
      <c r="H991" t="s">
        <v>74</v>
      </c>
      <c r="I991" t="s">
        <v>57</v>
      </c>
      <c r="K991" t="s">
        <v>373</v>
      </c>
      <c r="L991" t="s">
        <v>908</v>
      </c>
      <c r="M991" t="s">
        <v>59</v>
      </c>
      <c r="O991" t="s">
        <v>107</v>
      </c>
      <c r="P991" t="s">
        <v>131</v>
      </c>
      <c r="R991" t="s">
        <v>112</v>
      </c>
      <c r="S991" t="s">
        <v>61</v>
      </c>
      <c r="T991">
        <v>246.7</v>
      </c>
      <c r="U991">
        <v>242</v>
      </c>
      <c r="V991">
        <f>(T991+U991)/2</f>
        <v>244.35</v>
      </c>
      <c r="W991">
        <f>T991-U991</f>
        <v>4.6999999999999886</v>
      </c>
      <c r="X991">
        <v>-3.2686109999999999</v>
      </c>
      <c r="Y991">
        <v>50.665557999999997</v>
      </c>
      <c r="Z991" t="s">
        <v>113</v>
      </c>
      <c r="AA991" t="s">
        <v>78</v>
      </c>
      <c r="AB991" t="s">
        <v>79</v>
      </c>
      <c r="AC991" t="s">
        <v>909</v>
      </c>
      <c r="AD991" t="s">
        <v>910</v>
      </c>
      <c r="AE991" t="s">
        <v>422</v>
      </c>
      <c r="AH991" t="s">
        <v>65</v>
      </c>
      <c r="AI991" t="s">
        <v>430</v>
      </c>
      <c r="AJ991">
        <v>1990</v>
      </c>
      <c r="AK991" t="s">
        <v>923</v>
      </c>
      <c r="AN991" t="s">
        <v>67</v>
      </c>
      <c r="AO991" t="s">
        <v>68</v>
      </c>
      <c r="AP991" t="s">
        <v>95</v>
      </c>
      <c r="AQ991" t="s">
        <v>924</v>
      </c>
      <c r="AR991" t="s">
        <v>70</v>
      </c>
      <c r="AS991">
        <v>315</v>
      </c>
      <c r="AT991" t="s">
        <v>71</v>
      </c>
      <c r="AU991">
        <v>19.39</v>
      </c>
      <c r="AV991">
        <v>27.8</v>
      </c>
      <c r="AW991" t="s">
        <v>72</v>
      </c>
      <c r="AX991">
        <v>315</v>
      </c>
      <c r="AY991" t="s">
        <v>71</v>
      </c>
      <c r="AZ991">
        <v>10.89</v>
      </c>
      <c r="BA991">
        <v>13.74</v>
      </c>
      <c r="BB991" t="s">
        <v>73</v>
      </c>
    </row>
    <row r="992" spans="1:54" x14ac:dyDescent="0.4">
      <c r="A992">
        <v>811309</v>
      </c>
      <c r="D992" t="s">
        <v>54</v>
      </c>
      <c r="G992">
        <v>1</v>
      </c>
      <c r="H992" t="s">
        <v>74</v>
      </c>
      <c r="I992" t="s">
        <v>57</v>
      </c>
      <c r="K992" t="s">
        <v>373</v>
      </c>
      <c r="L992" t="s">
        <v>908</v>
      </c>
      <c r="M992" t="s">
        <v>59</v>
      </c>
      <c r="O992" t="s">
        <v>107</v>
      </c>
      <c r="P992" t="s">
        <v>131</v>
      </c>
      <c r="R992" t="s">
        <v>112</v>
      </c>
      <c r="S992" t="s">
        <v>61</v>
      </c>
      <c r="T992">
        <v>246.7</v>
      </c>
      <c r="U992">
        <v>242</v>
      </c>
      <c r="V992">
        <f>(T992+U992)/2</f>
        <v>244.35</v>
      </c>
      <c r="W992">
        <f>T992-U992</f>
        <v>4.6999999999999886</v>
      </c>
      <c r="X992">
        <v>-3.2672219999999998</v>
      </c>
      <c r="Y992">
        <v>50.666668000000001</v>
      </c>
      <c r="Z992" t="s">
        <v>113</v>
      </c>
      <c r="AA992" t="s">
        <v>78</v>
      </c>
      <c r="AB992" t="s">
        <v>79</v>
      </c>
      <c r="AC992" t="s">
        <v>909</v>
      </c>
      <c r="AD992" t="s">
        <v>910</v>
      </c>
      <c r="AE992" t="s">
        <v>422</v>
      </c>
      <c r="AH992" t="s">
        <v>65</v>
      </c>
      <c r="AI992" t="s">
        <v>430</v>
      </c>
      <c r="AJ992">
        <v>1990</v>
      </c>
      <c r="AK992" t="s">
        <v>925</v>
      </c>
      <c r="AN992" t="s">
        <v>67</v>
      </c>
      <c r="AO992" t="s">
        <v>68</v>
      </c>
      <c r="AP992" t="s">
        <v>95</v>
      </c>
      <c r="AQ992" t="s">
        <v>926</v>
      </c>
      <c r="AR992" t="s">
        <v>70</v>
      </c>
      <c r="AS992">
        <v>315</v>
      </c>
      <c r="AT992" t="s">
        <v>71</v>
      </c>
      <c r="AU992">
        <v>19.39</v>
      </c>
      <c r="AV992">
        <v>27.8</v>
      </c>
      <c r="AW992" t="s">
        <v>72</v>
      </c>
      <c r="AX992">
        <v>315</v>
      </c>
      <c r="AY992" t="s">
        <v>71</v>
      </c>
      <c r="AZ992">
        <v>10.89</v>
      </c>
      <c r="BA992">
        <v>13.75</v>
      </c>
      <c r="BB992" t="s">
        <v>73</v>
      </c>
    </row>
    <row r="993" spans="1:54" x14ac:dyDescent="0.4">
      <c r="A993">
        <v>811310</v>
      </c>
      <c r="D993" t="s">
        <v>54</v>
      </c>
      <c r="G993">
        <v>1</v>
      </c>
      <c r="H993" t="s">
        <v>74</v>
      </c>
      <c r="I993" t="s">
        <v>57</v>
      </c>
      <c r="K993" t="s">
        <v>373</v>
      </c>
      <c r="L993" t="s">
        <v>908</v>
      </c>
      <c r="M993" t="s">
        <v>59</v>
      </c>
      <c r="O993" t="s">
        <v>107</v>
      </c>
      <c r="P993" t="s">
        <v>131</v>
      </c>
      <c r="R993" t="s">
        <v>112</v>
      </c>
      <c r="S993" t="s">
        <v>61</v>
      </c>
      <c r="T993">
        <v>246.7</v>
      </c>
      <c r="U993">
        <v>242</v>
      </c>
      <c r="V993">
        <f>(T993+U993)/2</f>
        <v>244.35</v>
      </c>
      <c r="W993">
        <f>T993-U993</f>
        <v>4.6999999999999886</v>
      </c>
      <c r="X993">
        <v>-3.2330559999999999</v>
      </c>
      <c r="Y993">
        <v>50.678890000000003</v>
      </c>
      <c r="Z993" t="s">
        <v>113</v>
      </c>
      <c r="AA993" t="s">
        <v>78</v>
      </c>
      <c r="AB993" t="s">
        <v>79</v>
      </c>
      <c r="AC993" t="s">
        <v>909</v>
      </c>
      <c r="AD993" t="s">
        <v>910</v>
      </c>
      <c r="AE993" t="s">
        <v>422</v>
      </c>
      <c r="AH993" t="s">
        <v>65</v>
      </c>
      <c r="AI993" t="s">
        <v>430</v>
      </c>
      <c r="AJ993">
        <v>1990</v>
      </c>
      <c r="AK993" t="s">
        <v>927</v>
      </c>
      <c r="AN993" t="s">
        <v>67</v>
      </c>
      <c r="AO993" t="s">
        <v>68</v>
      </c>
      <c r="AP993" t="s">
        <v>95</v>
      </c>
      <c r="AQ993" t="s">
        <v>928</v>
      </c>
      <c r="AR993" t="s">
        <v>70</v>
      </c>
      <c r="AS993">
        <v>315</v>
      </c>
      <c r="AT993" t="s">
        <v>71</v>
      </c>
      <c r="AU993">
        <v>19.41</v>
      </c>
      <c r="AV993">
        <v>27.81</v>
      </c>
      <c r="AW993" t="s">
        <v>72</v>
      </c>
      <c r="AX993">
        <v>315</v>
      </c>
      <c r="AY993" t="s">
        <v>71</v>
      </c>
      <c r="AZ993">
        <v>10.91</v>
      </c>
      <c r="BA993">
        <v>13.76</v>
      </c>
      <c r="BB993" t="s">
        <v>73</v>
      </c>
    </row>
    <row r="994" spans="1:54" x14ac:dyDescent="0.4">
      <c r="A994">
        <v>811311</v>
      </c>
      <c r="D994" t="s">
        <v>54</v>
      </c>
      <c r="G994">
        <v>1</v>
      </c>
      <c r="H994" t="s">
        <v>74</v>
      </c>
      <c r="I994" t="s">
        <v>57</v>
      </c>
      <c r="K994" t="s">
        <v>373</v>
      </c>
      <c r="L994" t="s">
        <v>908</v>
      </c>
      <c r="M994" t="s">
        <v>59</v>
      </c>
      <c r="O994" t="s">
        <v>107</v>
      </c>
      <c r="P994" t="s">
        <v>131</v>
      </c>
      <c r="R994" t="s">
        <v>112</v>
      </c>
      <c r="S994" t="s">
        <v>61</v>
      </c>
      <c r="T994">
        <v>246.7</v>
      </c>
      <c r="U994">
        <v>242</v>
      </c>
      <c r="V994">
        <f>(T994+U994)/2</f>
        <v>244.35</v>
      </c>
      <c r="W994">
        <f>T994-U994</f>
        <v>4.6999999999999886</v>
      </c>
      <c r="X994">
        <v>-3.2655560000000001</v>
      </c>
      <c r="Y994">
        <v>50.670276999999999</v>
      </c>
      <c r="Z994" t="s">
        <v>113</v>
      </c>
      <c r="AA994" t="s">
        <v>78</v>
      </c>
      <c r="AB994" t="s">
        <v>79</v>
      </c>
      <c r="AC994" t="s">
        <v>909</v>
      </c>
      <c r="AD994" t="s">
        <v>910</v>
      </c>
      <c r="AE994" t="s">
        <v>422</v>
      </c>
      <c r="AH994" t="s">
        <v>65</v>
      </c>
      <c r="AI994" t="s">
        <v>430</v>
      </c>
      <c r="AJ994">
        <v>1990</v>
      </c>
      <c r="AK994" t="s">
        <v>929</v>
      </c>
      <c r="AN994" t="s">
        <v>67</v>
      </c>
      <c r="AO994" t="s">
        <v>68</v>
      </c>
      <c r="AP994" t="s">
        <v>95</v>
      </c>
      <c r="AQ994" t="s">
        <v>930</v>
      </c>
      <c r="AR994" t="s">
        <v>70</v>
      </c>
      <c r="AS994">
        <v>315</v>
      </c>
      <c r="AT994" t="s">
        <v>71</v>
      </c>
      <c r="AU994">
        <v>19.39</v>
      </c>
      <c r="AV994">
        <v>27.8</v>
      </c>
      <c r="AW994" t="s">
        <v>72</v>
      </c>
      <c r="AX994">
        <v>315</v>
      </c>
      <c r="AY994" t="s">
        <v>71</v>
      </c>
      <c r="AZ994">
        <v>10.89</v>
      </c>
      <c r="BA994">
        <v>13.75</v>
      </c>
      <c r="BB994" t="s">
        <v>73</v>
      </c>
    </row>
    <row r="995" spans="1:54" x14ac:dyDescent="0.4">
      <c r="A995">
        <v>811312</v>
      </c>
      <c r="D995" t="s">
        <v>54</v>
      </c>
      <c r="G995">
        <v>1</v>
      </c>
      <c r="H995" t="s">
        <v>74</v>
      </c>
      <c r="I995" t="s">
        <v>57</v>
      </c>
      <c r="K995" t="s">
        <v>373</v>
      </c>
      <c r="L995" t="s">
        <v>908</v>
      </c>
      <c r="M995" t="s">
        <v>59</v>
      </c>
      <c r="O995" t="s">
        <v>107</v>
      </c>
      <c r="P995" t="s">
        <v>131</v>
      </c>
      <c r="R995" t="s">
        <v>112</v>
      </c>
      <c r="S995" t="s">
        <v>61</v>
      </c>
      <c r="T995">
        <v>246.7</v>
      </c>
      <c r="U995">
        <v>242</v>
      </c>
      <c r="V995">
        <f>(T995+U995)/2</f>
        <v>244.35</v>
      </c>
      <c r="W995">
        <f>T995-U995</f>
        <v>4.6999999999999886</v>
      </c>
      <c r="X995">
        <v>-3.2655560000000001</v>
      </c>
      <c r="Y995">
        <v>50.670276999999999</v>
      </c>
      <c r="Z995" t="s">
        <v>113</v>
      </c>
      <c r="AA995" t="s">
        <v>78</v>
      </c>
      <c r="AB995" t="s">
        <v>79</v>
      </c>
      <c r="AC995" t="s">
        <v>909</v>
      </c>
      <c r="AD995" t="s">
        <v>910</v>
      </c>
      <c r="AE995" t="s">
        <v>422</v>
      </c>
      <c r="AH995" t="s">
        <v>65</v>
      </c>
      <c r="AI995" t="s">
        <v>430</v>
      </c>
      <c r="AJ995">
        <v>1990</v>
      </c>
      <c r="AK995" t="s">
        <v>931</v>
      </c>
      <c r="AN995" t="s">
        <v>67</v>
      </c>
      <c r="AO995" t="s">
        <v>68</v>
      </c>
      <c r="AP995" t="s">
        <v>95</v>
      </c>
      <c r="AQ995" t="s">
        <v>932</v>
      </c>
      <c r="AR995" t="s">
        <v>70</v>
      </c>
      <c r="AS995">
        <v>315</v>
      </c>
      <c r="AT995" t="s">
        <v>71</v>
      </c>
      <c r="AU995">
        <v>19.39</v>
      </c>
      <c r="AV995">
        <v>27.8</v>
      </c>
      <c r="AW995" t="s">
        <v>72</v>
      </c>
      <c r="AX995">
        <v>315</v>
      </c>
      <c r="AY995" t="s">
        <v>71</v>
      </c>
      <c r="AZ995">
        <v>10.89</v>
      </c>
      <c r="BA995">
        <v>13.75</v>
      </c>
      <c r="BB995" t="s">
        <v>73</v>
      </c>
    </row>
    <row r="996" spans="1:54" x14ac:dyDescent="0.4">
      <c r="A996">
        <v>811313</v>
      </c>
      <c r="D996" t="s">
        <v>54</v>
      </c>
      <c r="G996">
        <v>1</v>
      </c>
      <c r="H996" t="s">
        <v>74</v>
      </c>
      <c r="I996" t="s">
        <v>57</v>
      </c>
      <c r="K996" t="s">
        <v>373</v>
      </c>
      <c r="L996" t="s">
        <v>908</v>
      </c>
      <c r="M996" t="s">
        <v>59</v>
      </c>
      <c r="O996" t="s">
        <v>107</v>
      </c>
      <c r="P996" t="s">
        <v>131</v>
      </c>
      <c r="R996" t="s">
        <v>112</v>
      </c>
      <c r="S996" t="s">
        <v>61</v>
      </c>
      <c r="T996">
        <v>246.7</v>
      </c>
      <c r="U996">
        <v>242</v>
      </c>
      <c r="V996">
        <f>(T996+U996)/2</f>
        <v>244.35</v>
      </c>
      <c r="W996">
        <f>T996-U996</f>
        <v>4.6999999999999886</v>
      </c>
      <c r="X996">
        <v>-3.2805559999999998</v>
      </c>
      <c r="Y996">
        <v>50.657223000000002</v>
      </c>
      <c r="Z996" t="s">
        <v>113</v>
      </c>
      <c r="AA996" t="s">
        <v>78</v>
      </c>
      <c r="AB996" t="s">
        <v>79</v>
      </c>
      <c r="AC996" t="s">
        <v>909</v>
      </c>
      <c r="AD996" t="s">
        <v>910</v>
      </c>
      <c r="AE996" t="s">
        <v>422</v>
      </c>
      <c r="AH996" t="s">
        <v>65</v>
      </c>
      <c r="AI996" t="s">
        <v>430</v>
      </c>
      <c r="AJ996">
        <v>1990</v>
      </c>
      <c r="AK996" t="s">
        <v>933</v>
      </c>
      <c r="AN996" t="s">
        <v>67</v>
      </c>
      <c r="AO996" t="s">
        <v>68</v>
      </c>
      <c r="AP996" t="s">
        <v>95</v>
      </c>
      <c r="AQ996" t="s">
        <v>934</v>
      </c>
      <c r="AR996" t="s">
        <v>70</v>
      </c>
      <c r="AS996">
        <v>315</v>
      </c>
      <c r="AT996" t="s">
        <v>71</v>
      </c>
      <c r="AU996">
        <v>19.38</v>
      </c>
      <c r="AV996">
        <v>27.79</v>
      </c>
      <c r="AW996" t="s">
        <v>72</v>
      </c>
      <c r="AX996">
        <v>315</v>
      </c>
      <c r="AY996" t="s">
        <v>71</v>
      </c>
      <c r="AZ996">
        <v>10.89</v>
      </c>
      <c r="BA996">
        <v>13.73</v>
      </c>
      <c r="BB996" t="s">
        <v>73</v>
      </c>
    </row>
    <row r="997" spans="1:54" x14ac:dyDescent="0.4">
      <c r="A997">
        <v>811314</v>
      </c>
      <c r="D997" t="s">
        <v>54</v>
      </c>
      <c r="G997">
        <v>1</v>
      </c>
      <c r="H997" t="s">
        <v>56</v>
      </c>
      <c r="I997" t="s">
        <v>57</v>
      </c>
      <c r="K997" t="s">
        <v>373</v>
      </c>
      <c r="L997" t="s">
        <v>908</v>
      </c>
      <c r="M997" t="s">
        <v>59</v>
      </c>
      <c r="O997" t="s">
        <v>107</v>
      </c>
      <c r="P997" t="s">
        <v>131</v>
      </c>
      <c r="R997" t="s">
        <v>112</v>
      </c>
      <c r="S997" t="s">
        <v>61</v>
      </c>
      <c r="T997">
        <v>246.7</v>
      </c>
      <c r="U997">
        <v>242</v>
      </c>
      <c r="V997">
        <f>(T997+U997)/2</f>
        <v>244.35</v>
      </c>
      <c r="W997">
        <f>T997-U997</f>
        <v>4.6999999999999886</v>
      </c>
      <c r="X997">
        <v>-3.2663890000000002</v>
      </c>
      <c r="Y997">
        <v>50.670276999999999</v>
      </c>
      <c r="Z997" t="s">
        <v>113</v>
      </c>
      <c r="AA997" t="s">
        <v>78</v>
      </c>
      <c r="AB997" t="s">
        <v>79</v>
      </c>
      <c r="AC997" t="s">
        <v>909</v>
      </c>
      <c r="AD997" t="s">
        <v>910</v>
      </c>
      <c r="AE997" t="s">
        <v>422</v>
      </c>
      <c r="AH997" t="s">
        <v>65</v>
      </c>
      <c r="AI997" t="s">
        <v>430</v>
      </c>
      <c r="AJ997">
        <v>1990</v>
      </c>
      <c r="AK997" t="s">
        <v>935</v>
      </c>
      <c r="AN997" t="s">
        <v>67</v>
      </c>
      <c r="AO997" t="s">
        <v>68</v>
      </c>
      <c r="AP997" t="s">
        <v>95</v>
      </c>
      <c r="AQ997" t="s">
        <v>936</v>
      </c>
      <c r="AR997" t="s">
        <v>70</v>
      </c>
      <c r="AS997">
        <v>315</v>
      </c>
      <c r="AT997" t="s">
        <v>71</v>
      </c>
      <c r="AU997">
        <v>19.39</v>
      </c>
      <c r="AV997">
        <v>27.8</v>
      </c>
      <c r="AW997" t="s">
        <v>72</v>
      </c>
      <c r="AX997">
        <v>315</v>
      </c>
      <c r="AY997" t="s">
        <v>71</v>
      </c>
      <c r="AZ997">
        <v>10.89</v>
      </c>
      <c r="BA997">
        <v>13.75</v>
      </c>
      <c r="BB997" t="s">
        <v>73</v>
      </c>
    </row>
    <row r="998" spans="1:54" x14ac:dyDescent="0.4">
      <c r="A998">
        <v>811315</v>
      </c>
      <c r="D998" t="s">
        <v>54</v>
      </c>
      <c r="G998">
        <v>1</v>
      </c>
      <c r="H998" t="s">
        <v>74</v>
      </c>
      <c r="I998" t="s">
        <v>57</v>
      </c>
      <c r="K998" t="s">
        <v>373</v>
      </c>
      <c r="L998" t="s">
        <v>908</v>
      </c>
      <c r="M998" t="s">
        <v>59</v>
      </c>
      <c r="O998" t="s">
        <v>107</v>
      </c>
      <c r="P998" t="s">
        <v>131</v>
      </c>
      <c r="R998" t="s">
        <v>112</v>
      </c>
      <c r="S998" t="s">
        <v>61</v>
      </c>
      <c r="T998">
        <v>246.7</v>
      </c>
      <c r="U998">
        <v>242</v>
      </c>
      <c r="V998">
        <f>(T998+U998)/2</f>
        <v>244.35</v>
      </c>
      <c r="W998">
        <f>T998-U998</f>
        <v>4.6999999999999886</v>
      </c>
      <c r="X998">
        <v>-3.2672219999999998</v>
      </c>
      <c r="Y998">
        <v>50.669167000000002</v>
      </c>
      <c r="Z998" t="s">
        <v>113</v>
      </c>
      <c r="AA998" t="s">
        <v>78</v>
      </c>
      <c r="AB998" t="s">
        <v>79</v>
      </c>
      <c r="AC998" t="s">
        <v>909</v>
      </c>
      <c r="AD998" t="s">
        <v>910</v>
      </c>
      <c r="AE998" t="s">
        <v>422</v>
      </c>
      <c r="AH998" t="s">
        <v>65</v>
      </c>
      <c r="AI998" t="s">
        <v>430</v>
      </c>
      <c r="AJ998">
        <v>1990</v>
      </c>
      <c r="AK998" t="s">
        <v>937</v>
      </c>
      <c r="AN998" t="s">
        <v>67</v>
      </c>
      <c r="AO998" t="s">
        <v>68</v>
      </c>
      <c r="AP998" t="s">
        <v>95</v>
      </c>
      <c r="AQ998" t="s">
        <v>938</v>
      </c>
      <c r="AR998" t="s">
        <v>70</v>
      </c>
      <c r="AS998">
        <v>315</v>
      </c>
      <c r="AT998" t="s">
        <v>71</v>
      </c>
      <c r="AU998">
        <v>19.39</v>
      </c>
      <c r="AV998">
        <v>27.8</v>
      </c>
      <c r="AW998" t="s">
        <v>72</v>
      </c>
      <c r="AX998">
        <v>315</v>
      </c>
      <c r="AY998" t="s">
        <v>71</v>
      </c>
      <c r="AZ998">
        <v>10.89</v>
      </c>
      <c r="BA998">
        <v>13.75</v>
      </c>
      <c r="BB998" t="s">
        <v>73</v>
      </c>
    </row>
    <row r="999" spans="1:54" x14ac:dyDescent="0.4">
      <c r="A999">
        <v>811316</v>
      </c>
      <c r="D999" t="s">
        <v>54</v>
      </c>
      <c r="G999">
        <v>1</v>
      </c>
      <c r="H999" t="s">
        <v>74</v>
      </c>
      <c r="I999" t="s">
        <v>57</v>
      </c>
      <c r="K999" t="s">
        <v>373</v>
      </c>
      <c r="L999" t="s">
        <v>908</v>
      </c>
      <c r="M999" t="s">
        <v>59</v>
      </c>
      <c r="O999" t="s">
        <v>107</v>
      </c>
      <c r="P999" t="s">
        <v>131</v>
      </c>
      <c r="R999" t="s">
        <v>112</v>
      </c>
      <c r="S999" t="s">
        <v>61</v>
      </c>
      <c r="T999">
        <v>246.7</v>
      </c>
      <c r="U999">
        <v>242</v>
      </c>
      <c r="V999">
        <f>(T999+U999)/2</f>
        <v>244.35</v>
      </c>
      <c r="W999">
        <f>T999-U999</f>
        <v>4.6999999999999886</v>
      </c>
      <c r="X999">
        <v>-3.2672219999999998</v>
      </c>
      <c r="Y999">
        <v>50.669167000000002</v>
      </c>
      <c r="Z999" t="s">
        <v>113</v>
      </c>
      <c r="AA999" t="s">
        <v>78</v>
      </c>
      <c r="AB999" t="s">
        <v>79</v>
      </c>
      <c r="AC999" t="s">
        <v>909</v>
      </c>
      <c r="AD999" t="s">
        <v>910</v>
      </c>
      <c r="AE999" t="s">
        <v>422</v>
      </c>
      <c r="AH999" t="s">
        <v>65</v>
      </c>
      <c r="AI999" t="s">
        <v>430</v>
      </c>
      <c r="AJ999">
        <v>1990</v>
      </c>
      <c r="AK999" t="s">
        <v>939</v>
      </c>
      <c r="AN999" t="s">
        <v>67</v>
      </c>
      <c r="AO999" t="s">
        <v>68</v>
      </c>
      <c r="AP999" t="s">
        <v>95</v>
      </c>
      <c r="AQ999" t="s">
        <v>940</v>
      </c>
      <c r="AR999" t="s">
        <v>70</v>
      </c>
      <c r="AS999">
        <v>315</v>
      </c>
      <c r="AT999" t="s">
        <v>71</v>
      </c>
      <c r="AU999">
        <v>19.39</v>
      </c>
      <c r="AV999">
        <v>27.8</v>
      </c>
      <c r="AW999" t="s">
        <v>72</v>
      </c>
      <c r="AX999">
        <v>315</v>
      </c>
      <c r="AY999" t="s">
        <v>71</v>
      </c>
      <c r="AZ999">
        <v>10.89</v>
      </c>
      <c r="BA999">
        <v>13.75</v>
      </c>
      <c r="BB999" t="s">
        <v>73</v>
      </c>
    </row>
    <row r="1000" spans="1:54" x14ac:dyDescent="0.4">
      <c r="A1000">
        <v>811318</v>
      </c>
      <c r="D1000" t="s">
        <v>54</v>
      </c>
      <c r="G1000">
        <v>1</v>
      </c>
      <c r="H1000" t="s">
        <v>74</v>
      </c>
      <c r="I1000" t="s">
        <v>57</v>
      </c>
      <c r="K1000" t="s">
        <v>373</v>
      </c>
      <c r="L1000" t="s">
        <v>908</v>
      </c>
      <c r="M1000" t="s">
        <v>59</v>
      </c>
      <c r="O1000" t="s">
        <v>107</v>
      </c>
      <c r="P1000" t="s">
        <v>131</v>
      </c>
      <c r="R1000" t="s">
        <v>112</v>
      </c>
      <c r="S1000" t="s">
        <v>61</v>
      </c>
      <c r="T1000">
        <v>246.7</v>
      </c>
      <c r="U1000">
        <v>242</v>
      </c>
      <c r="V1000">
        <f>(T1000+U1000)/2</f>
        <v>244.35</v>
      </c>
      <c r="W1000">
        <f>T1000-U1000</f>
        <v>4.6999999999999886</v>
      </c>
      <c r="X1000">
        <v>-3.2675000000000001</v>
      </c>
      <c r="Y1000">
        <v>50.666668000000001</v>
      </c>
      <c r="Z1000" t="s">
        <v>113</v>
      </c>
      <c r="AA1000" t="s">
        <v>78</v>
      </c>
      <c r="AB1000" t="s">
        <v>79</v>
      </c>
      <c r="AC1000" t="s">
        <v>909</v>
      </c>
      <c r="AD1000" t="s">
        <v>910</v>
      </c>
      <c r="AE1000" t="s">
        <v>422</v>
      </c>
      <c r="AH1000" t="s">
        <v>65</v>
      </c>
      <c r="AI1000" t="s">
        <v>430</v>
      </c>
      <c r="AJ1000">
        <v>1990</v>
      </c>
      <c r="AK1000" t="s">
        <v>941</v>
      </c>
      <c r="AN1000" t="s">
        <v>67</v>
      </c>
      <c r="AO1000" t="s">
        <v>68</v>
      </c>
      <c r="AP1000" t="s">
        <v>95</v>
      </c>
      <c r="AQ1000" t="s">
        <v>942</v>
      </c>
      <c r="AR1000" t="s">
        <v>70</v>
      </c>
      <c r="AS1000">
        <v>315</v>
      </c>
      <c r="AT1000" t="s">
        <v>71</v>
      </c>
      <c r="AU1000">
        <v>19.39</v>
      </c>
      <c r="AV1000">
        <v>27.8</v>
      </c>
      <c r="AW1000" t="s">
        <v>72</v>
      </c>
      <c r="AX1000">
        <v>315</v>
      </c>
      <c r="AY1000" t="s">
        <v>71</v>
      </c>
      <c r="AZ1000">
        <v>10.89</v>
      </c>
      <c r="BA1000">
        <v>13.74</v>
      </c>
      <c r="BB1000" t="s">
        <v>73</v>
      </c>
    </row>
    <row r="1001" spans="1:54" x14ac:dyDescent="0.4">
      <c r="A1001">
        <v>811319</v>
      </c>
      <c r="D1001" t="s">
        <v>54</v>
      </c>
      <c r="G1001">
        <v>1</v>
      </c>
      <c r="H1001" t="s">
        <v>74</v>
      </c>
      <c r="I1001" t="s">
        <v>57</v>
      </c>
      <c r="K1001" t="s">
        <v>373</v>
      </c>
      <c r="L1001" t="s">
        <v>908</v>
      </c>
      <c r="M1001" t="s">
        <v>59</v>
      </c>
      <c r="O1001" t="s">
        <v>107</v>
      </c>
      <c r="P1001" t="s">
        <v>131</v>
      </c>
      <c r="R1001" t="s">
        <v>112</v>
      </c>
      <c r="S1001" t="s">
        <v>61</v>
      </c>
      <c r="T1001">
        <v>246.7</v>
      </c>
      <c r="U1001">
        <v>242</v>
      </c>
      <c r="V1001">
        <f>(T1001+U1001)/2</f>
        <v>244.35</v>
      </c>
      <c r="W1001">
        <f>T1001-U1001</f>
        <v>4.6999999999999886</v>
      </c>
      <c r="X1001">
        <v>-3.2675000000000001</v>
      </c>
      <c r="Y1001">
        <v>50.666668000000001</v>
      </c>
      <c r="Z1001" t="s">
        <v>113</v>
      </c>
      <c r="AA1001" t="s">
        <v>78</v>
      </c>
      <c r="AB1001" t="s">
        <v>79</v>
      </c>
      <c r="AC1001" t="s">
        <v>909</v>
      </c>
      <c r="AD1001" t="s">
        <v>910</v>
      </c>
      <c r="AE1001" t="s">
        <v>422</v>
      </c>
      <c r="AH1001" t="s">
        <v>65</v>
      </c>
      <c r="AI1001" t="s">
        <v>430</v>
      </c>
      <c r="AJ1001">
        <v>1990</v>
      </c>
      <c r="AK1001" t="s">
        <v>943</v>
      </c>
      <c r="AN1001" t="s">
        <v>67</v>
      </c>
      <c r="AO1001" t="s">
        <v>68</v>
      </c>
      <c r="AP1001" t="s">
        <v>95</v>
      </c>
      <c r="AQ1001" t="s">
        <v>944</v>
      </c>
      <c r="AR1001" t="s">
        <v>70</v>
      </c>
      <c r="AS1001">
        <v>315</v>
      </c>
      <c r="AT1001" t="s">
        <v>71</v>
      </c>
      <c r="AU1001">
        <v>19.39</v>
      </c>
      <c r="AV1001">
        <v>27.8</v>
      </c>
      <c r="AW1001" t="s">
        <v>72</v>
      </c>
      <c r="AX1001">
        <v>315</v>
      </c>
      <c r="AY1001" t="s">
        <v>71</v>
      </c>
      <c r="AZ1001">
        <v>10.89</v>
      </c>
      <c r="BA1001">
        <v>13.74</v>
      </c>
      <c r="BB1001" t="s">
        <v>73</v>
      </c>
    </row>
    <row r="1002" spans="1:54" x14ac:dyDescent="0.4">
      <c r="A1002">
        <v>811320</v>
      </c>
      <c r="D1002" t="s">
        <v>54</v>
      </c>
      <c r="G1002">
        <v>1</v>
      </c>
      <c r="H1002" t="s">
        <v>74</v>
      </c>
      <c r="I1002" t="s">
        <v>57</v>
      </c>
      <c r="K1002" t="s">
        <v>373</v>
      </c>
      <c r="L1002" t="s">
        <v>908</v>
      </c>
      <c r="M1002" t="s">
        <v>59</v>
      </c>
      <c r="O1002" t="s">
        <v>107</v>
      </c>
      <c r="P1002" t="s">
        <v>131</v>
      </c>
      <c r="R1002" t="s">
        <v>112</v>
      </c>
      <c r="S1002" t="s">
        <v>61</v>
      </c>
      <c r="T1002">
        <v>246.7</v>
      </c>
      <c r="U1002">
        <v>242</v>
      </c>
      <c r="V1002">
        <f>(T1002+U1002)/2</f>
        <v>244.35</v>
      </c>
      <c r="W1002">
        <f>T1002-U1002</f>
        <v>4.6999999999999886</v>
      </c>
      <c r="X1002">
        <v>-3.2672219999999998</v>
      </c>
      <c r="Y1002">
        <v>50.667499999999997</v>
      </c>
      <c r="Z1002" t="s">
        <v>113</v>
      </c>
      <c r="AA1002" t="s">
        <v>78</v>
      </c>
      <c r="AB1002" t="s">
        <v>79</v>
      </c>
      <c r="AC1002" t="s">
        <v>909</v>
      </c>
      <c r="AD1002" t="s">
        <v>910</v>
      </c>
      <c r="AE1002" t="s">
        <v>422</v>
      </c>
      <c r="AH1002" t="s">
        <v>65</v>
      </c>
      <c r="AI1002" t="s">
        <v>430</v>
      </c>
      <c r="AJ1002">
        <v>1990</v>
      </c>
      <c r="AK1002" t="s">
        <v>945</v>
      </c>
      <c r="AN1002" t="s">
        <v>67</v>
      </c>
      <c r="AO1002" t="s">
        <v>68</v>
      </c>
      <c r="AP1002" t="s">
        <v>95</v>
      </c>
      <c r="AQ1002" t="s">
        <v>946</v>
      </c>
      <c r="AR1002" t="s">
        <v>70</v>
      </c>
      <c r="AS1002">
        <v>315</v>
      </c>
      <c r="AT1002" t="s">
        <v>71</v>
      </c>
      <c r="AU1002">
        <v>19.39</v>
      </c>
      <c r="AV1002">
        <v>27.8</v>
      </c>
      <c r="AW1002" t="s">
        <v>72</v>
      </c>
      <c r="AX1002">
        <v>315</v>
      </c>
      <c r="AY1002" t="s">
        <v>71</v>
      </c>
      <c r="AZ1002">
        <v>10.89</v>
      </c>
      <c r="BA1002">
        <v>13.75</v>
      </c>
      <c r="BB1002" t="s">
        <v>73</v>
      </c>
    </row>
    <row r="1003" spans="1:54" x14ac:dyDescent="0.4">
      <c r="A1003">
        <v>811326</v>
      </c>
      <c r="D1003" t="s">
        <v>54</v>
      </c>
      <c r="E1003" t="s">
        <v>55</v>
      </c>
      <c r="G1003">
        <v>1</v>
      </c>
      <c r="H1003" t="s">
        <v>56</v>
      </c>
      <c r="I1003" t="s">
        <v>57</v>
      </c>
      <c r="K1003" t="s">
        <v>373</v>
      </c>
      <c r="L1003" t="s">
        <v>947</v>
      </c>
      <c r="M1003" t="s">
        <v>59</v>
      </c>
      <c r="O1003" t="s">
        <v>107</v>
      </c>
      <c r="P1003" t="s">
        <v>131</v>
      </c>
      <c r="R1003" t="s">
        <v>112</v>
      </c>
      <c r="S1003" t="s">
        <v>61</v>
      </c>
      <c r="T1003">
        <v>246.7</v>
      </c>
      <c r="U1003">
        <v>242</v>
      </c>
      <c r="V1003">
        <f>(T1003+U1003)/2</f>
        <v>244.35</v>
      </c>
      <c r="W1003">
        <f>T1003-U1003</f>
        <v>4.6999999999999886</v>
      </c>
      <c r="X1003">
        <v>-3.2652779999999999</v>
      </c>
      <c r="Y1003">
        <v>50.679169000000002</v>
      </c>
      <c r="Z1003" t="s">
        <v>85</v>
      </c>
      <c r="AA1003" t="s">
        <v>78</v>
      </c>
      <c r="AB1003" t="s">
        <v>79</v>
      </c>
      <c r="AC1003" t="s">
        <v>909</v>
      </c>
      <c r="AD1003" t="s">
        <v>910</v>
      </c>
      <c r="AE1003" t="s">
        <v>422</v>
      </c>
      <c r="AH1003" t="s">
        <v>65</v>
      </c>
      <c r="AI1003" t="s">
        <v>380</v>
      </c>
      <c r="AJ1003">
        <v>2010</v>
      </c>
      <c r="AK1003" t="s">
        <v>948</v>
      </c>
      <c r="AN1003" t="s">
        <v>67</v>
      </c>
      <c r="AO1003" t="s">
        <v>68</v>
      </c>
      <c r="AP1003" t="s">
        <v>95</v>
      </c>
      <c r="AQ1003" t="s">
        <v>949</v>
      </c>
      <c r="AR1003" t="s">
        <v>70</v>
      </c>
      <c r="AS1003">
        <v>315</v>
      </c>
      <c r="AT1003" t="s">
        <v>71</v>
      </c>
      <c r="AU1003">
        <v>19.39</v>
      </c>
      <c r="AV1003">
        <v>27.81</v>
      </c>
      <c r="AW1003" t="s">
        <v>72</v>
      </c>
      <c r="AX1003">
        <v>315</v>
      </c>
      <c r="AY1003" t="s">
        <v>71</v>
      </c>
      <c r="AZ1003">
        <v>10.89</v>
      </c>
      <c r="BA1003">
        <v>13.76</v>
      </c>
      <c r="BB1003" t="s">
        <v>73</v>
      </c>
    </row>
    <row r="1004" spans="1:54" x14ac:dyDescent="0.4">
      <c r="A1004">
        <v>811330</v>
      </c>
      <c r="D1004" t="s">
        <v>54</v>
      </c>
      <c r="E1004" t="s">
        <v>104</v>
      </c>
      <c r="G1004">
        <v>6</v>
      </c>
      <c r="H1004" t="s">
        <v>74</v>
      </c>
      <c r="I1004" t="s">
        <v>57</v>
      </c>
      <c r="K1004" t="s">
        <v>80</v>
      </c>
      <c r="L1004" t="s">
        <v>517</v>
      </c>
      <c r="M1004" t="s">
        <v>59</v>
      </c>
      <c r="P1004" t="s">
        <v>131</v>
      </c>
      <c r="R1004" t="s">
        <v>112</v>
      </c>
      <c r="S1004" t="s">
        <v>61</v>
      </c>
      <c r="T1004">
        <v>246.7</v>
      </c>
      <c r="U1004">
        <v>242</v>
      </c>
      <c r="V1004">
        <f>(T1004+U1004)/2</f>
        <v>244.35</v>
      </c>
      <c r="W1004">
        <f>T1004-U1004</f>
        <v>4.6999999999999886</v>
      </c>
      <c r="X1004">
        <v>-3.2330559999999999</v>
      </c>
      <c r="Y1004">
        <v>50.679169000000002</v>
      </c>
      <c r="Z1004" t="s">
        <v>113</v>
      </c>
      <c r="AA1004" t="s">
        <v>78</v>
      </c>
      <c r="AB1004" t="s">
        <v>79</v>
      </c>
      <c r="AC1004" t="s">
        <v>909</v>
      </c>
      <c r="AD1004" t="s">
        <v>910</v>
      </c>
      <c r="AE1004" t="s">
        <v>422</v>
      </c>
      <c r="AH1004" t="s">
        <v>65</v>
      </c>
      <c r="AI1004" t="s">
        <v>647</v>
      </c>
      <c r="AJ1004">
        <v>2002</v>
      </c>
      <c r="AK1004" t="s">
        <v>950</v>
      </c>
      <c r="AM1004" t="s">
        <v>951</v>
      </c>
      <c r="AN1004" t="s">
        <v>67</v>
      </c>
      <c r="AO1004" t="s">
        <v>68</v>
      </c>
      <c r="AP1004" t="s">
        <v>95</v>
      </c>
      <c r="AQ1004" t="s">
        <v>952</v>
      </c>
      <c r="AR1004" t="s">
        <v>70</v>
      </c>
      <c r="AS1004">
        <v>315</v>
      </c>
      <c r="AT1004" t="s">
        <v>71</v>
      </c>
      <c r="AU1004">
        <v>19.41</v>
      </c>
      <c r="AV1004">
        <v>27.81</v>
      </c>
      <c r="AW1004" t="s">
        <v>72</v>
      </c>
      <c r="AX1004">
        <v>315</v>
      </c>
      <c r="AY1004" t="s">
        <v>71</v>
      </c>
      <c r="AZ1004">
        <v>10.91</v>
      </c>
      <c r="BA1004">
        <v>13.76</v>
      </c>
      <c r="BB1004" t="s">
        <v>73</v>
      </c>
    </row>
    <row r="1005" spans="1:54" x14ac:dyDescent="0.4">
      <c r="A1005">
        <v>811331</v>
      </c>
      <c r="D1005" t="s">
        <v>54</v>
      </c>
      <c r="G1005">
        <v>1</v>
      </c>
      <c r="H1005" t="s">
        <v>74</v>
      </c>
      <c r="I1005" t="s">
        <v>57</v>
      </c>
      <c r="K1005" t="s">
        <v>80</v>
      </c>
      <c r="L1005" t="s">
        <v>517</v>
      </c>
      <c r="M1005" t="s">
        <v>59</v>
      </c>
      <c r="P1005" t="s">
        <v>131</v>
      </c>
      <c r="R1005" t="s">
        <v>112</v>
      </c>
      <c r="S1005" t="s">
        <v>61</v>
      </c>
      <c r="T1005">
        <v>246.7</v>
      </c>
      <c r="U1005">
        <v>242</v>
      </c>
      <c r="V1005">
        <f>(T1005+U1005)/2</f>
        <v>244.35</v>
      </c>
      <c r="W1005">
        <f>T1005-U1005</f>
        <v>4.6999999999999886</v>
      </c>
      <c r="X1005">
        <v>-3.2658330000000002</v>
      </c>
      <c r="Y1005">
        <v>50.672500999999997</v>
      </c>
      <c r="Z1005" t="s">
        <v>113</v>
      </c>
      <c r="AA1005" t="s">
        <v>78</v>
      </c>
      <c r="AB1005" t="s">
        <v>79</v>
      </c>
      <c r="AC1005" t="s">
        <v>909</v>
      </c>
      <c r="AD1005" t="s">
        <v>910</v>
      </c>
      <c r="AE1005" t="s">
        <v>422</v>
      </c>
      <c r="AH1005" t="s">
        <v>65</v>
      </c>
      <c r="AI1005" t="s">
        <v>647</v>
      </c>
      <c r="AJ1005">
        <v>2002</v>
      </c>
      <c r="AK1005" t="s">
        <v>953</v>
      </c>
      <c r="AN1005" t="s">
        <v>67</v>
      </c>
      <c r="AO1005" t="s">
        <v>68</v>
      </c>
      <c r="AP1005" t="s">
        <v>95</v>
      </c>
      <c r="AQ1005" t="s">
        <v>954</v>
      </c>
      <c r="AR1005" t="s">
        <v>70</v>
      </c>
      <c r="AS1005">
        <v>315</v>
      </c>
      <c r="AT1005" t="s">
        <v>71</v>
      </c>
      <c r="AU1005">
        <v>19.39</v>
      </c>
      <c r="AV1005">
        <v>27.81</v>
      </c>
      <c r="AW1005" t="s">
        <v>72</v>
      </c>
      <c r="AX1005">
        <v>315</v>
      </c>
      <c r="AY1005" t="s">
        <v>71</v>
      </c>
      <c r="AZ1005">
        <v>10.89</v>
      </c>
      <c r="BA1005">
        <v>13.75</v>
      </c>
      <c r="BB1005" t="s">
        <v>73</v>
      </c>
    </row>
    <row r="1006" spans="1:54" x14ac:dyDescent="0.4">
      <c r="A1006">
        <v>811337</v>
      </c>
      <c r="D1006" t="s">
        <v>54</v>
      </c>
      <c r="E1006" t="s">
        <v>104</v>
      </c>
      <c r="G1006">
        <v>2</v>
      </c>
      <c r="H1006" t="s">
        <v>74</v>
      </c>
      <c r="I1006" t="s">
        <v>57</v>
      </c>
      <c r="K1006" t="s">
        <v>102</v>
      </c>
      <c r="L1006" t="s">
        <v>955</v>
      </c>
      <c r="M1006" t="s">
        <v>59</v>
      </c>
      <c r="P1006" t="s">
        <v>131</v>
      </c>
      <c r="R1006" t="s">
        <v>112</v>
      </c>
      <c r="S1006" t="s">
        <v>61</v>
      </c>
      <c r="T1006">
        <v>246.7</v>
      </c>
      <c r="U1006">
        <v>242</v>
      </c>
      <c r="V1006">
        <f>(T1006+U1006)/2</f>
        <v>244.35</v>
      </c>
      <c r="W1006">
        <f>T1006-U1006</f>
        <v>4.6999999999999886</v>
      </c>
      <c r="X1006">
        <v>-3.2330559999999999</v>
      </c>
      <c r="Y1006">
        <v>50.679169000000002</v>
      </c>
      <c r="Z1006" t="s">
        <v>113</v>
      </c>
      <c r="AA1006" t="s">
        <v>78</v>
      </c>
      <c r="AB1006" t="s">
        <v>79</v>
      </c>
      <c r="AC1006" t="s">
        <v>909</v>
      </c>
      <c r="AD1006" t="s">
        <v>910</v>
      </c>
      <c r="AE1006" t="s">
        <v>422</v>
      </c>
      <c r="AH1006" t="s">
        <v>65</v>
      </c>
      <c r="AI1006" t="s">
        <v>647</v>
      </c>
      <c r="AJ1006">
        <v>2002</v>
      </c>
      <c r="AK1006" t="s">
        <v>950</v>
      </c>
      <c r="AM1006" t="s">
        <v>951</v>
      </c>
      <c r="AN1006" t="s">
        <v>67</v>
      </c>
      <c r="AO1006" t="s">
        <v>68</v>
      </c>
      <c r="AP1006" t="s">
        <v>95</v>
      </c>
      <c r="AQ1006" t="s">
        <v>952</v>
      </c>
      <c r="AR1006" t="s">
        <v>70</v>
      </c>
      <c r="AS1006">
        <v>315</v>
      </c>
      <c r="AT1006" t="s">
        <v>71</v>
      </c>
      <c r="AU1006">
        <v>19.41</v>
      </c>
      <c r="AV1006">
        <v>27.81</v>
      </c>
      <c r="AW1006" t="s">
        <v>72</v>
      </c>
      <c r="AX1006">
        <v>315</v>
      </c>
      <c r="AY1006" t="s">
        <v>71</v>
      </c>
      <c r="AZ1006">
        <v>10.91</v>
      </c>
      <c r="BA1006">
        <v>13.76</v>
      </c>
      <c r="BB1006" t="s">
        <v>73</v>
      </c>
    </row>
    <row r="1007" spans="1:54" x14ac:dyDescent="0.4">
      <c r="A1007">
        <v>811338</v>
      </c>
      <c r="D1007" t="s">
        <v>54</v>
      </c>
      <c r="E1007" t="s">
        <v>104</v>
      </c>
      <c r="G1007">
        <v>1</v>
      </c>
      <c r="H1007" t="s">
        <v>74</v>
      </c>
      <c r="I1007" t="s">
        <v>57</v>
      </c>
      <c r="K1007" t="s">
        <v>102</v>
      </c>
      <c r="L1007" t="s">
        <v>955</v>
      </c>
      <c r="M1007" t="s">
        <v>59</v>
      </c>
      <c r="P1007" t="s">
        <v>131</v>
      </c>
      <c r="R1007" t="s">
        <v>112</v>
      </c>
      <c r="S1007" t="s">
        <v>61</v>
      </c>
      <c r="T1007">
        <v>246.7</v>
      </c>
      <c r="U1007">
        <v>242</v>
      </c>
      <c r="V1007">
        <f>(T1007+U1007)/2</f>
        <v>244.35</v>
      </c>
      <c r="W1007">
        <f>T1007-U1007</f>
        <v>4.6999999999999886</v>
      </c>
      <c r="X1007">
        <v>-3.2330559999999999</v>
      </c>
      <c r="Y1007">
        <v>50.679169000000002</v>
      </c>
      <c r="Z1007" t="s">
        <v>113</v>
      </c>
      <c r="AA1007" t="s">
        <v>78</v>
      </c>
      <c r="AB1007" t="s">
        <v>79</v>
      </c>
      <c r="AC1007" t="s">
        <v>909</v>
      </c>
      <c r="AD1007" t="s">
        <v>910</v>
      </c>
      <c r="AE1007" t="s">
        <v>422</v>
      </c>
      <c r="AH1007" t="s">
        <v>65</v>
      </c>
      <c r="AI1007" t="s">
        <v>647</v>
      </c>
      <c r="AJ1007">
        <v>2002</v>
      </c>
      <c r="AK1007" t="s">
        <v>950</v>
      </c>
      <c r="AM1007" t="s">
        <v>951</v>
      </c>
      <c r="AN1007" t="s">
        <v>67</v>
      </c>
      <c r="AO1007" t="s">
        <v>68</v>
      </c>
      <c r="AP1007" t="s">
        <v>95</v>
      </c>
      <c r="AQ1007" t="s">
        <v>952</v>
      </c>
      <c r="AR1007" t="s">
        <v>70</v>
      </c>
      <c r="AS1007">
        <v>315</v>
      </c>
      <c r="AT1007" t="s">
        <v>71</v>
      </c>
      <c r="AU1007">
        <v>19.41</v>
      </c>
      <c r="AV1007">
        <v>27.81</v>
      </c>
      <c r="AW1007" t="s">
        <v>72</v>
      </c>
      <c r="AX1007">
        <v>315</v>
      </c>
      <c r="AY1007" t="s">
        <v>71</v>
      </c>
      <c r="AZ1007">
        <v>10.91</v>
      </c>
      <c r="BA1007">
        <v>13.76</v>
      </c>
      <c r="BB1007" t="s">
        <v>73</v>
      </c>
    </row>
    <row r="1008" spans="1:54" x14ac:dyDescent="0.4">
      <c r="A1008">
        <v>811340</v>
      </c>
      <c r="D1008" t="s">
        <v>54</v>
      </c>
      <c r="G1008">
        <v>1</v>
      </c>
      <c r="H1008" t="s">
        <v>74</v>
      </c>
      <c r="I1008" t="s">
        <v>57</v>
      </c>
      <c r="K1008" t="s">
        <v>373</v>
      </c>
      <c r="L1008" t="s">
        <v>908</v>
      </c>
      <c r="M1008" t="s">
        <v>59</v>
      </c>
      <c r="O1008" t="s">
        <v>107</v>
      </c>
      <c r="P1008" t="s">
        <v>131</v>
      </c>
      <c r="R1008" t="s">
        <v>112</v>
      </c>
      <c r="S1008" t="s">
        <v>61</v>
      </c>
      <c r="T1008">
        <v>246.7</v>
      </c>
      <c r="U1008">
        <v>242</v>
      </c>
      <c r="V1008">
        <f>(T1008+U1008)/2</f>
        <v>244.35</v>
      </c>
      <c r="W1008">
        <f>T1008-U1008</f>
        <v>4.6999999999999886</v>
      </c>
      <c r="X1008">
        <v>-3.3055560000000002</v>
      </c>
      <c r="Y1008">
        <v>50.630001</v>
      </c>
      <c r="Z1008" t="s">
        <v>372</v>
      </c>
      <c r="AA1008" t="s">
        <v>78</v>
      </c>
      <c r="AB1008" t="s">
        <v>79</v>
      </c>
      <c r="AC1008" t="s">
        <v>909</v>
      </c>
      <c r="AD1008" t="s">
        <v>910</v>
      </c>
      <c r="AE1008" t="s">
        <v>422</v>
      </c>
      <c r="AH1008" t="s">
        <v>65</v>
      </c>
      <c r="AI1008" t="s">
        <v>430</v>
      </c>
      <c r="AJ1008">
        <v>1990</v>
      </c>
      <c r="AK1008" t="s">
        <v>956</v>
      </c>
      <c r="AN1008" t="s">
        <v>67</v>
      </c>
      <c r="AO1008" t="s">
        <v>68</v>
      </c>
      <c r="AP1008" t="s">
        <v>95</v>
      </c>
      <c r="AQ1008" t="s">
        <v>957</v>
      </c>
      <c r="AR1008" t="s">
        <v>70</v>
      </c>
      <c r="AS1008">
        <v>315</v>
      </c>
      <c r="AT1008" t="s">
        <v>71</v>
      </c>
      <c r="AU1008">
        <v>19.37</v>
      </c>
      <c r="AV1008">
        <v>27.76</v>
      </c>
      <c r="AW1008" t="s">
        <v>72</v>
      </c>
      <c r="AX1008">
        <v>315</v>
      </c>
      <c r="AY1008" t="s">
        <v>71</v>
      </c>
      <c r="AZ1008">
        <v>10.88</v>
      </c>
      <c r="BA1008">
        <v>13.7</v>
      </c>
      <c r="BB1008" t="s">
        <v>73</v>
      </c>
    </row>
    <row r="1009" spans="1:54" x14ac:dyDescent="0.4">
      <c r="A1009">
        <v>811360</v>
      </c>
      <c r="D1009" t="s">
        <v>54</v>
      </c>
      <c r="G1009">
        <v>1</v>
      </c>
      <c r="H1009" t="s">
        <v>74</v>
      </c>
      <c r="I1009" t="s">
        <v>57</v>
      </c>
      <c r="K1009" t="s">
        <v>355</v>
      </c>
      <c r="L1009" t="s">
        <v>451</v>
      </c>
      <c r="M1009" t="s">
        <v>59</v>
      </c>
      <c r="N1009" t="s">
        <v>97</v>
      </c>
      <c r="O1009" t="s">
        <v>179</v>
      </c>
      <c r="P1009" t="s">
        <v>131</v>
      </c>
      <c r="R1009" t="s">
        <v>112</v>
      </c>
      <c r="S1009" t="s">
        <v>61</v>
      </c>
      <c r="T1009">
        <v>246.7</v>
      </c>
      <c r="U1009">
        <v>242</v>
      </c>
      <c r="V1009">
        <f>(T1009+U1009)/2</f>
        <v>244.35</v>
      </c>
      <c r="W1009">
        <f>T1009-U1009</f>
        <v>4.6999999999999886</v>
      </c>
      <c r="X1009">
        <v>-3.266667</v>
      </c>
      <c r="Y1009">
        <v>50.666668000000001</v>
      </c>
      <c r="Z1009" t="s">
        <v>113</v>
      </c>
      <c r="AA1009" t="s">
        <v>78</v>
      </c>
      <c r="AB1009" t="s">
        <v>79</v>
      </c>
      <c r="AC1009" t="s">
        <v>909</v>
      </c>
      <c r="AD1009" t="s">
        <v>910</v>
      </c>
      <c r="AE1009" t="s">
        <v>422</v>
      </c>
      <c r="AH1009" t="s">
        <v>11</v>
      </c>
      <c r="AI1009" t="s">
        <v>958</v>
      </c>
      <c r="AJ1009">
        <v>1990</v>
      </c>
      <c r="AK1009" t="s">
        <v>959</v>
      </c>
      <c r="AN1009" t="s">
        <v>121</v>
      </c>
      <c r="AO1009" t="s">
        <v>106</v>
      </c>
      <c r="AP1009" t="s">
        <v>69</v>
      </c>
      <c r="AQ1009" t="s">
        <v>960</v>
      </c>
      <c r="AR1009" t="s">
        <v>70</v>
      </c>
      <c r="AS1009">
        <v>315</v>
      </c>
      <c r="AT1009" t="s">
        <v>71</v>
      </c>
      <c r="AU1009">
        <v>19.39</v>
      </c>
      <c r="AV1009">
        <v>27.8</v>
      </c>
      <c r="AW1009" t="s">
        <v>72</v>
      </c>
      <c r="AX1009">
        <v>315</v>
      </c>
      <c r="AY1009" t="s">
        <v>71</v>
      </c>
      <c r="AZ1009">
        <v>10.89</v>
      </c>
      <c r="BA1009">
        <v>13.75</v>
      </c>
      <c r="BB1009" t="s">
        <v>73</v>
      </c>
    </row>
    <row r="1010" spans="1:54" x14ac:dyDescent="0.4">
      <c r="A1010">
        <v>811363</v>
      </c>
      <c r="D1010" t="s">
        <v>54</v>
      </c>
      <c r="G1010">
        <v>1</v>
      </c>
      <c r="H1010" t="s">
        <v>74</v>
      </c>
      <c r="I1010" t="s">
        <v>57</v>
      </c>
      <c r="K1010" t="s">
        <v>373</v>
      </c>
      <c r="L1010" t="s">
        <v>908</v>
      </c>
      <c r="M1010" t="s">
        <v>59</v>
      </c>
      <c r="O1010" t="s">
        <v>107</v>
      </c>
      <c r="P1010" t="s">
        <v>131</v>
      </c>
      <c r="R1010" t="s">
        <v>112</v>
      </c>
      <c r="S1010" t="s">
        <v>61</v>
      </c>
      <c r="T1010">
        <v>246.7</v>
      </c>
      <c r="U1010">
        <v>242</v>
      </c>
      <c r="V1010">
        <f>(T1010+U1010)/2</f>
        <v>244.35</v>
      </c>
      <c r="W1010">
        <f>T1010-U1010</f>
        <v>4.6999999999999886</v>
      </c>
      <c r="X1010">
        <v>-3.2686109999999999</v>
      </c>
      <c r="Y1010">
        <v>50.665000999999997</v>
      </c>
      <c r="Z1010" t="s">
        <v>113</v>
      </c>
      <c r="AA1010" t="s">
        <v>78</v>
      </c>
      <c r="AB1010" t="s">
        <v>79</v>
      </c>
      <c r="AC1010" t="s">
        <v>909</v>
      </c>
      <c r="AD1010" t="s">
        <v>910</v>
      </c>
      <c r="AE1010" t="s">
        <v>422</v>
      </c>
      <c r="AH1010" t="s">
        <v>65</v>
      </c>
      <c r="AI1010" t="s">
        <v>430</v>
      </c>
      <c r="AJ1010">
        <v>1990</v>
      </c>
      <c r="AK1010" t="s">
        <v>961</v>
      </c>
      <c r="AN1010" t="s">
        <v>121</v>
      </c>
      <c r="AO1010" t="s">
        <v>68</v>
      </c>
      <c r="AP1010" t="s">
        <v>95</v>
      </c>
      <c r="AR1010" t="s">
        <v>70</v>
      </c>
      <c r="AS1010">
        <v>315</v>
      </c>
      <c r="AT1010" t="s">
        <v>71</v>
      </c>
      <c r="AU1010">
        <v>19.39</v>
      </c>
      <c r="AV1010">
        <v>27.8</v>
      </c>
      <c r="AW1010" t="s">
        <v>72</v>
      </c>
      <c r="AX1010">
        <v>315</v>
      </c>
      <c r="AY1010" t="s">
        <v>71</v>
      </c>
      <c r="AZ1010">
        <v>10.89</v>
      </c>
      <c r="BA1010">
        <v>13.74</v>
      </c>
      <c r="BB1010" t="s">
        <v>73</v>
      </c>
    </row>
    <row r="1011" spans="1:54" x14ac:dyDescent="0.4">
      <c r="A1011">
        <v>811364</v>
      </c>
      <c r="D1011" t="s">
        <v>54</v>
      </c>
      <c r="G1011">
        <v>1</v>
      </c>
      <c r="H1011" t="s">
        <v>74</v>
      </c>
      <c r="I1011" t="s">
        <v>57</v>
      </c>
      <c r="K1011" t="s">
        <v>373</v>
      </c>
      <c r="L1011" t="s">
        <v>908</v>
      </c>
      <c r="M1011" t="s">
        <v>59</v>
      </c>
      <c r="O1011" t="s">
        <v>107</v>
      </c>
      <c r="P1011" t="s">
        <v>131</v>
      </c>
      <c r="R1011" t="s">
        <v>112</v>
      </c>
      <c r="S1011" t="s">
        <v>61</v>
      </c>
      <c r="T1011">
        <v>246.7</v>
      </c>
      <c r="U1011">
        <v>242</v>
      </c>
      <c r="V1011">
        <f>(T1011+U1011)/2</f>
        <v>244.35</v>
      </c>
      <c r="W1011">
        <f>T1011-U1011</f>
        <v>4.6999999999999886</v>
      </c>
      <c r="X1011">
        <v>-3.2686109999999999</v>
      </c>
      <c r="Y1011">
        <v>50.663891</v>
      </c>
      <c r="Z1011" t="s">
        <v>113</v>
      </c>
      <c r="AA1011" t="s">
        <v>78</v>
      </c>
      <c r="AB1011" t="s">
        <v>79</v>
      </c>
      <c r="AC1011" t="s">
        <v>909</v>
      </c>
      <c r="AD1011" t="s">
        <v>910</v>
      </c>
      <c r="AE1011" t="s">
        <v>422</v>
      </c>
      <c r="AH1011" t="s">
        <v>65</v>
      </c>
      <c r="AI1011" t="s">
        <v>430</v>
      </c>
      <c r="AJ1011">
        <v>1990</v>
      </c>
      <c r="AK1011" t="s">
        <v>962</v>
      </c>
      <c r="AN1011" t="s">
        <v>121</v>
      </c>
      <c r="AO1011" t="s">
        <v>68</v>
      </c>
      <c r="AP1011" t="s">
        <v>95</v>
      </c>
      <c r="AR1011" t="s">
        <v>70</v>
      </c>
      <c r="AS1011">
        <v>315</v>
      </c>
      <c r="AT1011" t="s">
        <v>71</v>
      </c>
      <c r="AU1011">
        <v>19.39</v>
      </c>
      <c r="AV1011">
        <v>27.8</v>
      </c>
      <c r="AW1011" t="s">
        <v>72</v>
      </c>
      <c r="AX1011">
        <v>315</v>
      </c>
      <c r="AY1011" t="s">
        <v>71</v>
      </c>
      <c r="AZ1011">
        <v>10.89</v>
      </c>
      <c r="BA1011">
        <v>13.74</v>
      </c>
      <c r="BB1011" t="s">
        <v>73</v>
      </c>
    </row>
    <row r="1012" spans="1:54" x14ac:dyDescent="0.4">
      <c r="A1012">
        <v>818246</v>
      </c>
      <c r="D1012" t="s">
        <v>54</v>
      </c>
      <c r="G1012">
        <v>1</v>
      </c>
      <c r="H1012" t="s">
        <v>56</v>
      </c>
      <c r="I1012" t="s">
        <v>57</v>
      </c>
      <c r="K1012" t="s">
        <v>102</v>
      </c>
      <c r="L1012" t="s">
        <v>990</v>
      </c>
      <c r="M1012" t="s">
        <v>59</v>
      </c>
      <c r="P1012" t="s">
        <v>131</v>
      </c>
      <c r="R1012" t="s">
        <v>112</v>
      </c>
      <c r="S1012" t="s">
        <v>61</v>
      </c>
      <c r="T1012">
        <v>246.7</v>
      </c>
      <c r="U1012">
        <v>242</v>
      </c>
      <c r="V1012">
        <f>(T1012+U1012)/2</f>
        <v>244.35</v>
      </c>
      <c r="W1012">
        <f>T1012-U1012</f>
        <v>4.6999999999999886</v>
      </c>
      <c r="X1012">
        <v>79.683334000000002</v>
      </c>
      <c r="Y1012">
        <v>18.855556</v>
      </c>
      <c r="Z1012" t="s">
        <v>99</v>
      </c>
      <c r="AA1012" t="s">
        <v>417</v>
      </c>
      <c r="AB1012" t="s">
        <v>418</v>
      </c>
      <c r="AC1012" t="s">
        <v>419</v>
      </c>
      <c r="AD1012" t="s">
        <v>991</v>
      </c>
      <c r="AH1012" t="s">
        <v>65</v>
      </c>
      <c r="AI1012" t="s">
        <v>992</v>
      </c>
      <c r="AJ1012">
        <v>2005</v>
      </c>
      <c r="AK1012" t="s">
        <v>993</v>
      </c>
      <c r="AM1012" t="s">
        <v>994</v>
      </c>
      <c r="AN1012" t="s">
        <v>67</v>
      </c>
      <c r="AO1012" t="s">
        <v>68</v>
      </c>
      <c r="AP1012" t="s">
        <v>95</v>
      </c>
      <c r="AQ1012" t="s">
        <v>995</v>
      </c>
      <c r="AR1012" t="s">
        <v>70</v>
      </c>
      <c r="AS1012">
        <v>501</v>
      </c>
      <c r="AT1012" t="s">
        <v>71</v>
      </c>
      <c r="AU1012">
        <v>39.36</v>
      </c>
      <c r="AV1012">
        <v>-42.72</v>
      </c>
      <c r="AW1012" t="s">
        <v>72</v>
      </c>
      <c r="AX1012">
        <v>501</v>
      </c>
      <c r="AY1012" t="s">
        <v>71</v>
      </c>
      <c r="AZ1012">
        <v>48.27</v>
      </c>
      <c r="BA1012">
        <v>-51.58</v>
      </c>
      <c r="BB1012" t="s">
        <v>73</v>
      </c>
    </row>
    <row r="1013" spans="1:54" x14ac:dyDescent="0.4">
      <c r="A1013">
        <v>818246</v>
      </c>
      <c r="D1013" t="s">
        <v>54</v>
      </c>
      <c r="G1013">
        <v>1</v>
      </c>
      <c r="H1013" t="s">
        <v>56</v>
      </c>
      <c r="I1013" t="s">
        <v>57</v>
      </c>
      <c r="K1013" t="s">
        <v>102</v>
      </c>
      <c r="L1013" t="s">
        <v>990</v>
      </c>
      <c r="M1013" t="s">
        <v>59</v>
      </c>
      <c r="P1013" t="s">
        <v>131</v>
      </c>
      <c r="R1013" t="s">
        <v>112</v>
      </c>
      <c r="S1013" t="s">
        <v>61</v>
      </c>
      <c r="T1013">
        <v>246.7</v>
      </c>
      <c r="U1013">
        <v>242</v>
      </c>
      <c r="V1013">
        <f>(T1013+U1013)/2</f>
        <v>244.35</v>
      </c>
      <c r="W1013">
        <f>T1013-U1013</f>
        <v>4.6999999999999886</v>
      </c>
      <c r="X1013">
        <v>79.683334000000002</v>
      </c>
      <c r="Y1013">
        <v>18.855556</v>
      </c>
      <c r="Z1013" t="s">
        <v>99</v>
      </c>
      <c r="AA1013" t="s">
        <v>417</v>
      </c>
      <c r="AB1013" t="s">
        <v>418</v>
      </c>
      <c r="AC1013" t="s">
        <v>419</v>
      </c>
      <c r="AD1013" t="s">
        <v>991</v>
      </c>
      <c r="AH1013" t="s">
        <v>65</v>
      </c>
      <c r="AI1013" t="s">
        <v>992</v>
      </c>
      <c r="AJ1013">
        <v>2005</v>
      </c>
      <c r="AK1013" t="s">
        <v>993</v>
      </c>
      <c r="AM1013" t="s">
        <v>994</v>
      </c>
      <c r="AN1013" t="s">
        <v>67</v>
      </c>
      <c r="AO1013" t="s">
        <v>68</v>
      </c>
      <c r="AP1013" t="s">
        <v>95</v>
      </c>
      <c r="AQ1013" t="s">
        <v>995</v>
      </c>
      <c r="AR1013" t="s">
        <v>70</v>
      </c>
      <c r="AS1013">
        <v>501</v>
      </c>
      <c r="AT1013" t="s">
        <v>71</v>
      </c>
      <c r="AU1013">
        <v>39.36</v>
      </c>
      <c r="AV1013">
        <v>-42.72</v>
      </c>
      <c r="AW1013" t="s">
        <v>72</v>
      </c>
      <c r="AX1013">
        <v>501</v>
      </c>
      <c r="AY1013" t="s">
        <v>71</v>
      </c>
      <c r="AZ1013">
        <v>48.27</v>
      </c>
      <c r="BA1013">
        <v>-51.58</v>
      </c>
      <c r="BB1013" t="s">
        <v>73</v>
      </c>
    </row>
    <row r="1014" spans="1:54" x14ac:dyDescent="0.4">
      <c r="A1014">
        <v>818268</v>
      </c>
      <c r="D1014" t="s">
        <v>54</v>
      </c>
      <c r="G1014">
        <v>1</v>
      </c>
      <c r="H1014" t="s">
        <v>56</v>
      </c>
      <c r="I1014" t="s">
        <v>57</v>
      </c>
      <c r="K1014" t="s">
        <v>102</v>
      </c>
      <c r="L1014" t="s">
        <v>996</v>
      </c>
      <c r="M1014" t="s">
        <v>59</v>
      </c>
      <c r="P1014" t="s">
        <v>131</v>
      </c>
      <c r="R1014" t="s">
        <v>112</v>
      </c>
      <c r="S1014" t="s">
        <v>61</v>
      </c>
      <c r="T1014">
        <v>246.7</v>
      </c>
      <c r="U1014">
        <v>242</v>
      </c>
      <c r="V1014">
        <f>(T1014+U1014)/2</f>
        <v>244.35</v>
      </c>
      <c r="W1014">
        <f>T1014-U1014</f>
        <v>4.6999999999999886</v>
      </c>
      <c r="X1014">
        <v>79.683334000000002</v>
      </c>
      <c r="Y1014">
        <v>18.855556</v>
      </c>
      <c r="Z1014" t="s">
        <v>99</v>
      </c>
      <c r="AA1014" t="s">
        <v>417</v>
      </c>
      <c r="AB1014" t="s">
        <v>418</v>
      </c>
      <c r="AC1014" t="s">
        <v>419</v>
      </c>
      <c r="AD1014" t="s">
        <v>991</v>
      </c>
      <c r="AH1014" t="s">
        <v>65</v>
      </c>
      <c r="AI1014" t="s">
        <v>992</v>
      </c>
      <c r="AJ1014">
        <v>2003</v>
      </c>
      <c r="AK1014" t="s">
        <v>993</v>
      </c>
      <c r="AM1014" t="s">
        <v>994</v>
      </c>
      <c r="AN1014" t="s">
        <v>67</v>
      </c>
      <c r="AO1014" t="s">
        <v>68</v>
      </c>
      <c r="AP1014" t="s">
        <v>95</v>
      </c>
      <c r="AQ1014" t="s">
        <v>995</v>
      </c>
      <c r="AR1014" t="s">
        <v>70</v>
      </c>
      <c r="AS1014">
        <v>501</v>
      </c>
      <c r="AT1014" t="s">
        <v>71</v>
      </c>
      <c r="AU1014">
        <v>39.36</v>
      </c>
      <c r="AV1014">
        <v>-42.72</v>
      </c>
      <c r="AW1014" t="s">
        <v>72</v>
      </c>
      <c r="AX1014">
        <v>501</v>
      </c>
      <c r="AY1014" t="s">
        <v>71</v>
      </c>
      <c r="AZ1014">
        <v>48.27</v>
      </c>
      <c r="BA1014">
        <v>-51.58</v>
      </c>
      <c r="BB1014" t="s">
        <v>73</v>
      </c>
    </row>
    <row r="1015" spans="1:54" x14ac:dyDescent="0.4">
      <c r="A1015">
        <v>818268</v>
      </c>
      <c r="D1015" t="s">
        <v>54</v>
      </c>
      <c r="G1015">
        <v>1</v>
      </c>
      <c r="H1015" t="s">
        <v>56</v>
      </c>
      <c r="I1015" t="s">
        <v>57</v>
      </c>
      <c r="K1015" t="s">
        <v>102</v>
      </c>
      <c r="L1015" t="s">
        <v>996</v>
      </c>
      <c r="M1015" t="s">
        <v>59</v>
      </c>
      <c r="P1015" t="s">
        <v>131</v>
      </c>
      <c r="R1015" t="s">
        <v>112</v>
      </c>
      <c r="S1015" t="s">
        <v>61</v>
      </c>
      <c r="T1015">
        <v>246.7</v>
      </c>
      <c r="U1015">
        <v>242</v>
      </c>
      <c r="V1015">
        <f>(T1015+U1015)/2</f>
        <v>244.35</v>
      </c>
      <c r="W1015">
        <f>T1015-U1015</f>
        <v>4.6999999999999886</v>
      </c>
      <c r="X1015">
        <v>79.683334000000002</v>
      </c>
      <c r="Y1015">
        <v>18.855556</v>
      </c>
      <c r="Z1015" t="s">
        <v>99</v>
      </c>
      <c r="AA1015" t="s">
        <v>417</v>
      </c>
      <c r="AB1015" t="s">
        <v>418</v>
      </c>
      <c r="AC1015" t="s">
        <v>419</v>
      </c>
      <c r="AD1015" t="s">
        <v>991</v>
      </c>
      <c r="AH1015" t="s">
        <v>65</v>
      </c>
      <c r="AI1015" t="s">
        <v>992</v>
      </c>
      <c r="AJ1015">
        <v>2003</v>
      </c>
      <c r="AK1015" t="s">
        <v>993</v>
      </c>
      <c r="AM1015" t="s">
        <v>994</v>
      </c>
      <c r="AN1015" t="s">
        <v>67</v>
      </c>
      <c r="AO1015" t="s">
        <v>68</v>
      </c>
      <c r="AP1015" t="s">
        <v>95</v>
      </c>
      <c r="AQ1015" t="s">
        <v>995</v>
      </c>
      <c r="AR1015" t="s">
        <v>70</v>
      </c>
      <c r="AS1015">
        <v>501</v>
      </c>
      <c r="AT1015" t="s">
        <v>71</v>
      </c>
      <c r="AU1015">
        <v>39.36</v>
      </c>
      <c r="AV1015">
        <v>-42.72</v>
      </c>
      <c r="AW1015" t="s">
        <v>72</v>
      </c>
      <c r="AX1015">
        <v>501</v>
      </c>
      <c r="AY1015" t="s">
        <v>71</v>
      </c>
      <c r="AZ1015">
        <v>48.27</v>
      </c>
      <c r="BA1015">
        <v>-51.58</v>
      </c>
      <c r="BB1015" t="s">
        <v>73</v>
      </c>
    </row>
    <row r="1016" spans="1:54" x14ac:dyDescent="0.4">
      <c r="A1016">
        <v>818268</v>
      </c>
      <c r="D1016" t="s">
        <v>54</v>
      </c>
      <c r="G1016">
        <v>1</v>
      </c>
      <c r="H1016" t="s">
        <v>56</v>
      </c>
      <c r="I1016" t="s">
        <v>57</v>
      </c>
      <c r="K1016" t="s">
        <v>102</v>
      </c>
      <c r="L1016" t="s">
        <v>996</v>
      </c>
      <c r="M1016" t="s">
        <v>59</v>
      </c>
      <c r="P1016" t="s">
        <v>131</v>
      </c>
      <c r="R1016" t="s">
        <v>112</v>
      </c>
      <c r="S1016" t="s">
        <v>61</v>
      </c>
      <c r="T1016">
        <v>246.7</v>
      </c>
      <c r="U1016">
        <v>242</v>
      </c>
      <c r="V1016">
        <f>(T1016+U1016)/2</f>
        <v>244.35</v>
      </c>
      <c r="W1016">
        <f>T1016-U1016</f>
        <v>4.6999999999999886</v>
      </c>
      <c r="X1016">
        <v>79.683334000000002</v>
      </c>
      <c r="Y1016">
        <v>18.855556</v>
      </c>
      <c r="Z1016" t="s">
        <v>99</v>
      </c>
      <c r="AA1016" t="s">
        <v>417</v>
      </c>
      <c r="AB1016" t="s">
        <v>418</v>
      </c>
      <c r="AC1016" t="s">
        <v>419</v>
      </c>
      <c r="AD1016" t="s">
        <v>991</v>
      </c>
      <c r="AH1016" t="s">
        <v>65</v>
      </c>
      <c r="AI1016" t="s">
        <v>992</v>
      </c>
      <c r="AJ1016">
        <v>2003</v>
      </c>
      <c r="AK1016" t="s">
        <v>993</v>
      </c>
      <c r="AM1016" t="s">
        <v>994</v>
      </c>
      <c r="AN1016" t="s">
        <v>67</v>
      </c>
      <c r="AO1016" t="s">
        <v>68</v>
      </c>
      <c r="AP1016" t="s">
        <v>95</v>
      </c>
      <c r="AQ1016" t="s">
        <v>995</v>
      </c>
      <c r="AR1016" t="s">
        <v>70</v>
      </c>
      <c r="AS1016">
        <v>501</v>
      </c>
      <c r="AT1016" t="s">
        <v>71</v>
      </c>
      <c r="AU1016">
        <v>39.36</v>
      </c>
      <c r="AV1016">
        <v>-42.72</v>
      </c>
      <c r="AW1016" t="s">
        <v>72</v>
      </c>
      <c r="AX1016">
        <v>501</v>
      </c>
      <c r="AY1016" t="s">
        <v>71</v>
      </c>
      <c r="AZ1016">
        <v>48.27</v>
      </c>
      <c r="BA1016">
        <v>-51.58</v>
      </c>
      <c r="BB1016" t="s">
        <v>73</v>
      </c>
    </row>
    <row r="1017" spans="1:54" x14ac:dyDescent="0.4">
      <c r="A1017">
        <v>818268</v>
      </c>
      <c r="D1017" t="s">
        <v>54</v>
      </c>
      <c r="G1017">
        <v>1</v>
      </c>
      <c r="H1017" t="s">
        <v>56</v>
      </c>
      <c r="I1017" t="s">
        <v>57</v>
      </c>
      <c r="K1017" t="s">
        <v>102</v>
      </c>
      <c r="L1017" t="s">
        <v>996</v>
      </c>
      <c r="M1017" t="s">
        <v>59</v>
      </c>
      <c r="P1017" t="s">
        <v>131</v>
      </c>
      <c r="R1017" t="s">
        <v>112</v>
      </c>
      <c r="S1017" t="s">
        <v>61</v>
      </c>
      <c r="T1017">
        <v>246.7</v>
      </c>
      <c r="U1017">
        <v>242</v>
      </c>
      <c r="V1017">
        <f>(T1017+U1017)/2</f>
        <v>244.35</v>
      </c>
      <c r="W1017">
        <f>T1017-U1017</f>
        <v>4.6999999999999886</v>
      </c>
      <c r="X1017">
        <v>79.683334000000002</v>
      </c>
      <c r="Y1017">
        <v>18.855556</v>
      </c>
      <c r="Z1017" t="s">
        <v>99</v>
      </c>
      <c r="AA1017" t="s">
        <v>417</v>
      </c>
      <c r="AB1017" t="s">
        <v>418</v>
      </c>
      <c r="AC1017" t="s">
        <v>419</v>
      </c>
      <c r="AD1017" t="s">
        <v>991</v>
      </c>
      <c r="AH1017" t="s">
        <v>65</v>
      </c>
      <c r="AI1017" t="s">
        <v>992</v>
      </c>
      <c r="AJ1017">
        <v>2003</v>
      </c>
      <c r="AK1017" t="s">
        <v>993</v>
      </c>
      <c r="AM1017" t="s">
        <v>994</v>
      </c>
      <c r="AN1017" t="s">
        <v>67</v>
      </c>
      <c r="AO1017" t="s">
        <v>68</v>
      </c>
      <c r="AP1017" t="s">
        <v>95</v>
      </c>
      <c r="AQ1017" t="s">
        <v>995</v>
      </c>
      <c r="AR1017" t="s">
        <v>70</v>
      </c>
      <c r="AS1017">
        <v>501</v>
      </c>
      <c r="AT1017" t="s">
        <v>71</v>
      </c>
      <c r="AU1017">
        <v>39.36</v>
      </c>
      <c r="AV1017">
        <v>-42.72</v>
      </c>
      <c r="AW1017" t="s">
        <v>72</v>
      </c>
      <c r="AX1017">
        <v>501</v>
      </c>
      <c r="AY1017" t="s">
        <v>71</v>
      </c>
      <c r="AZ1017">
        <v>48.27</v>
      </c>
      <c r="BA1017">
        <v>-51.58</v>
      </c>
      <c r="BB1017" t="s">
        <v>73</v>
      </c>
    </row>
    <row r="1018" spans="1:54" x14ac:dyDescent="0.4">
      <c r="A1018">
        <v>818268</v>
      </c>
      <c r="D1018" t="s">
        <v>54</v>
      </c>
      <c r="G1018">
        <v>1</v>
      </c>
      <c r="H1018" t="s">
        <v>56</v>
      </c>
      <c r="I1018" t="s">
        <v>57</v>
      </c>
      <c r="K1018" t="s">
        <v>102</v>
      </c>
      <c r="L1018" t="s">
        <v>996</v>
      </c>
      <c r="M1018" t="s">
        <v>59</v>
      </c>
      <c r="P1018" t="s">
        <v>131</v>
      </c>
      <c r="R1018" t="s">
        <v>112</v>
      </c>
      <c r="S1018" t="s">
        <v>61</v>
      </c>
      <c r="T1018">
        <v>246.7</v>
      </c>
      <c r="U1018">
        <v>242</v>
      </c>
      <c r="V1018">
        <f>(T1018+U1018)/2</f>
        <v>244.35</v>
      </c>
      <c r="W1018">
        <f>T1018-U1018</f>
        <v>4.6999999999999886</v>
      </c>
      <c r="X1018">
        <v>79.683334000000002</v>
      </c>
      <c r="Y1018">
        <v>18.855556</v>
      </c>
      <c r="Z1018" t="s">
        <v>99</v>
      </c>
      <c r="AA1018" t="s">
        <v>417</v>
      </c>
      <c r="AB1018" t="s">
        <v>418</v>
      </c>
      <c r="AC1018" t="s">
        <v>419</v>
      </c>
      <c r="AD1018" t="s">
        <v>991</v>
      </c>
      <c r="AH1018" t="s">
        <v>65</v>
      </c>
      <c r="AI1018" t="s">
        <v>992</v>
      </c>
      <c r="AJ1018">
        <v>2003</v>
      </c>
      <c r="AK1018" t="s">
        <v>993</v>
      </c>
      <c r="AM1018" t="s">
        <v>994</v>
      </c>
      <c r="AN1018" t="s">
        <v>67</v>
      </c>
      <c r="AO1018" t="s">
        <v>68</v>
      </c>
      <c r="AP1018" t="s">
        <v>95</v>
      </c>
      <c r="AQ1018" t="s">
        <v>995</v>
      </c>
      <c r="AR1018" t="s">
        <v>70</v>
      </c>
      <c r="AS1018">
        <v>501</v>
      </c>
      <c r="AT1018" t="s">
        <v>71</v>
      </c>
      <c r="AU1018">
        <v>39.36</v>
      </c>
      <c r="AV1018">
        <v>-42.72</v>
      </c>
      <c r="AW1018" t="s">
        <v>72</v>
      </c>
      <c r="AX1018">
        <v>501</v>
      </c>
      <c r="AY1018" t="s">
        <v>71</v>
      </c>
      <c r="AZ1018">
        <v>48.27</v>
      </c>
      <c r="BA1018">
        <v>-51.58</v>
      </c>
      <c r="BB1018" t="s">
        <v>73</v>
      </c>
    </row>
    <row r="1019" spans="1:54" x14ac:dyDescent="0.4">
      <c r="A1019">
        <v>818268</v>
      </c>
      <c r="D1019" t="s">
        <v>54</v>
      </c>
      <c r="G1019">
        <v>1</v>
      </c>
      <c r="H1019" t="s">
        <v>56</v>
      </c>
      <c r="I1019" t="s">
        <v>57</v>
      </c>
      <c r="K1019" t="s">
        <v>102</v>
      </c>
      <c r="L1019" t="s">
        <v>996</v>
      </c>
      <c r="M1019" t="s">
        <v>59</v>
      </c>
      <c r="P1019" t="s">
        <v>131</v>
      </c>
      <c r="R1019" t="s">
        <v>112</v>
      </c>
      <c r="S1019" t="s">
        <v>61</v>
      </c>
      <c r="T1019">
        <v>246.7</v>
      </c>
      <c r="U1019">
        <v>242</v>
      </c>
      <c r="V1019">
        <f>(T1019+U1019)/2</f>
        <v>244.35</v>
      </c>
      <c r="W1019">
        <f>T1019-U1019</f>
        <v>4.6999999999999886</v>
      </c>
      <c r="X1019">
        <v>79.683334000000002</v>
      </c>
      <c r="Y1019">
        <v>18.855556</v>
      </c>
      <c r="Z1019" t="s">
        <v>99</v>
      </c>
      <c r="AA1019" t="s">
        <v>417</v>
      </c>
      <c r="AB1019" t="s">
        <v>418</v>
      </c>
      <c r="AC1019" t="s">
        <v>419</v>
      </c>
      <c r="AD1019" t="s">
        <v>991</v>
      </c>
      <c r="AH1019" t="s">
        <v>65</v>
      </c>
      <c r="AI1019" t="s">
        <v>992</v>
      </c>
      <c r="AJ1019">
        <v>2003</v>
      </c>
      <c r="AK1019" t="s">
        <v>993</v>
      </c>
      <c r="AM1019" t="s">
        <v>994</v>
      </c>
      <c r="AN1019" t="s">
        <v>67</v>
      </c>
      <c r="AO1019" t="s">
        <v>68</v>
      </c>
      <c r="AP1019" t="s">
        <v>95</v>
      </c>
      <c r="AQ1019" t="s">
        <v>995</v>
      </c>
      <c r="AR1019" t="s">
        <v>70</v>
      </c>
      <c r="AS1019">
        <v>501</v>
      </c>
      <c r="AT1019" t="s">
        <v>71</v>
      </c>
      <c r="AU1019">
        <v>39.36</v>
      </c>
      <c r="AV1019">
        <v>-42.72</v>
      </c>
      <c r="AW1019" t="s">
        <v>72</v>
      </c>
      <c r="AX1019">
        <v>501</v>
      </c>
      <c r="AY1019" t="s">
        <v>71</v>
      </c>
      <c r="AZ1019">
        <v>48.27</v>
      </c>
      <c r="BA1019">
        <v>-51.58</v>
      </c>
      <c r="BB1019" t="s">
        <v>73</v>
      </c>
    </row>
    <row r="1020" spans="1:54" x14ac:dyDescent="0.4">
      <c r="A1020">
        <v>820895</v>
      </c>
      <c r="D1020" t="s">
        <v>54</v>
      </c>
      <c r="E1020" t="s">
        <v>55</v>
      </c>
      <c r="F1020" t="s">
        <v>434</v>
      </c>
      <c r="G1020">
        <v>1</v>
      </c>
      <c r="H1020" t="s">
        <v>56</v>
      </c>
      <c r="I1020" t="s">
        <v>57</v>
      </c>
      <c r="K1020" t="s">
        <v>652</v>
      </c>
      <c r="L1020" t="s">
        <v>1006</v>
      </c>
      <c r="M1020" t="s">
        <v>59</v>
      </c>
      <c r="P1020" t="s">
        <v>131</v>
      </c>
      <c r="R1020" t="s">
        <v>112</v>
      </c>
      <c r="S1020" t="s">
        <v>61</v>
      </c>
      <c r="T1020">
        <v>246.7</v>
      </c>
      <c r="U1020">
        <v>242</v>
      </c>
      <c r="V1020">
        <f>(T1020+U1020)/2</f>
        <v>244.35</v>
      </c>
      <c r="W1020">
        <f>T1020-U1020</f>
        <v>4.6999999999999886</v>
      </c>
      <c r="X1020">
        <v>26.791668000000001</v>
      </c>
      <c r="Y1020">
        <v>-30.700001</v>
      </c>
      <c r="Z1020" t="s">
        <v>372</v>
      </c>
      <c r="AA1020" t="s">
        <v>86</v>
      </c>
      <c r="AB1020" t="s">
        <v>87</v>
      </c>
      <c r="AC1020" t="s">
        <v>776</v>
      </c>
      <c r="AD1020" t="s">
        <v>777</v>
      </c>
      <c r="AE1020" t="s">
        <v>90</v>
      </c>
      <c r="AG1020" t="s">
        <v>778</v>
      </c>
      <c r="AH1020" t="s">
        <v>65</v>
      </c>
      <c r="AI1020" t="s">
        <v>91</v>
      </c>
      <c r="AJ1020">
        <v>1906</v>
      </c>
      <c r="AK1020" t="s">
        <v>1007</v>
      </c>
      <c r="AM1020" t="s">
        <v>1008</v>
      </c>
      <c r="AN1020" t="s">
        <v>121</v>
      </c>
      <c r="AO1020" t="s">
        <v>106</v>
      </c>
      <c r="AP1020" t="s">
        <v>95</v>
      </c>
      <c r="AQ1020" t="s">
        <v>1009</v>
      </c>
      <c r="AR1020" t="s">
        <v>70</v>
      </c>
      <c r="AS1020">
        <v>701</v>
      </c>
      <c r="AT1020" t="s">
        <v>71</v>
      </c>
      <c r="AU1020">
        <v>-7.25</v>
      </c>
      <c r="AV1020">
        <v>-50.83</v>
      </c>
      <c r="AW1020" t="s">
        <v>72</v>
      </c>
      <c r="AX1020">
        <v>701</v>
      </c>
      <c r="AY1020" t="s">
        <v>71</v>
      </c>
      <c r="AZ1020">
        <v>-12.94</v>
      </c>
      <c r="BA1020">
        <v>-66.41</v>
      </c>
      <c r="BB1020" t="s">
        <v>73</v>
      </c>
    </row>
    <row r="1021" spans="1:54" x14ac:dyDescent="0.4">
      <c r="A1021">
        <v>832667</v>
      </c>
      <c r="D1021" t="s">
        <v>54</v>
      </c>
      <c r="G1021">
        <v>1</v>
      </c>
      <c r="H1021" t="s">
        <v>56</v>
      </c>
      <c r="I1021" t="s">
        <v>57</v>
      </c>
      <c r="K1021" t="s">
        <v>80</v>
      </c>
      <c r="L1021" t="s">
        <v>1021</v>
      </c>
      <c r="M1021" t="s">
        <v>59</v>
      </c>
      <c r="P1021" t="s">
        <v>131</v>
      </c>
      <c r="R1021" t="s">
        <v>112</v>
      </c>
      <c r="S1021" t="s">
        <v>61</v>
      </c>
      <c r="T1021">
        <v>246.7</v>
      </c>
      <c r="U1021">
        <v>242</v>
      </c>
      <c r="V1021">
        <f>(T1021+U1021)/2</f>
        <v>244.35</v>
      </c>
      <c r="W1021">
        <f>T1021-U1021</f>
        <v>4.6999999999999886</v>
      </c>
      <c r="X1021">
        <v>26.606943000000001</v>
      </c>
      <c r="Y1021">
        <v>-30.623332999999999</v>
      </c>
      <c r="Z1021" t="s">
        <v>372</v>
      </c>
      <c r="AA1021" t="s">
        <v>86</v>
      </c>
      <c r="AB1021" t="s">
        <v>546</v>
      </c>
      <c r="AC1021" t="s">
        <v>1022</v>
      </c>
      <c r="AD1021" t="s">
        <v>777</v>
      </c>
      <c r="AE1021" t="s">
        <v>90</v>
      </c>
      <c r="AG1021" t="s">
        <v>1023</v>
      </c>
      <c r="AH1021" t="s">
        <v>65</v>
      </c>
      <c r="AI1021" t="s">
        <v>554</v>
      </c>
      <c r="AJ1021">
        <v>1977</v>
      </c>
      <c r="AK1021" t="s">
        <v>1024</v>
      </c>
      <c r="AN1021" t="s">
        <v>177</v>
      </c>
      <c r="AO1021" t="s">
        <v>68</v>
      </c>
      <c r="AP1021" t="s">
        <v>95</v>
      </c>
      <c r="AQ1021" t="s">
        <v>1025</v>
      </c>
      <c r="AR1021" t="s">
        <v>70</v>
      </c>
      <c r="AS1021">
        <v>701</v>
      </c>
      <c r="AT1021" t="s">
        <v>71</v>
      </c>
      <c r="AU1021">
        <v>-7.32</v>
      </c>
      <c r="AV1021">
        <v>-50.66</v>
      </c>
      <c r="AW1021" t="s">
        <v>72</v>
      </c>
      <c r="AX1021">
        <v>701</v>
      </c>
      <c r="AY1021" t="s">
        <v>71</v>
      </c>
      <c r="AZ1021">
        <v>-13.05</v>
      </c>
      <c r="BA1021">
        <v>-66.239999999999995</v>
      </c>
      <c r="BB1021" t="s">
        <v>73</v>
      </c>
    </row>
    <row r="1022" spans="1:54" x14ac:dyDescent="0.4">
      <c r="A1022">
        <v>832667</v>
      </c>
      <c r="D1022" t="s">
        <v>54</v>
      </c>
      <c r="G1022">
        <v>1</v>
      </c>
      <c r="H1022" t="s">
        <v>56</v>
      </c>
      <c r="I1022" t="s">
        <v>57</v>
      </c>
      <c r="K1022" t="s">
        <v>80</v>
      </c>
      <c r="L1022" t="s">
        <v>1021</v>
      </c>
      <c r="M1022" t="s">
        <v>59</v>
      </c>
      <c r="P1022" t="s">
        <v>131</v>
      </c>
      <c r="R1022" t="s">
        <v>112</v>
      </c>
      <c r="S1022" t="s">
        <v>61</v>
      </c>
      <c r="T1022">
        <v>246.7</v>
      </c>
      <c r="U1022">
        <v>242</v>
      </c>
      <c r="V1022">
        <f>(T1022+U1022)/2</f>
        <v>244.35</v>
      </c>
      <c r="W1022">
        <f>T1022-U1022</f>
        <v>4.6999999999999886</v>
      </c>
      <c r="X1022">
        <v>26.606943000000001</v>
      </c>
      <c r="Y1022">
        <v>-30.623332999999999</v>
      </c>
      <c r="Z1022" t="s">
        <v>372</v>
      </c>
      <c r="AA1022" t="s">
        <v>86</v>
      </c>
      <c r="AB1022" t="s">
        <v>546</v>
      </c>
      <c r="AC1022" t="s">
        <v>1022</v>
      </c>
      <c r="AD1022" t="s">
        <v>777</v>
      </c>
      <c r="AE1022" t="s">
        <v>90</v>
      </c>
      <c r="AG1022" t="s">
        <v>1023</v>
      </c>
      <c r="AH1022" t="s">
        <v>65</v>
      </c>
      <c r="AI1022" t="s">
        <v>554</v>
      </c>
      <c r="AJ1022">
        <v>1977</v>
      </c>
      <c r="AK1022" t="s">
        <v>1024</v>
      </c>
      <c r="AN1022" t="s">
        <v>177</v>
      </c>
      <c r="AO1022" t="s">
        <v>68</v>
      </c>
      <c r="AP1022" t="s">
        <v>95</v>
      </c>
      <c r="AQ1022" t="s">
        <v>1025</v>
      </c>
      <c r="AR1022" t="s">
        <v>70</v>
      </c>
      <c r="AS1022">
        <v>701</v>
      </c>
      <c r="AT1022" t="s">
        <v>71</v>
      </c>
      <c r="AU1022">
        <v>-7.32</v>
      </c>
      <c r="AV1022">
        <v>-50.66</v>
      </c>
      <c r="AW1022" t="s">
        <v>72</v>
      </c>
      <c r="AX1022">
        <v>701</v>
      </c>
      <c r="AY1022" t="s">
        <v>71</v>
      </c>
      <c r="AZ1022">
        <v>-13.05</v>
      </c>
      <c r="BA1022">
        <v>-66.239999999999995</v>
      </c>
      <c r="BB1022" t="s">
        <v>73</v>
      </c>
    </row>
    <row r="1023" spans="1:54" x14ac:dyDescent="0.4">
      <c r="A1023">
        <v>832667</v>
      </c>
      <c r="D1023" t="s">
        <v>54</v>
      </c>
      <c r="G1023">
        <v>1</v>
      </c>
      <c r="H1023" t="s">
        <v>56</v>
      </c>
      <c r="I1023" t="s">
        <v>57</v>
      </c>
      <c r="K1023" t="s">
        <v>80</v>
      </c>
      <c r="L1023" t="s">
        <v>1021</v>
      </c>
      <c r="M1023" t="s">
        <v>59</v>
      </c>
      <c r="P1023" t="s">
        <v>131</v>
      </c>
      <c r="R1023" t="s">
        <v>112</v>
      </c>
      <c r="S1023" t="s">
        <v>61</v>
      </c>
      <c r="T1023">
        <v>246.7</v>
      </c>
      <c r="U1023">
        <v>242</v>
      </c>
      <c r="V1023">
        <f>(T1023+U1023)/2</f>
        <v>244.35</v>
      </c>
      <c r="W1023">
        <f>T1023-U1023</f>
        <v>4.6999999999999886</v>
      </c>
      <c r="X1023">
        <v>26.606943000000001</v>
      </c>
      <c r="Y1023">
        <v>-30.623332999999999</v>
      </c>
      <c r="Z1023" t="s">
        <v>372</v>
      </c>
      <c r="AA1023" t="s">
        <v>86</v>
      </c>
      <c r="AB1023" t="s">
        <v>546</v>
      </c>
      <c r="AC1023" t="s">
        <v>1022</v>
      </c>
      <c r="AD1023" t="s">
        <v>777</v>
      </c>
      <c r="AE1023" t="s">
        <v>90</v>
      </c>
      <c r="AG1023" t="s">
        <v>1023</v>
      </c>
      <c r="AH1023" t="s">
        <v>65</v>
      </c>
      <c r="AI1023" t="s">
        <v>554</v>
      </c>
      <c r="AJ1023">
        <v>1977</v>
      </c>
      <c r="AK1023" t="s">
        <v>1024</v>
      </c>
      <c r="AN1023" t="s">
        <v>177</v>
      </c>
      <c r="AO1023" t="s">
        <v>68</v>
      </c>
      <c r="AP1023" t="s">
        <v>95</v>
      </c>
      <c r="AQ1023" t="s">
        <v>1025</v>
      </c>
      <c r="AR1023" t="s">
        <v>70</v>
      </c>
      <c r="AS1023">
        <v>701</v>
      </c>
      <c r="AT1023" t="s">
        <v>71</v>
      </c>
      <c r="AU1023">
        <v>-7.32</v>
      </c>
      <c r="AV1023">
        <v>-50.66</v>
      </c>
      <c r="AW1023" t="s">
        <v>72</v>
      </c>
      <c r="AX1023">
        <v>701</v>
      </c>
      <c r="AY1023" t="s">
        <v>71</v>
      </c>
      <c r="AZ1023">
        <v>-13.05</v>
      </c>
      <c r="BA1023">
        <v>-66.239999999999995</v>
      </c>
      <c r="BB1023" t="s">
        <v>73</v>
      </c>
    </row>
    <row r="1024" spans="1:54" x14ac:dyDescent="0.4">
      <c r="A1024">
        <v>832667</v>
      </c>
      <c r="D1024" t="s">
        <v>54</v>
      </c>
      <c r="G1024">
        <v>1</v>
      </c>
      <c r="H1024" t="s">
        <v>56</v>
      </c>
      <c r="I1024" t="s">
        <v>57</v>
      </c>
      <c r="K1024" t="s">
        <v>80</v>
      </c>
      <c r="L1024" t="s">
        <v>1021</v>
      </c>
      <c r="M1024" t="s">
        <v>59</v>
      </c>
      <c r="P1024" t="s">
        <v>131</v>
      </c>
      <c r="R1024" t="s">
        <v>112</v>
      </c>
      <c r="S1024" t="s">
        <v>61</v>
      </c>
      <c r="T1024">
        <v>246.7</v>
      </c>
      <c r="U1024">
        <v>242</v>
      </c>
      <c r="V1024">
        <f>(T1024+U1024)/2</f>
        <v>244.35</v>
      </c>
      <c r="W1024">
        <f>T1024-U1024</f>
        <v>4.6999999999999886</v>
      </c>
      <c r="X1024">
        <v>26.606943000000001</v>
      </c>
      <c r="Y1024">
        <v>-30.623332999999999</v>
      </c>
      <c r="Z1024" t="s">
        <v>372</v>
      </c>
      <c r="AA1024" t="s">
        <v>86</v>
      </c>
      <c r="AB1024" t="s">
        <v>546</v>
      </c>
      <c r="AC1024" t="s">
        <v>1022</v>
      </c>
      <c r="AD1024" t="s">
        <v>777</v>
      </c>
      <c r="AE1024" t="s">
        <v>90</v>
      </c>
      <c r="AG1024" t="s">
        <v>1023</v>
      </c>
      <c r="AH1024" t="s">
        <v>65</v>
      </c>
      <c r="AI1024" t="s">
        <v>554</v>
      </c>
      <c r="AJ1024">
        <v>1977</v>
      </c>
      <c r="AK1024" t="s">
        <v>1024</v>
      </c>
      <c r="AN1024" t="s">
        <v>177</v>
      </c>
      <c r="AO1024" t="s">
        <v>68</v>
      </c>
      <c r="AP1024" t="s">
        <v>95</v>
      </c>
      <c r="AQ1024" t="s">
        <v>1025</v>
      </c>
      <c r="AR1024" t="s">
        <v>70</v>
      </c>
      <c r="AS1024">
        <v>701</v>
      </c>
      <c r="AT1024" t="s">
        <v>71</v>
      </c>
      <c r="AU1024">
        <v>-7.32</v>
      </c>
      <c r="AV1024">
        <v>-50.66</v>
      </c>
      <c r="AW1024" t="s">
        <v>72</v>
      </c>
      <c r="AX1024">
        <v>701</v>
      </c>
      <c r="AY1024" t="s">
        <v>71</v>
      </c>
      <c r="AZ1024">
        <v>-13.05</v>
      </c>
      <c r="BA1024">
        <v>-66.239999999999995</v>
      </c>
      <c r="BB1024" t="s">
        <v>73</v>
      </c>
    </row>
    <row r="1025" spans="1:54" x14ac:dyDescent="0.4">
      <c r="A1025">
        <v>832667</v>
      </c>
      <c r="D1025" t="s">
        <v>54</v>
      </c>
      <c r="G1025">
        <v>1</v>
      </c>
      <c r="H1025" t="s">
        <v>56</v>
      </c>
      <c r="I1025" t="s">
        <v>57</v>
      </c>
      <c r="K1025" t="s">
        <v>80</v>
      </c>
      <c r="L1025" t="s">
        <v>1021</v>
      </c>
      <c r="M1025" t="s">
        <v>59</v>
      </c>
      <c r="P1025" t="s">
        <v>131</v>
      </c>
      <c r="R1025" t="s">
        <v>112</v>
      </c>
      <c r="S1025" t="s">
        <v>61</v>
      </c>
      <c r="T1025">
        <v>246.7</v>
      </c>
      <c r="U1025">
        <v>242</v>
      </c>
      <c r="V1025">
        <f>(T1025+U1025)/2</f>
        <v>244.35</v>
      </c>
      <c r="W1025">
        <f>T1025-U1025</f>
        <v>4.6999999999999886</v>
      </c>
      <c r="X1025">
        <v>26.606943000000001</v>
      </c>
      <c r="Y1025">
        <v>-30.623332999999999</v>
      </c>
      <c r="Z1025" t="s">
        <v>372</v>
      </c>
      <c r="AA1025" t="s">
        <v>86</v>
      </c>
      <c r="AB1025" t="s">
        <v>546</v>
      </c>
      <c r="AC1025" t="s">
        <v>1022</v>
      </c>
      <c r="AD1025" t="s">
        <v>777</v>
      </c>
      <c r="AE1025" t="s">
        <v>90</v>
      </c>
      <c r="AG1025" t="s">
        <v>1023</v>
      </c>
      <c r="AH1025" t="s">
        <v>65</v>
      </c>
      <c r="AI1025" t="s">
        <v>554</v>
      </c>
      <c r="AJ1025">
        <v>1977</v>
      </c>
      <c r="AK1025" t="s">
        <v>1024</v>
      </c>
      <c r="AN1025" t="s">
        <v>177</v>
      </c>
      <c r="AO1025" t="s">
        <v>68</v>
      </c>
      <c r="AP1025" t="s">
        <v>95</v>
      </c>
      <c r="AQ1025" t="s">
        <v>1025</v>
      </c>
      <c r="AR1025" t="s">
        <v>70</v>
      </c>
      <c r="AS1025">
        <v>701</v>
      </c>
      <c r="AT1025" t="s">
        <v>71</v>
      </c>
      <c r="AU1025">
        <v>-7.32</v>
      </c>
      <c r="AV1025">
        <v>-50.66</v>
      </c>
      <c r="AW1025" t="s">
        <v>72</v>
      </c>
      <c r="AX1025">
        <v>701</v>
      </c>
      <c r="AY1025" t="s">
        <v>71</v>
      </c>
      <c r="AZ1025">
        <v>-13.05</v>
      </c>
      <c r="BA1025">
        <v>-66.239999999999995</v>
      </c>
      <c r="BB1025" t="s">
        <v>73</v>
      </c>
    </row>
    <row r="1026" spans="1:54" x14ac:dyDescent="0.4">
      <c r="A1026">
        <v>832669</v>
      </c>
      <c r="D1026" t="s">
        <v>54</v>
      </c>
      <c r="E1026" t="s">
        <v>55</v>
      </c>
      <c r="G1026">
        <v>1</v>
      </c>
      <c r="H1026" t="s">
        <v>56</v>
      </c>
      <c r="I1026" t="s">
        <v>57</v>
      </c>
      <c r="K1026" t="s">
        <v>80</v>
      </c>
      <c r="L1026" t="s">
        <v>1026</v>
      </c>
      <c r="M1026" t="s">
        <v>59</v>
      </c>
      <c r="P1026" t="s">
        <v>131</v>
      </c>
      <c r="R1026" t="s">
        <v>112</v>
      </c>
      <c r="S1026" t="s">
        <v>61</v>
      </c>
      <c r="T1026">
        <v>246.7</v>
      </c>
      <c r="U1026">
        <v>242</v>
      </c>
      <c r="V1026">
        <f>(T1026+U1026)/2</f>
        <v>244.35</v>
      </c>
      <c r="W1026">
        <f>T1026-U1026</f>
        <v>4.6999999999999886</v>
      </c>
      <c r="X1026">
        <v>26.111111000000001</v>
      </c>
      <c r="Y1026">
        <v>-30.906943999999999</v>
      </c>
      <c r="Z1026" t="s">
        <v>372</v>
      </c>
      <c r="AA1026" t="s">
        <v>86</v>
      </c>
      <c r="AB1026" t="s">
        <v>87</v>
      </c>
      <c r="AC1026" t="s">
        <v>1027</v>
      </c>
      <c r="AD1026" t="s">
        <v>777</v>
      </c>
      <c r="AE1026" t="s">
        <v>90</v>
      </c>
      <c r="AG1026" t="s">
        <v>1028</v>
      </c>
      <c r="AH1026" t="s">
        <v>65</v>
      </c>
      <c r="AI1026" t="s">
        <v>554</v>
      </c>
      <c r="AJ1026">
        <v>1977</v>
      </c>
      <c r="AK1026" t="s">
        <v>1029</v>
      </c>
      <c r="AM1026" t="s">
        <v>1030</v>
      </c>
      <c r="AN1026" t="s">
        <v>177</v>
      </c>
      <c r="AO1026" t="s">
        <v>68</v>
      </c>
      <c r="AP1026" t="s">
        <v>69</v>
      </c>
      <c r="AQ1026" t="s">
        <v>1031</v>
      </c>
      <c r="AR1026" t="s">
        <v>70</v>
      </c>
      <c r="AS1026">
        <v>701</v>
      </c>
      <c r="AT1026" t="s">
        <v>71</v>
      </c>
      <c r="AU1026">
        <v>-8.09</v>
      </c>
      <c r="AV1026">
        <v>-50.52</v>
      </c>
      <c r="AW1026" t="s">
        <v>72</v>
      </c>
      <c r="AX1026">
        <v>701</v>
      </c>
      <c r="AY1026" t="s">
        <v>71</v>
      </c>
      <c r="AZ1026">
        <v>-14.27</v>
      </c>
      <c r="BA1026">
        <v>-66.099999999999994</v>
      </c>
      <c r="BB1026" t="s">
        <v>73</v>
      </c>
    </row>
    <row r="1027" spans="1:54" x14ac:dyDescent="0.4">
      <c r="A1027">
        <v>832670</v>
      </c>
      <c r="D1027" t="s">
        <v>54</v>
      </c>
      <c r="G1027">
        <v>1</v>
      </c>
      <c r="H1027" t="s">
        <v>56</v>
      </c>
      <c r="I1027" t="s">
        <v>57</v>
      </c>
      <c r="K1027" t="s">
        <v>80</v>
      </c>
      <c r="L1027" t="s">
        <v>1032</v>
      </c>
      <c r="M1027" t="s">
        <v>59</v>
      </c>
      <c r="P1027" t="s">
        <v>131</v>
      </c>
      <c r="R1027" t="s">
        <v>112</v>
      </c>
      <c r="S1027" t="s">
        <v>61</v>
      </c>
      <c r="T1027">
        <v>246.7</v>
      </c>
      <c r="U1027">
        <v>242</v>
      </c>
      <c r="V1027">
        <f>(T1027+U1027)/2</f>
        <v>244.35</v>
      </c>
      <c r="W1027">
        <f>T1027-U1027</f>
        <v>4.6999999999999886</v>
      </c>
      <c r="X1027">
        <v>26.833331999999999</v>
      </c>
      <c r="Y1027">
        <v>-30.416668000000001</v>
      </c>
      <c r="Z1027" t="s">
        <v>372</v>
      </c>
      <c r="AA1027" t="s">
        <v>86</v>
      </c>
      <c r="AB1027" t="s">
        <v>546</v>
      </c>
      <c r="AC1027" t="s">
        <v>1022</v>
      </c>
      <c r="AD1027" t="s">
        <v>777</v>
      </c>
      <c r="AE1027" t="s">
        <v>90</v>
      </c>
      <c r="AG1027" t="s">
        <v>1028</v>
      </c>
      <c r="AH1027" t="s">
        <v>65</v>
      </c>
      <c r="AI1027" t="s">
        <v>554</v>
      </c>
      <c r="AJ1027">
        <v>1977</v>
      </c>
      <c r="AK1027" t="s">
        <v>1033</v>
      </c>
      <c r="AN1027" t="s">
        <v>94</v>
      </c>
      <c r="AO1027" t="s">
        <v>106</v>
      </c>
      <c r="AP1027" t="s">
        <v>95</v>
      </c>
      <c r="AQ1027" t="s">
        <v>1034</v>
      </c>
      <c r="AR1027" t="s">
        <v>70</v>
      </c>
      <c r="AS1027">
        <v>701</v>
      </c>
      <c r="AT1027" t="s">
        <v>71</v>
      </c>
      <c r="AU1027">
        <v>-6.87</v>
      </c>
      <c r="AV1027">
        <v>-50.68</v>
      </c>
      <c r="AW1027" t="s">
        <v>72</v>
      </c>
      <c r="AX1027">
        <v>701</v>
      </c>
      <c r="AY1027" t="s">
        <v>71</v>
      </c>
      <c r="AZ1027">
        <v>-12.35</v>
      </c>
      <c r="BA1027">
        <v>-66.25</v>
      </c>
      <c r="BB1027" t="s">
        <v>73</v>
      </c>
    </row>
    <row r="1028" spans="1:54" x14ac:dyDescent="0.4">
      <c r="A1028">
        <v>832670</v>
      </c>
      <c r="D1028" t="s">
        <v>54</v>
      </c>
      <c r="G1028">
        <v>1</v>
      </c>
      <c r="H1028" t="s">
        <v>56</v>
      </c>
      <c r="I1028" t="s">
        <v>57</v>
      </c>
      <c r="K1028" t="s">
        <v>80</v>
      </c>
      <c r="L1028" t="s">
        <v>1032</v>
      </c>
      <c r="M1028" t="s">
        <v>59</v>
      </c>
      <c r="P1028" t="s">
        <v>131</v>
      </c>
      <c r="R1028" t="s">
        <v>112</v>
      </c>
      <c r="S1028" t="s">
        <v>61</v>
      </c>
      <c r="T1028">
        <v>246.7</v>
      </c>
      <c r="U1028">
        <v>242</v>
      </c>
      <c r="V1028">
        <f>(T1028+U1028)/2</f>
        <v>244.35</v>
      </c>
      <c r="W1028">
        <f>T1028-U1028</f>
        <v>4.6999999999999886</v>
      </c>
      <c r="X1028">
        <v>26.833331999999999</v>
      </c>
      <c r="Y1028">
        <v>-30.416668000000001</v>
      </c>
      <c r="Z1028" t="s">
        <v>372</v>
      </c>
      <c r="AA1028" t="s">
        <v>86</v>
      </c>
      <c r="AB1028" t="s">
        <v>546</v>
      </c>
      <c r="AC1028" t="s">
        <v>1022</v>
      </c>
      <c r="AD1028" t="s">
        <v>777</v>
      </c>
      <c r="AE1028" t="s">
        <v>90</v>
      </c>
      <c r="AG1028" t="s">
        <v>1028</v>
      </c>
      <c r="AH1028" t="s">
        <v>65</v>
      </c>
      <c r="AI1028" t="s">
        <v>554</v>
      </c>
      <c r="AJ1028">
        <v>1977</v>
      </c>
      <c r="AK1028" t="s">
        <v>1033</v>
      </c>
      <c r="AN1028" t="s">
        <v>94</v>
      </c>
      <c r="AO1028" t="s">
        <v>106</v>
      </c>
      <c r="AP1028" t="s">
        <v>95</v>
      </c>
      <c r="AQ1028" t="s">
        <v>1034</v>
      </c>
      <c r="AR1028" t="s">
        <v>70</v>
      </c>
      <c r="AS1028">
        <v>701</v>
      </c>
      <c r="AT1028" t="s">
        <v>71</v>
      </c>
      <c r="AU1028">
        <v>-6.87</v>
      </c>
      <c r="AV1028">
        <v>-50.68</v>
      </c>
      <c r="AW1028" t="s">
        <v>72</v>
      </c>
      <c r="AX1028">
        <v>701</v>
      </c>
      <c r="AY1028" t="s">
        <v>71</v>
      </c>
      <c r="AZ1028">
        <v>-12.35</v>
      </c>
      <c r="BA1028">
        <v>-66.25</v>
      </c>
      <c r="BB1028" t="s">
        <v>73</v>
      </c>
    </row>
    <row r="1029" spans="1:54" x14ac:dyDescent="0.4">
      <c r="A1029">
        <v>832670</v>
      </c>
      <c r="D1029" t="s">
        <v>54</v>
      </c>
      <c r="G1029">
        <v>1</v>
      </c>
      <c r="H1029" t="s">
        <v>56</v>
      </c>
      <c r="I1029" t="s">
        <v>57</v>
      </c>
      <c r="K1029" t="s">
        <v>80</v>
      </c>
      <c r="L1029" t="s">
        <v>1032</v>
      </c>
      <c r="M1029" t="s">
        <v>59</v>
      </c>
      <c r="P1029" t="s">
        <v>131</v>
      </c>
      <c r="R1029" t="s">
        <v>112</v>
      </c>
      <c r="S1029" t="s">
        <v>61</v>
      </c>
      <c r="T1029">
        <v>246.7</v>
      </c>
      <c r="U1029">
        <v>242</v>
      </c>
      <c r="V1029">
        <f>(T1029+U1029)/2</f>
        <v>244.35</v>
      </c>
      <c r="W1029">
        <f>T1029-U1029</f>
        <v>4.6999999999999886</v>
      </c>
      <c r="X1029">
        <v>26.833331999999999</v>
      </c>
      <c r="Y1029">
        <v>-30.416668000000001</v>
      </c>
      <c r="Z1029" t="s">
        <v>372</v>
      </c>
      <c r="AA1029" t="s">
        <v>86</v>
      </c>
      <c r="AB1029" t="s">
        <v>546</v>
      </c>
      <c r="AC1029" t="s">
        <v>1022</v>
      </c>
      <c r="AD1029" t="s">
        <v>777</v>
      </c>
      <c r="AE1029" t="s">
        <v>90</v>
      </c>
      <c r="AG1029" t="s">
        <v>1028</v>
      </c>
      <c r="AH1029" t="s">
        <v>65</v>
      </c>
      <c r="AI1029" t="s">
        <v>554</v>
      </c>
      <c r="AJ1029">
        <v>1977</v>
      </c>
      <c r="AK1029" t="s">
        <v>1033</v>
      </c>
      <c r="AN1029" t="s">
        <v>94</v>
      </c>
      <c r="AO1029" t="s">
        <v>106</v>
      </c>
      <c r="AP1029" t="s">
        <v>95</v>
      </c>
      <c r="AQ1029" t="s">
        <v>1034</v>
      </c>
      <c r="AR1029" t="s">
        <v>70</v>
      </c>
      <c r="AS1029">
        <v>701</v>
      </c>
      <c r="AT1029" t="s">
        <v>71</v>
      </c>
      <c r="AU1029">
        <v>-6.87</v>
      </c>
      <c r="AV1029">
        <v>-50.68</v>
      </c>
      <c r="AW1029" t="s">
        <v>72</v>
      </c>
      <c r="AX1029">
        <v>701</v>
      </c>
      <c r="AY1029" t="s">
        <v>71</v>
      </c>
      <c r="AZ1029">
        <v>-12.35</v>
      </c>
      <c r="BA1029">
        <v>-66.25</v>
      </c>
      <c r="BB1029" t="s">
        <v>73</v>
      </c>
    </row>
    <row r="1030" spans="1:54" x14ac:dyDescent="0.4">
      <c r="A1030">
        <v>832671</v>
      </c>
      <c r="D1030" t="s">
        <v>54</v>
      </c>
      <c r="G1030">
        <v>1</v>
      </c>
      <c r="H1030" t="s">
        <v>56</v>
      </c>
      <c r="I1030" t="s">
        <v>57</v>
      </c>
      <c r="K1030" t="s">
        <v>80</v>
      </c>
      <c r="L1030" t="s">
        <v>1035</v>
      </c>
      <c r="M1030" t="s">
        <v>59</v>
      </c>
      <c r="P1030" t="s">
        <v>131</v>
      </c>
      <c r="R1030" t="s">
        <v>112</v>
      </c>
      <c r="S1030" t="s">
        <v>61</v>
      </c>
      <c r="T1030">
        <v>246.7</v>
      </c>
      <c r="U1030">
        <v>242</v>
      </c>
      <c r="V1030">
        <f>(T1030+U1030)/2</f>
        <v>244.35</v>
      </c>
      <c r="W1030">
        <f>T1030-U1030</f>
        <v>4.6999999999999886</v>
      </c>
      <c r="X1030">
        <v>26.833331999999999</v>
      </c>
      <c r="Y1030">
        <v>-30.416668000000001</v>
      </c>
      <c r="Z1030" t="s">
        <v>372</v>
      </c>
      <c r="AA1030" t="s">
        <v>86</v>
      </c>
      <c r="AB1030" t="s">
        <v>546</v>
      </c>
      <c r="AC1030" t="s">
        <v>1022</v>
      </c>
      <c r="AD1030" t="s">
        <v>777</v>
      </c>
      <c r="AE1030" t="s">
        <v>90</v>
      </c>
      <c r="AG1030" t="s">
        <v>1028</v>
      </c>
      <c r="AH1030" t="s">
        <v>65</v>
      </c>
      <c r="AI1030" t="s">
        <v>554</v>
      </c>
      <c r="AJ1030">
        <v>1977</v>
      </c>
      <c r="AK1030" t="s">
        <v>1033</v>
      </c>
      <c r="AN1030" t="s">
        <v>94</v>
      </c>
      <c r="AO1030" t="s">
        <v>106</v>
      </c>
      <c r="AP1030" t="s">
        <v>95</v>
      </c>
      <c r="AQ1030" t="s">
        <v>1034</v>
      </c>
      <c r="AR1030" t="s">
        <v>70</v>
      </c>
      <c r="AS1030">
        <v>701</v>
      </c>
      <c r="AT1030" t="s">
        <v>71</v>
      </c>
      <c r="AU1030">
        <v>-6.87</v>
      </c>
      <c r="AV1030">
        <v>-50.68</v>
      </c>
      <c r="AW1030" t="s">
        <v>72</v>
      </c>
      <c r="AX1030">
        <v>701</v>
      </c>
      <c r="AY1030" t="s">
        <v>71</v>
      </c>
      <c r="AZ1030">
        <v>-12.35</v>
      </c>
      <c r="BA1030">
        <v>-66.25</v>
      </c>
      <c r="BB1030" t="s">
        <v>73</v>
      </c>
    </row>
    <row r="1031" spans="1:54" x14ac:dyDescent="0.4">
      <c r="A1031">
        <v>833223</v>
      </c>
      <c r="D1031" t="s">
        <v>54</v>
      </c>
      <c r="E1031" t="s">
        <v>55</v>
      </c>
      <c r="G1031">
        <v>1</v>
      </c>
      <c r="H1031" t="s">
        <v>56</v>
      </c>
      <c r="I1031" t="s">
        <v>57</v>
      </c>
      <c r="K1031" t="s">
        <v>80</v>
      </c>
      <c r="L1031" t="s">
        <v>185</v>
      </c>
      <c r="M1031" t="s">
        <v>59</v>
      </c>
      <c r="P1031" t="s">
        <v>131</v>
      </c>
      <c r="R1031" t="s">
        <v>112</v>
      </c>
      <c r="S1031" t="s">
        <v>61</v>
      </c>
      <c r="T1031">
        <v>246.7</v>
      </c>
      <c r="U1031">
        <v>242</v>
      </c>
      <c r="V1031">
        <f>(T1031+U1031)/2</f>
        <v>244.35</v>
      </c>
      <c r="W1031">
        <f>T1031-U1031</f>
        <v>4.6999999999999886</v>
      </c>
      <c r="X1031">
        <v>110.966667</v>
      </c>
      <c r="Y1031">
        <v>39.683334000000002</v>
      </c>
      <c r="Z1031" t="s">
        <v>99</v>
      </c>
      <c r="AA1031" t="s">
        <v>186</v>
      </c>
      <c r="AB1031" t="s">
        <v>187</v>
      </c>
      <c r="AC1031" t="s">
        <v>188</v>
      </c>
      <c r="AD1031" t="s">
        <v>1053</v>
      </c>
      <c r="AF1031" t="s">
        <v>305</v>
      </c>
      <c r="AH1031" t="s">
        <v>65</v>
      </c>
      <c r="AI1031" t="s">
        <v>190</v>
      </c>
      <c r="AJ1031">
        <v>1983</v>
      </c>
      <c r="AK1031" t="s">
        <v>188</v>
      </c>
      <c r="AM1031" t="s">
        <v>1054</v>
      </c>
      <c r="AN1031" t="s">
        <v>121</v>
      </c>
      <c r="AO1031" t="s">
        <v>68</v>
      </c>
      <c r="AP1031" t="s">
        <v>69</v>
      </c>
      <c r="AQ1031" t="s">
        <v>1055</v>
      </c>
      <c r="AR1031" t="s">
        <v>70</v>
      </c>
      <c r="AS1031">
        <v>604</v>
      </c>
      <c r="AT1031" t="s">
        <v>71</v>
      </c>
      <c r="AU1031">
        <v>119.09</v>
      </c>
      <c r="AV1031">
        <v>16.34</v>
      </c>
      <c r="AW1031" t="s">
        <v>72</v>
      </c>
      <c r="AX1031">
        <v>604</v>
      </c>
      <c r="AY1031" t="s">
        <v>71</v>
      </c>
      <c r="AZ1031">
        <v>90.47</v>
      </c>
      <c r="BA1031">
        <v>39.57</v>
      </c>
      <c r="BB1031" t="s">
        <v>73</v>
      </c>
    </row>
    <row r="1032" spans="1:54" x14ac:dyDescent="0.4">
      <c r="A1032">
        <v>833317</v>
      </c>
      <c r="D1032" t="s">
        <v>108</v>
      </c>
      <c r="E1032" t="s">
        <v>104</v>
      </c>
      <c r="G1032">
        <v>1</v>
      </c>
      <c r="H1032" t="s">
        <v>56</v>
      </c>
      <c r="I1032" t="s">
        <v>57</v>
      </c>
      <c r="K1032" t="s">
        <v>80</v>
      </c>
      <c r="L1032" t="s">
        <v>1056</v>
      </c>
      <c r="M1032" t="s">
        <v>59</v>
      </c>
      <c r="P1032" t="s">
        <v>131</v>
      </c>
      <c r="R1032" t="s">
        <v>112</v>
      </c>
      <c r="S1032" t="s">
        <v>61</v>
      </c>
      <c r="T1032">
        <v>246.7</v>
      </c>
      <c r="U1032">
        <v>242</v>
      </c>
      <c r="V1032">
        <f>(T1032+U1032)/2</f>
        <v>244.35</v>
      </c>
      <c r="W1032">
        <f>T1032-U1032</f>
        <v>4.6999999999999886</v>
      </c>
      <c r="X1032">
        <v>113</v>
      </c>
      <c r="Y1032">
        <v>37.083331999999999</v>
      </c>
      <c r="Z1032" t="s">
        <v>99</v>
      </c>
      <c r="AA1032" t="s">
        <v>186</v>
      </c>
      <c r="AB1032" t="s">
        <v>503</v>
      </c>
      <c r="AC1032" t="s">
        <v>1057</v>
      </c>
      <c r="AD1032" t="s">
        <v>1053</v>
      </c>
      <c r="AF1032" t="s">
        <v>415</v>
      </c>
      <c r="AG1032" t="s">
        <v>1058</v>
      </c>
      <c r="AH1032" t="s">
        <v>65</v>
      </c>
      <c r="AI1032" t="s">
        <v>333</v>
      </c>
      <c r="AJ1032">
        <v>1957</v>
      </c>
      <c r="AK1032" t="s">
        <v>1059</v>
      </c>
      <c r="AM1032" t="s">
        <v>1060</v>
      </c>
      <c r="AN1032" t="s">
        <v>121</v>
      </c>
      <c r="AO1032" t="s">
        <v>106</v>
      </c>
      <c r="AP1032" t="s">
        <v>314</v>
      </c>
      <c r="AQ1032" t="s">
        <v>1061</v>
      </c>
      <c r="AR1032" t="s">
        <v>70</v>
      </c>
      <c r="AS1032">
        <v>604</v>
      </c>
      <c r="AT1032" t="s">
        <v>71</v>
      </c>
      <c r="AU1032">
        <v>118.32</v>
      </c>
      <c r="AV1032">
        <v>13.38</v>
      </c>
      <c r="AW1032" t="s">
        <v>72</v>
      </c>
      <c r="AX1032">
        <v>604</v>
      </c>
      <c r="AY1032" t="s">
        <v>71</v>
      </c>
      <c r="AZ1032">
        <v>91.79</v>
      </c>
      <c r="BA1032">
        <v>36.700000000000003</v>
      </c>
      <c r="BB1032" t="s">
        <v>73</v>
      </c>
    </row>
    <row r="1033" spans="1:54" x14ac:dyDescent="0.4">
      <c r="A1033">
        <v>838129</v>
      </c>
      <c r="D1033" t="s">
        <v>54</v>
      </c>
      <c r="E1033" t="s">
        <v>55</v>
      </c>
      <c r="G1033">
        <v>1</v>
      </c>
      <c r="H1033" t="s">
        <v>228</v>
      </c>
      <c r="I1033" t="s">
        <v>57</v>
      </c>
      <c r="K1033" t="s">
        <v>279</v>
      </c>
      <c r="L1033" t="s">
        <v>1130</v>
      </c>
      <c r="M1033" t="s">
        <v>59</v>
      </c>
      <c r="O1033" t="s">
        <v>76</v>
      </c>
      <c r="P1033" t="s">
        <v>131</v>
      </c>
      <c r="R1033" t="s">
        <v>112</v>
      </c>
      <c r="S1033" t="s">
        <v>61</v>
      </c>
      <c r="T1033">
        <v>246.7</v>
      </c>
      <c r="U1033">
        <v>242</v>
      </c>
      <c r="V1033">
        <f>(T1033+U1033)/2</f>
        <v>244.35</v>
      </c>
      <c r="W1033">
        <f>T1033-U1033</f>
        <v>4.6999999999999886</v>
      </c>
      <c r="X1033">
        <v>35.216667000000001</v>
      </c>
      <c r="Y1033">
        <v>-10.336111000000001</v>
      </c>
      <c r="Z1033" t="s">
        <v>454</v>
      </c>
      <c r="AA1033" t="s">
        <v>455</v>
      </c>
      <c r="AB1033" t="s">
        <v>456</v>
      </c>
      <c r="AD1033" t="s">
        <v>458</v>
      </c>
      <c r="AF1033" t="s">
        <v>459</v>
      </c>
      <c r="AG1033" t="s">
        <v>460</v>
      </c>
      <c r="AH1033" t="s">
        <v>65</v>
      </c>
      <c r="AI1033" t="s">
        <v>1131</v>
      </c>
      <c r="AJ1033">
        <v>1967</v>
      </c>
      <c r="AK1033" t="s">
        <v>1132</v>
      </c>
      <c r="AM1033" t="s">
        <v>1133</v>
      </c>
      <c r="AN1033" t="s">
        <v>94</v>
      </c>
      <c r="AO1033" t="s">
        <v>68</v>
      </c>
      <c r="AP1033" t="s">
        <v>95</v>
      </c>
      <c r="AQ1033" t="s">
        <v>1134</v>
      </c>
      <c r="AR1033" t="s">
        <v>70</v>
      </c>
      <c r="AS1033">
        <v>701</v>
      </c>
      <c r="AT1033" t="s">
        <v>71</v>
      </c>
      <c r="AU1033">
        <v>20.49</v>
      </c>
      <c r="AV1033">
        <v>-40.44</v>
      </c>
      <c r="AW1033" t="s">
        <v>72</v>
      </c>
      <c r="AX1033">
        <v>709</v>
      </c>
      <c r="AY1033" t="s">
        <v>71</v>
      </c>
      <c r="AZ1033">
        <v>22.47</v>
      </c>
      <c r="BA1033">
        <v>-53.45</v>
      </c>
      <c r="BB1033" t="s">
        <v>73</v>
      </c>
    </row>
    <row r="1034" spans="1:54" x14ac:dyDescent="0.4">
      <c r="A1034">
        <v>839581</v>
      </c>
      <c r="D1034" t="s">
        <v>54</v>
      </c>
      <c r="G1034">
        <v>1</v>
      </c>
      <c r="H1034" t="s">
        <v>56</v>
      </c>
      <c r="I1034" t="s">
        <v>57</v>
      </c>
      <c r="K1034" t="s">
        <v>80</v>
      </c>
      <c r="L1034" t="s">
        <v>517</v>
      </c>
      <c r="M1034" t="s">
        <v>59</v>
      </c>
      <c r="P1034" t="s">
        <v>131</v>
      </c>
      <c r="R1034" t="s">
        <v>112</v>
      </c>
      <c r="S1034" t="s">
        <v>61</v>
      </c>
      <c r="T1034">
        <v>246.7</v>
      </c>
      <c r="U1034">
        <v>242</v>
      </c>
      <c r="V1034">
        <f>(T1034+U1034)/2</f>
        <v>244.35</v>
      </c>
      <c r="W1034">
        <f>T1034-U1034</f>
        <v>4.6999999999999886</v>
      </c>
      <c r="X1034">
        <v>55.429169000000002</v>
      </c>
      <c r="Y1034">
        <v>51.420833999999999</v>
      </c>
      <c r="Z1034" t="s">
        <v>396</v>
      </c>
      <c r="AA1034" t="s">
        <v>139</v>
      </c>
      <c r="AB1034" t="s">
        <v>316</v>
      </c>
      <c r="AC1034" t="s">
        <v>1175</v>
      </c>
      <c r="AD1034" t="s">
        <v>1176</v>
      </c>
      <c r="AH1034" t="s">
        <v>65</v>
      </c>
      <c r="AI1034" t="s">
        <v>716</v>
      </c>
      <c r="AJ1034">
        <v>2003</v>
      </c>
      <c r="AK1034" t="s">
        <v>1177</v>
      </c>
      <c r="AN1034" t="s">
        <v>94</v>
      </c>
      <c r="AO1034" t="s">
        <v>68</v>
      </c>
      <c r="AP1034" t="s">
        <v>69</v>
      </c>
      <c r="AQ1034" t="s">
        <v>1178</v>
      </c>
      <c r="AR1034" t="s">
        <v>70</v>
      </c>
      <c r="AS1034">
        <v>302</v>
      </c>
      <c r="AT1034" t="s">
        <v>71</v>
      </c>
      <c r="AU1034">
        <v>60.36</v>
      </c>
      <c r="AV1034">
        <v>41</v>
      </c>
      <c r="AW1034" t="s">
        <v>72</v>
      </c>
      <c r="AX1034">
        <v>301</v>
      </c>
      <c r="AY1034" t="s">
        <v>71</v>
      </c>
      <c r="AZ1034">
        <v>43.79</v>
      </c>
      <c r="BA1034">
        <v>33.78</v>
      </c>
      <c r="BB1034" t="s">
        <v>73</v>
      </c>
    </row>
    <row r="1035" spans="1:54" x14ac:dyDescent="0.4">
      <c r="A1035">
        <v>839583</v>
      </c>
      <c r="D1035" t="s">
        <v>54</v>
      </c>
      <c r="G1035">
        <v>4</v>
      </c>
      <c r="H1035" t="s">
        <v>74</v>
      </c>
      <c r="I1035" t="s">
        <v>57</v>
      </c>
      <c r="K1035" t="s">
        <v>102</v>
      </c>
      <c r="L1035" t="s">
        <v>1179</v>
      </c>
      <c r="M1035" t="s">
        <v>59</v>
      </c>
      <c r="P1035" t="s">
        <v>131</v>
      </c>
      <c r="R1035" t="s">
        <v>112</v>
      </c>
      <c r="S1035" t="s">
        <v>61</v>
      </c>
      <c r="T1035">
        <v>246.7</v>
      </c>
      <c r="U1035">
        <v>242</v>
      </c>
      <c r="V1035">
        <f>(T1035+U1035)/2</f>
        <v>244.35</v>
      </c>
      <c r="W1035">
        <f>T1035-U1035</f>
        <v>4.6999999999999886</v>
      </c>
      <c r="X1035">
        <v>55.429169000000002</v>
      </c>
      <c r="Y1035">
        <v>51.420833999999999</v>
      </c>
      <c r="Z1035" t="s">
        <v>396</v>
      </c>
      <c r="AA1035" t="s">
        <v>139</v>
      </c>
      <c r="AB1035" t="s">
        <v>316</v>
      </c>
      <c r="AC1035" t="s">
        <v>1175</v>
      </c>
      <c r="AD1035" t="s">
        <v>1176</v>
      </c>
      <c r="AH1035" t="s">
        <v>65</v>
      </c>
      <c r="AI1035" t="s">
        <v>656</v>
      </c>
      <c r="AJ1035">
        <v>2000</v>
      </c>
      <c r="AK1035" t="s">
        <v>1177</v>
      </c>
      <c r="AN1035" t="s">
        <v>94</v>
      </c>
      <c r="AO1035" t="s">
        <v>68</v>
      </c>
      <c r="AP1035" t="s">
        <v>69</v>
      </c>
      <c r="AQ1035" t="s">
        <v>1178</v>
      </c>
      <c r="AR1035" t="s">
        <v>70</v>
      </c>
      <c r="AS1035">
        <v>302</v>
      </c>
      <c r="AT1035" t="s">
        <v>71</v>
      </c>
      <c r="AU1035">
        <v>60.36</v>
      </c>
      <c r="AV1035">
        <v>41</v>
      </c>
      <c r="AW1035" t="s">
        <v>72</v>
      </c>
      <c r="AX1035">
        <v>301</v>
      </c>
      <c r="AY1035" t="s">
        <v>71</v>
      </c>
      <c r="AZ1035">
        <v>43.79</v>
      </c>
      <c r="BA1035">
        <v>33.78</v>
      </c>
      <c r="BB1035" t="s">
        <v>73</v>
      </c>
    </row>
    <row r="1036" spans="1:54" x14ac:dyDescent="0.4">
      <c r="A1036">
        <v>843770</v>
      </c>
      <c r="D1036" t="s">
        <v>54</v>
      </c>
      <c r="G1036">
        <v>1</v>
      </c>
      <c r="H1036" t="s">
        <v>56</v>
      </c>
      <c r="I1036" t="s">
        <v>57</v>
      </c>
      <c r="K1036" t="s">
        <v>80</v>
      </c>
      <c r="L1036" t="s">
        <v>1021</v>
      </c>
      <c r="M1036" t="s">
        <v>59</v>
      </c>
      <c r="P1036" t="s">
        <v>131</v>
      </c>
      <c r="R1036" t="s">
        <v>112</v>
      </c>
      <c r="S1036" t="s">
        <v>61</v>
      </c>
      <c r="T1036">
        <v>246.7</v>
      </c>
      <c r="U1036">
        <v>242</v>
      </c>
      <c r="V1036">
        <f>(T1036+U1036)/2</f>
        <v>244.35</v>
      </c>
      <c r="W1036">
        <f>T1036-U1036</f>
        <v>4.6999999999999886</v>
      </c>
      <c r="X1036">
        <v>26.606943000000001</v>
      </c>
      <c r="Y1036">
        <v>-30.623332999999999</v>
      </c>
      <c r="Z1036" t="s">
        <v>372</v>
      </c>
      <c r="AA1036" t="s">
        <v>86</v>
      </c>
      <c r="AB1036" t="s">
        <v>546</v>
      </c>
      <c r="AC1036" t="s">
        <v>1022</v>
      </c>
      <c r="AD1036" t="s">
        <v>777</v>
      </c>
      <c r="AE1036" t="s">
        <v>90</v>
      </c>
      <c r="AG1036" t="s">
        <v>1023</v>
      </c>
      <c r="AH1036" t="s">
        <v>65</v>
      </c>
      <c r="AI1036" t="s">
        <v>1017</v>
      </c>
      <c r="AJ1036">
        <v>2008</v>
      </c>
      <c r="AK1036" t="s">
        <v>1024</v>
      </c>
      <c r="AN1036" t="s">
        <v>177</v>
      </c>
      <c r="AO1036" t="s">
        <v>68</v>
      </c>
      <c r="AP1036" t="s">
        <v>95</v>
      </c>
      <c r="AQ1036" t="s">
        <v>1025</v>
      </c>
      <c r="AR1036" t="s">
        <v>70</v>
      </c>
      <c r="AS1036">
        <v>701</v>
      </c>
      <c r="AT1036" t="s">
        <v>71</v>
      </c>
      <c r="AU1036">
        <v>-7.32</v>
      </c>
      <c r="AV1036">
        <v>-50.66</v>
      </c>
      <c r="AW1036" t="s">
        <v>72</v>
      </c>
      <c r="AX1036">
        <v>701</v>
      </c>
      <c r="AY1036" t="s">
        <v>71</v>
      </c>
      <c r="AZ1036">
        <v>-13.05</v>
      </c>
      <c r="BA1036">
        <v>-66.239999999999995</v>
      </c>
      <c r="BB1036" t="s">
        <v>73</v>
      </c>
    </row>
    <row r="1037" spans="1:54" x14ac:dyDescent="0.4">
      <c r="A1037">
        <v>851246</v>
      </c>
      <c r="D1037" t="s">
        <v>54</v>
      </c>
      <c r="E1037" t="s">
        <v>55</v>
      </c>
      <c r="F1037" t="s">
        <v>434</v>
      </c>
      <c r="G1037">
        <v>1</v>
      </c>
      <c r="H1037" t="s">
        <v>56</v>
      </c>
      <c r="I1037" t="s">
        <v>57</v>
      </c>
      <c r="K1037" t="s">
        <v>109</v>
      </c>
      <c r="L1037" t="s">
        <v>1292</v>
      </c>
      <c r="M1037" t="s">
        <v>59</v>
      </c>
      <c r="N1037" t="s">
        <v>97</v>
      </c>
      <c r="P1037" t="s">
        <v>131</v>
      </c>
      <c r="R1037" t="s">
        <v>112</v>
      </c>
      <c r="S1037" t="s">
        <v>61</v>
      </c>
      <c r="T1037">
        <v>246.7</v>
      </c>
      <c r="U1037">
        <v>242</v>
      </c>
      <c r="V1037">
        <f>(T1037+U1037)/2</f>
        <v>244.35</v>
      </c>
      <c r="W1037">
        <f>T1037-U1037</f>
        <v>4.6999999999999886</v>
      </c>
      <c r="X1037">
        <v>35.133330999999998</v>
      </c>
      <c r="Y1037">
        <v>-10.3</v>
      </c>
      <c r="Z1037" t="s">
        <v>239</v>
      </c>
      <c r="AA1037" t="s">
        <v>455</v>
      </c>
      <c r="AB1037" t="s">
        <v>456</v>
      </c>
      <c r="AD1037" t="s">
        <v>458</v>
      </c>
      <c r="AF1037" t="s">
        <v>459</v>
      </c>
      <c r="AG1037" t="s">
        <v>460</v>
      </c>
      <c r="AH1037" t="s">
        <v>65</v>
      </c>
      <c r="AI1037" t="s">
        <v>413</v>
      </c>
      <c r="AJ1037">
        <v>2010</v>
      </c>
      <c r="AK1037" t="s">
        <v>1293</v>
      </c>
      <c r="AM1037" t="s">
        <v>1294</v>
      </c>
      <c r="AN1037" t="s">
        <v>94</v>
      </c>
      <c r="AO1037" t="s">
        <v>106</v>
      </c>
      <c r="AP1037" t="s">
        <v>95</v>
      </c>
      <c r="AQ1037" t="s">
        <v>1295</v>
      </c>
      <c r="AR1037" t="s">
        <v>70</v>
      </c>
      <c r="AS1037">
        <v>701</v>
      </c>
      <c r="AT1037" t="s">
        <v>71</v>
      </c>
      <c r="AU1037">
        <v>20.43</v>
      </c>
      <c r="AV1037">
        <v>-40.369999999999997</v>
      </c>
      <c r="AW1037" t="s">
        <v>72</v>
      </c>
      <c r="AX1037">
        <v>709</v>
      </c>
      <c r="AY1037" t="s">
        <v>71</v>
      </c>
      <c r="AZ1037">
        <v>22.36</v>
      </c>
      <c r="BA1037">
        <v>-53.39</v>
      </c>
      <c r="BB1037" t="s">
        <v>73</v>
      </c>
    </row>
    <row r="1038" spans="1:54" x14ac:dyDescent="0.4">
      <c r="A1038">
        <v>851246</v>
      </c>
      <c r="D1038" t="s">
        <v>54</v>
      </c>
      <c r="E1038" t="s">
        <v>55</v>
      </c>
      <c r="F1038" t="s">
        <v>434</v>
      </c>
      <c r="G1038">
        <v>1</v>
      </c>
      <c r="H1038" t="s">
        <v>56</v>
      </c>
      <c r="I1038" t="s">
        <v>57</v>
      </c>
      <c r="K1038" t="s">
        <v>109</v>
      </c>
      <c r="L1038" t="s">
        <v>1292</v>
      </c>
      <c r="M1038" t="s">
        <v>59</v>
      </c>
      <c r="N1038" t="s">
        <v>97</v>
      </c>
      <c r="P1038" t="s">
        <v>131</v>
      </c>
      <c r="R1038" t="s">
        <v>112</v>
      </c>
      <c r="S1038" t="s">
        <v>61</v>
      </c>
      <c r="T1038">
        <v>246.7</v>
      </c>
      <c r="U1038">
        <v>242</v>
      </c>
      <c r="V1038">
        <f>(T1038+U1038)/2</f>
        <v>244.35</v>
      </c>
      <c r="W1038">
        <f>T1038-U1038</f>
        <v>4.6999999999999886</v>
      </c>
      <c r="X1038">
        <v>35.133330999999998</v>
      </c>
      <c r="Y1038">
        <v>-10.3</v>
      </c>
      <c r="Z1038" t="s">
        <v>239</v>
      </c>
      <c r="AA1038" t="s">
        <v>455</v>
      </c>
      <c r="AB1038" t="s">
        <v>456</v>
      </c>
      <c r="AD1038" t="s">
        <v>458</v>
      </c>
      <c r="AF1038" t="s">
        <v>459</v>
      </c>
      <c r="AG1038" t="s">
        <v>460</v>
      </c>
      <c r="AH1038" t="s">
        <v>65</v>
      </c>
      <c r="AI1038" t="s">
        <v>413</v>
      </c>
      <c r="AJ1038">
        <v>2010</v>
      </c>
      <c r="AK1038" t="s">
        <v>1293</v>
      </c>
      <c r="AM1038" t="s">
        <v>1294</v>
      </c>
      <c r="AN1038" t="s">
        <v>94</v>
      </c>
      <c r="AO1038" t="s">
        <v>106</v>
      </c>
      <c r="AP1038" t="s">
        <v>95</v>
      </c>
      <c r="AQ1038" t="s">
        <v>1295</v>
      </c>
      <c r="AR1038" t="s">
        <v>70</v>
      </c>
      <c r="AS1038">
        <v>701</v>
      </c>
      <c r="AT1038" t="s">
        <v>71</v>
      </c>
      <c r="AU1038">
        <v>20.43</v>
      </c>
      <c r="AV1038">
        <v>-40.369999999999997</v>
      </c>
      <c r="AW1038" t="s">
        <v>72</v>
      </c>
      <c r="AX1038">
        <v>709</v>
      </c>
      <c r="AY1038" t="s">
        <v>71</v>
      </c>
      <c r="AZ1038">
        <v>22.36</v>
      </c>
      <c r="BA1038">
        <v>-53.39</v>
      </c>
      <c r="BB1038" t="s">
        <v>73</v>
      </c>
    </row>
    <row r="1039" spans="1:54" x14ac:dyDescent="0.4">
      <c r="A1039">
        <v>851246</v>
      </c>
      <c r="D1039" t="s">
        <v>54</v>
      </c>
      <c r="E1039" t="s">
        <v>55</v>
      </c>
      <c r="F1039" t="s">
        <v>434</v>
      </c>
      <c r="G1039">
        <v>1</v>
      </c>
      <c r="H1039" t="s">
        <v>56</v>
      </c>
      <c r="I1039" t="s">
        <v>57</v>
      </c>
      <c r="K1039" t="s">
        <v>109</v>
      </c>
      <c r="L1039" t="s">
        <v>1292</v>
      </c>
      <c r="M1039" t="s">
        <v>59</v>
      </c>
      <c r="N1039" t="s">
        <v>97</v>
      </c>
      <c r="P1039" t="s">
        <v>131</v>
      </c>
      <c r="R1039" t="s">
        <v>112</v>
      </c>
      <c r="S1039" t="s">
        <v>61</v>
      </c>
      <c r="T1039">
        <v>246.7</v>
      </c>
      <c r="U1039">
        <v>242</v>
      </c>
      <c r="V1039">
        <f>(T1039+U1039)/2</f>
        <v>244.35</v>
      </c>
      <c r="W1039">
        <f>T1039-U1039</f>
        <v>4.6999999999999886</v>
      </c>
      <c r="X1039">
        <v>35.133330999999998</v>
      </c>
      <c r="Y1039">
        <v>-10.3</v>
      </c>
      <c r="Z1039" t="s">
        <v>239</v>
      </c>
      <c r="AA1039" t="s">
        <v>455</v>
      </c>
      <c r="AB1039" t="s">
        <v>456</v>
      </c>
      <c r="AD1039" t="s">
        <v>458</v>
      </c>
      <c r="AF1039" t="s">
        <v>459</v>
      </c>
      <c r="AG1039" t="s">
        <v>460</v>
      </c>
      <c r="AH1039" t="s">
        <v>65</v>
      </c>
      <c r="AI1039" t="s">
        <v>413</v>
      </c>
      <c r="AJ1039">
        <v>2010</v>
      </c>
      <c r="AK1039" t="s">
        <v>1293</v>
      </c>
      <c r="AM1039" t="s">
        <v>1294</v>
      </c>
      <c r="AN1039" t="s">
        <v>94</v>
      </c>
      <c r="AO1039" t="s">
        <v>106</v>
      </c>
      <c r="AP1039" t="s">
        <v>95</v>
      </c>
      <c r="AQ1039" t="s">
        <v>1295</v>
      </c>
      <c r="AR1039" t="s">
        <v>70</v>
      </c>
      <c r="AS1039">
        <v>701</v>
      </c>
      <c r="AT1039" t="s">
        <v>71</v>
      </c>
      <c r="AU1039">
        <v>20.43</v>
      </c>
      <c r="AV1039">
        <v>-40.369999999999997</v>
      </c>
      <c r="AW1039" t="s">
        <v>72</v>
      </c>
      <c r="AX1039">
        <v>709</v>
      </c>
      <c r="AY1039" t="s">
        <v>71</v>
      </c>
      <c r="AZ1039">
        <v>22.36</v>
      </c>
      <c r="BA1039">
        <v>-53.39</v>
      </c>
      <c r="BB1039" t="s">
        <v>73</v>
      </c>
    </row>
    <row r="1040" spans="1:54" x14ac:dyDescent="0.4">
      <c r="A1040">
        <v>851246</v>
      </c>
      <c r="D1040" t="s">
        <v>54</v>
      </c>
      <c r="E1040" t="s">
        <v>55</v>
      </c>
      <c r="F1040" t="s">
        <v>434</v>
      </c>
      <c r="G1040">
        <v>1</v>
      </c>
      <c r="H1040" t="s">
        <v>56</v>
      </c>
      <c r="I1040" t="s">
        <v>57</v>
      </c>
      <c r="K1040" t="s">
        <v>109</v>
      </c>
      <c r="L1040" t="s">
        <v>1292</v>
      </c>
      <c r="M1040" t="s">
        <v>59</v>
      </c>
      <c r="N1040" t="s">
        <v>97</v>
      </c>
      <c r="P1040" t="s">
        <v>131</v>
      </c>
      <c r="R1040" t="s">
        <v>112</v>
      </c>
      <c r="S1040" t="s">
        <v>61</v>
      </c>
      <c r="T1040">
        <v>246.7</v>
      </c>
      <c r="U1040">
        <v>242</v>
      </c>
      <c r="V1040">
        <f>(T1040+U1040)/2</f>
        <v>244.35</v>
      </c>
      <c r="W1040">
        <f>T1040-U1040</f>
        <v>4.6999999999999886</v>
      </c>
      <c r="X1040">
        <v>35.133330999999998</v>
      </c>
      <c r="Y1040">
        <v>-10.3</v>
      </c>
      <c r="Z1040" t="s">
        <v>239</v>
      </c>
      <c r="AA1040" t="s">
        <v>455</v>
      </c>
      <c r="AB1040" t="s">
        <v>456</v>
      </c>
      <c r="AD1040" t="s">
        <v>458</v>
      </c>
      <c r="AF1040" t="s">
        <v>459</v>
      </c>
      <c r="AG1040" t="s">
        <v>460</v>
      </c>
      <c r="AH1040" t="s">
        <v>65</v>
      </c>
      <c r="AI1040" t="s">
        <v>413</v>
      </c>
      <c r="AJ1040">
        <v>2010</v>
      </c>
      <c r="AK1040" t="s">
        <v>1293</v>
      </c>
      <c r="AM1040" t="s">
        <v>1294</v>
      </c>
      <c r="AN1040" t="s">
        <v>94</v>
      </c>
      <c r="AO1040" t="s">
        <v>106</v>
      </c>
      <c r="AP1040" t="s">
        <v>95</v>
      </c>
      <c r="AQ1040" t="s">
        <v>1295</v>
      </c>
      <c r="AR1040" t="s">
        <v>70</v>
      </c>
      <c r="AS1040">
        <v>701</v>
      </c>
      <c r="AT1040" t="s">
        <v>71</v>
      </c>
      <c r="AU1040">
        <v>20.43</v>
      </c>
      <c r="AV1040">
        <v>-40.369999999999997</v>
      </c>
      <c r="AW1040" t="s">
        <v>72</v>
      </c>
      <c r="AX1040">
        <v>709</v>
      </c>
      <c r="AY1040" t="s">
        <v>71</v>
      </c>
      <c r="AZ1040">
        <v>22.36</v>
      </c>
      <c r="BA1040">
        <v>-53.39</v>
      </c>
      <c r="BB1040" t="s">
        <v>73</v>
      </c>
    </row>
    <row r="1041" spans="1:54" x14ac:dyDescent="0.4">
      <c r="A1041">
        <v>851246</v>
      </c>
      <c r="D1041" t="s">
        <v>54</v>
      </c>
      <c r="E1041" t="s">
        <v>55</v>
      </c>
      <c r="F1041" t="s">
        <v>434</v>
      </c>
      <c r="G1041">
        <v>1</v>
      </c>
      <c r="H1041" t="s">
        <v>56</v>
      </c>
      <c r="I1041" t="s">
        <v>57</v>
      </c>
      <c r="K1041" t="s">
        <v>109</v>
      </c>
      <c r="L1041" t="s">
        <v>1292</v>
      </c>
      <c r="M1041" t="s">
        <v>59</v>
      </c>
      <c r="N1041" t="s">
        <v>97</v>
      </c>
      <c r="P1041" t="s">
        <v>131</v>
      </c>
      <c r="R1041" t="s">
        <v>112</v>
      </c>
      <c r="S1041" t="s">
        <v>61</v>
      </c>
      <c r="T1041">
        <v>246.7</v>
      </c>
      <c r="U1041">
        <v>242</v>
      </c>
      <c r="V1041">
        <f>(T1041+U1041)/2</f>
        <v>244.35</v>
      </c>
      <c r="W1041">
        <f>T1041-U1041</f>
        <v>4.6999999999999886</v>
      </c>
      <c r="X1041">
        <v>35.133330999999998</v>
      </c>
      <c r="Y1041">
        <v>-10.3</v>
      </c>
      <c r="Z1041" t="s">
        <v>239</v>
      </c>
      <c r="AA1041" t="s">
        <v>455</v>
      </c>
      <c r="AB1041" t="s">
        <v>456</v>
      </c>
      <c r="AD1041" t="s">
        <v>458</v>
      </c>
      <c r="AF1041" t="s">
        <v>459</v>
      </c>
      <c r="AG1041" t="s">
        <v>460</v>
      </c>
      <c r="AH1041" t="s">
        <v>65</v>
      </c>
      <c r="AI1041" t="s">
        <v>413</v>
      </c>
      <c r="AJ1041">
        <v>2010</v>
      </c>
      <c r="AK1041" t="s">
        <v>1293</v>
      </c>
      <c r="AM1041" t="s">
        <v>1294</v>
      </c>
      <c r="AN1041" t="s">
        <v>94</v>
      </c>
      <c r="AO1041" t="s">
        <v>106</v>
      </c>
      <c r="AP1041" t="s">
        <v>95</v>
      </c>
      <c r="AQ1041" t="s">
        <v>1295</v>
      </c>
      <c r="AR1041" t="s">
        <v>70</v>
      </c>
      <c r="AS1041">
        <v>701</v>
      </c>
      <c r="AT1041" t="s">
        <v>71</v>
      </c>
      <c r="AU1041">
        <v>20.43</v>
      </c>
      <c r="AV1041">
        <v>-40.369999999999997</v>
      </c>
      <c r="AW1041" t="s">
        <v>72</v>
      </c>
      <c r="AX1041">
        <v>709</v>
      </c>
      <c r="AY1041" t="s">
        <v>71</v>
      </c>
      <c r="AZ1041">
        <v>22.36</v>
      </c>
      <c r="BA1041">
        <v>-53.39</v>
      </c>
      <c r="BB1041" t="s">
        <v>73</v>
      </c>
    </row>
    <row r="1042" spans="1:54" x14ac:dyDescent="0.4">
      <c r="A1042">
        <v>851246</v>
      </c>
      <c r="D1042" t="s">
        <v>54</v>
      </c>
      <c r="E1042" t="s">
        <v>55</v>
      </c>
      <c r="F1042" t="s">
        <v>434</v>
      </c>
      <c r="G1042">
        <v>1</v>
      </c>
      <c r="H1042" t="s">
        <v>56</v>
      </c>
      <c r="I1042" t="s">
        <v>57</v>
      </c>
      <c r="K1042" t="s">
        <v>109</v>
      </c>
      <c r="L1042" t="s">
        <v>1292</v>
      </c>
      <c r="M1042" t="s">
        <v>59</v>
      </c>
      <c r="N1042" t="s">
        <v>97</v>
      </c>
      <c r="P1042" t="s">
        <v>131</v>
      </c>
      <c r="R1042" t="s">
        <v>112</v>
      </c>
      <c r="S1042" t="s">
        <v>61</v>
      </c>
      <c r="T1042">
        <v>246.7</v>
      </c>
      <c r="U1042">
        <v>242</v>
      </c>
      <c r="V1042">
        <f>(T1042+U1042)/2</f>
        <v>244.35</v>
      </c>
      <c r="W1042">
        <f>T1042-U1042</f>
        <v>4.6999999999999886</v>
      </c>
      <c r="X1042">
        <v>35.133330999999998</v>
      </c>
      <c r="Y1042">
        <v>-10.3</v>
      </c>
      <c r="Z1042" t="s">
        <v>239</v>
      </c>
      <c r="AA1042" t="s">
        <v>455</v>
      </c>
      <c r="AB1042" t="s">
        <v>456</v>
      </c>
      <c r="AD1042" t="s">
        <v>458</v>
      </c>
      <c r="AF1042" t="s">
        <v>459</v>
      </c>
      <c r="AG1042" t="s">
        <v>460</v>
      </c>
      <c r="AH1042" t="s">
        <v>65</v>
      </c>
      <c r="AI1042" t="s">
        <v>413</v>
      </c>
      <c r="AJ1042">
        <v>2010</v>
      </c>
      <c r="AK1042" t="s">
        <v>1293</v>
      </c>
      <c r="AM1042" t="s">
        <v>1294</v>
      </c>
      <c r="AN1042" t="s">
        <v>94</v>
      </c>
      <c r="AO1042" t="s">
        <v>106</v>
      </c>
      <c r="AP1042" t="s">
        <v>95</v>
      </c>
      <c r="AQ1042" t="s">
        <v>1295</v>
      </c>
      <c r="AR1042" t="s">
        <v>70</v>
      </c>
      <c r="AS1042">
        <v>701</v>
      </c>
      <c r="AT1042" t="s">
        <v>71</v>
      </c>
      <c r="AU1042">
        <v>20.43</v>
      </c>
      <c r="AV1042">
        <v>-40.369999999999997</v>
      </c>
      <c r="AW1042" t="s">
        <v>72</v>
      </c>
      <c r="AX1042">
        <v>709</v>
      </c>
      <c r="AY1042" t="s">
        <v>71</v>
      </c>
      <c r="AZ1042">
        <v>22.36</v>
      </c>
      <c r="BA1042">
        <v>-53.39</v>
      </c>
      <c r="BB1042" t="s">
        <v>73</v>
      </c>
    </row>
    <row r="1043" spans="1:54" x14ac:dyDescent="0.4">
      <c r="A1043">
        <v>851246</v>
      </c>
      <c r="D1043" t="s">
        <v>54</v>
      </c>
      <c r="E1043" t="s">
        <v>55</v>
      </c>
      <c r="F1043" t="s">
        <v>434</v>
      </c>
      <c r="G1043">
        <v>1</v>
      </c>
      <c r="H1043" t="s">
        <v>56</v>
      </c>
      <c r="I1043" t="s">
        <v>57</v>
      </c>
      <c r="K1043" t="s">
        <v>109</v>
      </c>
      <c r="L1043" t="s">
        <v>1292</v>
      </c>
      <c r="M1043" t="s">
        <v>59</v>
      </c>
      <c r="N1043" t="s">
        <v>97</v>
      </c>
      <c r="P1043" t="s">
        <v>131</v>
      </c>
      <c r="R1043" t="s">
        <v>112</v>
      </c>
      <c r="S1043" t="s">
        <v>61</v>
      </c>
      <c r="T1043">
        <v>246.7</v>
      </c>
      <c r="U1043">
        <v>242</v>
      </c>
      <c r="V1043">
        <f>(T1043+U1043)/2</f>
        <v>244.35</v>
      </c>
      <c r="W1043">
        <f>T1043-U1043</f>
        <v>4.6999999999999886</v>
      </c>
      <c r="X1043">
        <v>35.133330999999998</v>
      </c>
      <c r="Y1043">
        <v>-10.3</v>
      </c>
      <c r="Z1043" t="s">
        <v>239</v>
      </c>
      <c r="AA1043" t="s">
        <v>455</v>
      </c>
      <c r="AB1043" t="s">
        <v>456</v>
      </c>
      <c r="AD1043" t="s">
        <v>458</v>
      </c>
      <c r="AF1043" t="s">
        <v>459</v>
      </c>
      <c r="AG1043" t="s">
        <v>460</v>
      </c>
      <c r="AH1043" t="s">
        <v>65</v>
      </c>
      <c r="AI1043" t="s">
        <v>413</v>
      </c>
      <c r="AJ1043">
        <v>2010</v>
      </c>
      <c r="AK1043" t="s">
        <v>1293</v>
      </c>
      <c r="AM1043" t="s">
        <v>1294</v>
      </c>
      <c r="AN1043" t="s">
        <v>94</v>
      </c>
      <c r="AO1043" t="s">
        <v>106</v>
      </c>
      <c r="AP1043" t="s">
        <v>95</v>
      </c>
      <c r="AQ1043" t="s">
        <v>1295</v>
      </c>
      <c r="AR1043" t="s">
        <v>70</v>
      </c>
      <c r="AS1043">
        <v>701</v>
      </c>
      <c r="AT1043" t="s">
        <v>71</v>
      </c>
      <c r="AU1043">
        <v>20.43</v>
      </c>
      <c r="AV1043">
        <v>-40.369999999999997</v>
      </c>
      <c r="AW1043" t="s">
        <v>72</v>
      </c>
      <c r="AX1043">
        <v>709</v>
      </c>
      <c r="AY1043" t="s">
        <v>71</v>
      </c>
      <c r="AZ1043">
        <v>22.36</v>
      </c>
      <c r="BA1043">
        <v>-53.39</v>
      </c>
      <c r="BB1043" t="s">
        <v>73</v>
      </c>
    </row>
    <row r="1044" spans="1:54" x14ac:dyDescent="0.4">
      <c r="A1044">
        <v>851246</v>
      </c>
      <c r="D1044" t="s">
        <v>54</v>
      </c>
      <c r="E1044" t="s">
        <v>55</v>
      </c>
      <c r="F1044" t="s">
        <v>434</v>
      </c>
      <c r="G1044">
        <v>1</v>
      </c>
      <c r="H1044" t="s">
        <v>56</v>
      </c>
      <c r="I1044" t="s">
        <v>57</v>
      </c>
      <c r="K1044" t="s">
        <v>109</v>
      </c>
      <c r="L1044" t="s">
        <v>1292</v>
      </c>
      <c r="M1044" t="s">
        <v>59</v>
      </c>
      <c r="N1044" t="s">
        <v>97</v>
      </c>
      <c r="P1044" t="s">
        <v>131</v>
      </c>
      <c r="R1044" t="s">
        <v>112</v>
      </c>
      <c r="S1044" t="s">
        <v>61</v>
      </c>
      <c r="T1044">
        <v>246.7</v>
      </c>
      <c r="U1044">
        <v>242</v>
      </c>
      <c r="V1044">
        <f>(T1044+U1044)/2</f>
        <v>244.35</v>
      </c>
      <c r="W1044">
        <f>T1044-U1044</f>
        <v>4.6999999999999886</v>
      </c>
      <c r="X1044">
        <v>35.133330999999998</v>
      </c>
      <c r="Y1044">
        <v>-10.3</v>
      </c>
      <c r="Z1044" t="s">
        <v>239</v>
      </c>
      <c r="AA1044" t="s">
        <v>455</v>
      </c>
      <c r="AB1044" t="s">
        <v>456</v>
      </c>
      <c r="AD1044" t="s">
        <v>458</v>
      </c>
      <c r="AF1044" t="s">
        <v>459</v>
      </c>
      <c r="AG1044" t="s">
        <v>460</v>
      </c>
      <c r="AH1044" t="s">
        <v>65</v>
      </c>
      <c r="AI1044" t="s">
        <v>413</v>
      </c>
      <c r="AJ1044">
        <v>2010</v>
      </c>
      <c r="AK1044" t="s">
        <v>1293</v>
      </c>
      <c r="AM1044" t="s">
        <v>1294</v>
      </c>
      <c r="AN1044" t="s">
        <v>94</v>
      </c>
      <c r="AO1044" t="s">
        <v>106</v>
      </c>
      <c r="AP1044" t="s">
        <v>95</v>
      </c>
      <c r="AQ1044" t="s">
        <v>1295</v>
      </c>
      <c r="AR1044" t="s">
        <v>70</v>
      </c>
      <c r="AS1044">
        <v>701</v>
      </c>
      <c r="AT1044" t="s">
        <v>71</v>
      </c>
      <c r="AU1044">
        <v>20.43</v>
      </c>
      <c r="AV1044">
        <v>-40.369999999999997</v>
      </c>
      <c r="AW1044" t="s">
        <v>72</v>
      </c>
      <c r="AX1044">
        <v>709</v>
      </c>
      <c r="AY1044" t="s">
        <v>71</v>
      </c>
      <c r="AZ1044">
        <v>22.36</v>
      </c>
      <c r="BA1044">
        <v>-53.39</v>
      </c>
      <c r="BB1044" t="s">
        <v>73</v>
      </c>
    </row>
    <row r="1045" spans="1:54" x14ac:dyDescent="0.4">
      <c r="A1045">
        <v>851246</v>
      </c>
      <c r="D1045" t="s">
        <v>54</v>
      </c>
      <c r="E1045" t="s">
        <v>55</v>
      </c>
      <c r="F1045" t="s">
        <v>434</v>
      </c>
      <c r="G1045">
        <v>1</v>
      </c>
      <c r="H1045" t="s">
        <v>56</v>
      </c>
      <c r="I1045" t="s">
        <v>57</v>
      </c>
      <c r="K1045" t="s">
        <v>109</v>
      </c>
      <c r="L1045" t="s">
        <v>1292</v>
      </c>
      <c r="M1045" t="s">
        <v>59</v>
      </c>
      <c r="N1045" t="s">
        <v>97</v>
      </c>
      <c r="P1045" t="s">
        <v>131</v>
      </c>
      <c r="R1045" t="s">
        <v>112</v>
      </c>
      <c r="S1045" t="s">
        <v>61</v>
      </c>
      <c r="T1045">
        <v>246.7</v>
      </c>
      <c r="U1045">
        <v>242</v>
      </c>
      <c r="V1045">
        <f>(T1045+U1045)/2</f>
        <v>244.35</v>
      </c>
      <c r="W1045">
        <f>T1045-U1045</f>
        <v>4.6999999999999886</v>
      </c>
      <c r="X1045">
        <v>35.133330999999998</v>
      </c>
      <c r="Y1045">
        <v>-10.3</v>
      </c>
      <c r="Z1045" t="s">
        <v>239</v>
      </c>
      <c r="AA1045" t="s">
        <v>455</v>
      </c>
      <c r="AB1045" t="s">
        <v>456</v>
      </c>
      <c r="AD1045" t="s">
        <v>458</v>
      </c>
      <c r="AF1045" t="s">
        <v>459</v>
      </c>
      <c r="AG1045" t="s">
        <v>460</v>
      </c>
      <c r="AH1045" t="s">
        <v>65</v>
      </c>
      <c r="AI1045" t="s">
        <v>413</v>
      </c>
      <c r="AJ1045">
        <v>2010</v>
      </c>
      <c r="AK1045" t="s">
        <v>1293</v>
      </c>
      <c r="AM1045" t="s">
        <v>1294</v>
      </c>
      <c r="AN1045" t="s">
        <v>94</v>
      </c>
      <c r="AO1045" t="s">
        <v>106</v>
      </c>
      <c r="AP1045" t="s">
        <v>95</v>
      </c>
      <c r="AQ1045" t="s">
        <v>1295</v>
      </c>
      <c r="AR1045" t="s">
        <v>70</v>
      </c>
      <c r="AS1045">
        <v>701</v>
      </c>
      <c r="AT1045" t="s">
        <v>71</v>
      </c>
      <c r="AU1045">
        <v>20.43</v>
      </c>
      <c r="AV1045">
        <v>-40.369999999999997</v>
      </c>
      <c r="AW1045" t="s">
        <v>72</v>
      </c>
      <c r="AX1045">
        <v>709</v>
      </c>
      <c r="AY1045" t="s">
        <v>71</v>
      </c>
      <c r="AZ1045">
        <v>22.36</v>
      </c>
      <c r="BA1045">
        <v>-53.39</v>
      </c>
      <c r="BB1045" t="s">
        <v>73</v>
      </c>
    </row>
    <row r="1046" spans="1:54" x14ac:dyDescent="0.4">
      <c r="A1046">
        <v>851246</v>
      </c>
      <c r="D1046" t="s">
        <v>54</v>
      </c>
      <c r="E1046" t="s">
        <v>55</v>
      </c>
      <c r="F1046" t="s">
        <v>434</v>
      </c>
      <c r="G1046">
        <v>1</v>
      </c>
      <c r="H1046" t="s">
        <v>56</v>
      </c>
      <c r="I1046" t="s">
        <v>57</v>
      </c>
      <c r="K1046" t="s">
        <v>109</v>
      </c>
      <c r="L1046" t="s">
        <v>1292</v>
      </c>
      <c r="M1046" t="s">
        <v>59</v>
      </c>
      <c r="N1046" t="s">
        <v>97</v>
      </c>
      <c r="P1046" t="s">
        <v>131</v>
      </c>
      <c r="R1046" t="s">
        <v>112</v>
      </c>
      <c r="S1046" t="s">
        <v>61</v>
      </c>
      <c r="T1046">
        <v>246.7</v>
      </c>
      <c r="U1046">
        <v>242</v>
      </c>
      <c r="V1046">
        <f>(T1046+U1046)/2</f>
        <v>244.35</v>
      </c>
      <c r="W1046">
        <f>T1046-U1046</f>
        <v>4.6999999999999886</v>
      </c>
      <c r="X1046">
        <v>35.133330999999998</v>
      </c>
      <c r="Y1046">
        <v>-10.3</v>
      </c>
      <c r="Z1046" t="s">
        <v>239</v>
      </c>
      <c r="AA1046" t="s">
        <v>455</v>
      </c>
      <c r="AB1046" t="s">
        <v>456</v>
      </c>
      <c r="AD1046" t="s">
        <v>458</v>
      </c>
      <c r="AF1046" t="s">
        <v>459</v>
      </c>
      <c r="AG1046" t="s">
        <v>460</v>
      </c>
      <c r="AH1046" t="s">
        <v>65</v>
      </c>
      <c r="AI1046" t="s">
        <v>413</v>
      </c>
      <c r="AJ1046">
        <v>2010</v>
      </c>
      <c r="AK1046" t="s">
        <v>1293</v>
      </c>
      <c r="AM1046" t="s">
        <v>1294</v>
      </c>
      <c r="AN1046" t="s">
        <v>94</v>
      </c>
      <c r="AO1046" t="s">
        <v>106</v>
      </c>
      <c r="AP1046" t="s">
        <v>95</v>
      </c>
      <c r="AQ1046" t="s">
        <v>1295</v>
      </c>
      <c r="AR1046" t="s">
        <v>70</v>
      </c>
      <c r="AS1046">
        <v>701</v>
      </c>
      <c r="AT1046" t="s">
        <v>71</v>
      </c>
      <c r="AU1046">
        <v>20.43</v>
      </c>
      <c r="AV1046">
        <v>-40.369999999999997</v>
      </c>
      <c r="AW1046" t="s">
        <v>72</v>
      </c>
      <c r="AX1046">
        <v>709</v>
      </c>
      <c r="AY1046" t="s">
        <v>71</v>
      </c>
      <c r="AZ1046">
        <v>22.36</v>
      </c>
      <c r="BA1046">
        <v>-53.39</v>
      </c>
      <c r="BB1046" t="s">
        <v>73</v>
      </c>
    </row>
    <row r="1047" spans="1:54" x14ac:dyDescent="0.4">
      <c r="A1047">
        <v>851246</v>
      </c>
      <c r="D1047" t="s">
        <v>54</v>
      </c>
      <c r="E1047" t="s">
        <v>55</v>
      </c>
      <c r="F1047" t="s">
        <v>434</v>
      </c>
      <c r="G1047">
        <v>1</v>
      </c>
      <c r="H1047" t="s">
        <v>56</v>
      </c>
      <c r="I1047" t="s">
        <v>57</v>
      </c>
      <c r="K1047" t="s">
        <v>109</v>
      </c>
      <c r="L1047" t="s">
        <v>1292</v>
      </c>
      <c r="M1047" t="s">
        <v>59</v>
      </c>
      <c r="N1047" t="s">
        <v>97</v>
      </c>
      <c r="P1047" t="s">
        <v>131</v>
      </c>
      <c r="R1047" t="s">
        <v>112</v>
      </c>
      <c r="S1047" t="s">
        <v>61</v>
      </c>
      <c r="T1047">
        <v>246.7</v>
      </c>
      <c r="U1047">
        <v>242</v>
      </c>
      <c r="V1047">
        <f>(T1047+U1047)/2</f>
        <v>244.35</v>
      </c>
      <c r="W1047">
        <f>T1047-U1047</f>
        <v>4.6999999999999886</v>
      </c>
      <c r="X1047">
        <v>35.133330999999998</v>
      </c>
      <c r="Y1047">
        <v>-10.3</v>
      </c>
      <c r="Z1047" t="s">
        <v>239</v>
      </c>
      <c r="AA1047" t="s">
        <v>455</v>
      </c>
      <c r="AB1047" t="s">
        <v>456</v>
      </c>
      <c r="AD1047" t="s">
        <v>458</v>
      </c>
      <c r="AF1047" t="s">
        <v>459</v>
      </c>
      <c r="AG1047" t="s">
        <v>460</v>
      </c>
      <c r="AH1047" t="s">
        <v>65</v>
      </c>
      <c r="AI1047" t="s">
        <v>413</v>
      </c>
      <c r="AJ1047">
        <v>2010</v>
      </c>
      <c r="AK1047" t="s">
        <v>1293</v>
      </c>
      <c r="AM1047" t="s">
        <v>1294</v>
      </c>
      <c r="AN1047" t="s">
        <v>94</v>
      </c>
      <c r="AO1047" t="s">
        <v>106</v>
      </c>
      <c r="AP1047" t="s">
        <v>95</v>
      </c>
      <c r="AQ1047" t="s">
        <v>1295</v>
      </c>
      <c r="AR1047" t="s">
        <v>70</v>
      </c>
      <c r="AS1047">
        <v>701</v>
      </c>
      <c r="AT1047" t="s">
        <v>71</v>
      </c>
      <c r="AU1047">
        <v>20.43</v>
      </c>
      <c r="AV1047">
        <v>-40.369999999999997</v>
      </c>
      <c r="AW1047" t="s">
        <v>72</v>
      </c>
      <c r="AX1047">
        <v>709</v>
      </c>
      <c r="AY1047" t="s">
        <v>71</v>
      </c>
      <c r="AZ1047">
        <v>22.36</v>
      </c>
      <c r="BA1047">
        <v>-53.39</v>
      </c>
      <c r="BB1047" t="s">
        <v>73</v>
      </c>
    </row>
    <row r="1048" spans="1:54" x14ac:dyDescent="0.4">
      <c r="A1048">
        <v>851246</v>
      </c>
      <c r="D1048" t="s">
        <v>54</v>
      </c>
      <c r="E1048" t="s">
        <v>55</v>
      </c>
      <c r="F1048" t="s">
        <v>434</v>
      </c>
      <c r="G1048">
        <v>1</v>
      </c>
      <c r="H1048" t="s">
        <v>56</v>
      </c>
      <c r="I1048" t="s">
        <v>57</v>
      </c>
      <c r="K1048" t="s">
        <v>109</v>
      </c>
      <c r="L1048" t="s">
        <v>1292</v>
      </c>
      <c r="M1048" t="s">
        <v>59</v>
      </c>
      <c r="N1048" t="s">
        <v>97</v>
      </c>
      <c r="P1048" t="s">
        <v>131</v>
      </c>
      <c r="R1048" t="s">
        <v>112</v>
      </c>
      <c r="S1048" t="s">
        <v>61</v>
      </c>
      <c r="T1048">
        <v>246.7</v>
      </c>
      <c r="U1048">
        <v>242</v>
      </c>
      <c r="V1048">
        <f>(T1048+U1048)/2</f>
        <v>244.35</v>
      </c>
      <c r="W1048">
        <f>T1048-U1048</f>
        <v>4.6999999999999886</v>
      </c>
      <c r="X1048">
        <v>35.133330999999998</v>
      </c>
      <c r="Y1048">
        <v>-10.3</v>
      </c>
      <c r="Z1048" t="s">
        <v>239</v>
      </c>
      <c r="AA1048" t="s">
        <v>455</v>
      </c>
      <c r="AB1048" t="s">
        <v>456</v>
      </c>
      <c r="AD1048" t="s">
        <v>458</v>
      </c>
      <c r="AF1048" t="s">
        <v>459</v>
      </c>
      <c r="AG1048" t="s">
        <v>460</v>
      </c>
      <c r="AH1048" t="s">
        <v>65</v>
      </c>
      <c r="AI1048" t="s">
        <v>413</v>
      </c>
      <c r="AJ1048">
        <v>2010</v>
      </c>
      <c r="AK1048" t="s">
        <v>1293</v>
      </c>
      <c r="AM1048" t="s">
        <v>1294</v>
      </c>
      <c r="AN1048" t="s">
        <v>94</v>
      </c>
      <c r="AO1048" t="s">
        <v>106</v>
      </c>
      <c r="AP1048" t="s">
        <v>95</v>
      </c>
      <c r="AQ1048" t="s">
        <v>1295</v>
      </c>
      <c r="AR1048" t="s">
        <v>70</v>
      </c>
      <c r="AS1048">
        <v>701</v>
      </c>
      <c r="AT1048" t="s">
        <v>71</v>
      </c>
      <c r="AU1048">
        <v>20.43</v>
      </c>
      <c r="AV1048">
        <v>-40.369999999999997</v>
      </c>
      <c r="AW1048" t="s">
        <v>72</v>
      </c>
      <c r="AX1048">
        <v>709</v>
      </c>
      <c r="AY1048" t="s">
        <v>71</v>
      </c>
      <c r="AZ1048">
        <v>22.36</v>
      </c>
      <c r="BA1048">
        <v>-53.39</v>
      </c>
      <c r="BB1048" t="s">
        <v>73</v>
      </c>
    </row>
    <row r="1049" spans="1:54" x14ac:dyDescent="0.4">
      <c r="A1049">
        <v>851246</v>
      </c>
      <c r="D1049" t="s">
        <v>54</v>
      </c>
      <c r="E1049" t="s">
        <v>55</v>
      </c>
      <c r="F1049" t="s">
        <v>434</v>
      </c>
      <c r="G1049">
        <v>1</v>
      </c>
      <c r="H1049" t="s">
        <v>56</v>
      </c>
      <c r="I1049" t="s">
        <v>57</v>
      </c>
      <c r="K1049" t="s">
        <v>109</v>
      </c>
      <c r="L1049" t="s">
        <v>1292</v>
      </c>
      <c r="M1049" t="s">
        <v>59</v>
      </c>
      <c r="N1049" t="s">
        <v>97</v>
      </c>
      <c r="P1049" t="s">
        <v>131</v>
      </c>
      <c r="R1049" t="s">
        <v>112</v>
      </c>
      <c r="S1049" t="s">
        <v>61</v>
      </c>
      <c r="T1049">
        <v>246.7</v>
      </c>
      <c r="U1049">
        <v>242</v>
      </c>
      <c r="V1049">
        <f>(T1049+U1049)/2</f>
        <v>244.35</v>
      </c>
      <c r="W1049">
        <f>T1049-U1049</f>
        <v>4.6999999999999886</v>
      </c>
      <c r="X1049">
        <v>35.133330999999998</v>
      </c>
      <c r="Y1049">
        <v>-10.3</v>
      </c>
      <c r="Z1049" t="s">
        <v>239</v>
      </c>
      <c r="AA1049" t="s">
        <v>455</v>
      </c>
      <c r="AB1049" t="s">
        <v>456</v>
      </c>
      <c r="AD1049" t="s">
        <v>458</v>
      </c>
      <c r="AF1049" t="s">
        <v>459</v>
      </c>
      <c r="AG1049" t="s">
        <v>460</v>
      </c>
      <c r="AH1049" t="s">
        <v>65</v>
      </c>
      <c r="AI1049" t="s">
        <v>413</v>
      </c>
      <c r="AJ1049">
        <v>2010</v>
      </c>
      <c r="AK1049" t="s">
        <v>1293</v>
      </c>
      <c r="AM1049" t="s">
        <v>1294</v>
      </c>
      <c r="AN1049" t="s">
        <v>94</v>
      </c>
      <c r="AO1049" t="s">
        <v>106</v>
      </c>
      <c r="AP1049" t="s">
        <v>95</v>
      </c>
      <c r="AQ1049" t="s">
        <v>1295</v>
      </c>
      <c r="AR1049" t="s">
        <v>70</v>
      </c>
      <c r="AS1049">
        <v>701</v>
      </c>
      <c r="AT1049" t="s">
        <v>71</v>
      </c>
      <c r="AU1049">
        <v>20.43</v>
      </c>
      <c r="AV1049">
        <v>-40.369999999999997</v>
      </c>
      <c r="AW1049" t="s">
        <v>72</v>
      </c>
      <c r="AX1049">
        <v>709</v>
      </c>
      <c r="AY1049" t="s">
        <v>71</v>
      </c>
      <c r="AZ1049">
        <v>22.36</v>
      </c>
      <c r="BA1049">
        <v>-53.39</v>
      </c>
      <c r="BB1049" t="s">
        <v>73</v>
      </c>
    </row>
    <row r="1050" spans="1:54" x14ac:dyDescent="0.4">
      <c r="A1050">
        <v>851246</v>
      </c>
      <c r="D1050" t="s">
        <v>54</v>
      </c>
      <c r="E1050" t="s">
        <v>55</v>
      </c>
      <c r="F1050" t="s">
        <v>434</v>
      </c>
      <c r="G1050">
        <v>1</v>
      </c>
      <c r="H1050" t="s">
        <v>56</v>
      </c>
      <c r="I1050" t="s">
        <v>57</v>
      </c>
      <c r="K1050" t="s">
        <v>109</v>
      </c>
      <c r="L1050" t="s">
        <v>1292</v>
      </c>
      <c r="M1050" t="s">
        <v>59</v>
      </c>
      <c r="N1050" t="s">
        <v>97</v>
      </c>
      <c r="P1050" t="s">
        <v>131</v>
      </c>
      <c r="R1050" t="s">
        <v>112</v>
      </c>
      <c r="S1050" t="s">
        <v>61</v>
      </c>
      <c r="T1050">
        <v>246.7</v>
      </c>
      <c r="U1050">
        <v>242</v>
      </c>
      <c r="V1050">
        <f>(T1050+U1050)/2</f>
        <v>244.35</v>
      </c>
      <c r="W1050">
        <f>T1050-U1050</f>
        <v>4.6999999999999886</v>
      </c>
      <c r="X1050">
        <v>35.133330999999998</v>
      </c>
      <c r="Y1050">
        <v>-10.3</v>
      </c>
      <c r="Z1050" t="s">
        <v>239</v>
      </c>
      <c r="AA1050" t="s">
        <v>455</v>
      </c>
      <c r="AB1050" t="s">
        <v>456</v>
      </c>
      <c r="AD1050" t="s">
        <v>458</v>
      </c>
      <c r="AF1050" t="s">
        <v>459</v>
      </c>
      <c r="AG1050" t="s">
        <v>460</v>
      </c>
      <c r="AH1050" t="s">
        <v>65</v>
      </c>
      <c r="AI1050" t="s">
        <v>413</v>
      </c>
      <c r="AJ1050">
        <v>2010</v>
      </c>
      <c r="AK1050" t="s">
        <v>1293</v>
      </c>
      <c r="AM1050" t="s">
        <v>1294</v>
      </c>
      <c r="AN1050" t="s">
        <v>94</v>
      </c>
      <c r="AO1050" t="s">
        <v>106</v>
      </c>
      <c r="AP1050" t="s">
        <v>95</v>
      </c>
      <c r="AQ1050" t="s">
        <v>1295</v>
      </c>
      <c r="AR1050" t="s">
        <v>70</v>
      </c>
      <c r="AS1050">
        <v>701</v>
      </c>
      <c r="AT1050" t="s">
        <v>71</v>
      </c>
      <c r="AU1050">
        <v>20.43</v>
      </c>
      <c r="AV1050">
        <v>-40.369999999999997</v>
      </c>
      <c r="AW1050" t="s">
        <v>72</v>
      </c>
      <c r="AX1050">
        <v>709</v>
      </c>
      <c r="AY1050" t="s">
        <v>71</v>
      </c>
      <c r="AZ1050">
        <v>22.36</v>
      </c>
      <c r="BA1050">
        <v>-53.39</v>
      </c>
      <c r="BB1050" t="s">
        <v>73</v>
      </c>
    </row>
    <row r="1051" spans="1:54" x14ac:dyDescent="0.4">
      <c r="A1051">
        <v>873711</v>
      </c>
      <c r="D1051" t="s">
        <v>1311</v>
      </c>
      <c r="E1051" t="s">
        <v>55</v>
      </c>
      <c r="F1051" t="s">
        <v>1312</v>
      </c>
      <c r="I1051" t="s">
        <v>57</v>
      </c>
      <c r="K1051" t="s">
        <v>1320</v>
      </c>
      <c r="L1051" t="s">
        <v>1321</v>
      </c>
      <c r="M1051" t="s">
        <v>59</v>
      </c>
      <c r="P1051" t="s">
        <v>131</v>
      </c>
      <c r="R1051" t="s">
        <v>112</v>
      </c>
      <c r="S1051" t="s">
        <v>61</v>
      </c>
      <c r="T1051">
        <v>246.7</v>
      </c>
      <c r="U1051">
        <v>242</v>
      </c>
      <c r="V1051">
        <f>(T1051+U1051)/2</f>
        <v>244.35</v>
      </c>
      <c r="W1051">
        <f>T1051-U1051</f>
        <v>4.6999999999999886</v>
      </c>
      <c r="X1051">
        <v>6.7258329999999997</v>
      </c>
      <c r="Y1051">
        <v>51.968333999999999</v>
      </c>
      <c r="Z1051" t="s">
        <v>483</v>
      </c>
      <c r="AA1051" t="s">
        <v>1313</v>
      </c>
      <c r="AB1051" t="s">
        <v>1314</v>
      </c>
      <c r="AD1051" t="s">
        <v>1315</v>
      </c>
      <c r="AE1051" t="s">
        <v>463</v>
      </c>
      <c r="AF1051" t="s">
        <v>1316</v>
      </c>
      <c r="AH1051" t="s">
        <v>11</v>
      </c>
      <c r="AI1051" t="s">
        <v>1322</v>
      </c>
      <c r="AJ1051">
        <v>2014</v>
      </c>
      <c r="AK1051" t="s">
        <v>1317</v>
      </c>
      <c r="AM1051" t="s">
        <v>1318</v>
      </c>
      <c r="AN1051" t="s">
        <v>121</v>
      </c>
      <c r="AO1051" t="s">
        <v>68</v>
      </c>
      <c r="AP1051" t="s">
        <v>69</v>
      </c>
      <c r="AQ1051" t="s">
        <v>1319</v>
      </c>
      <c r="AR1051" t="s">
        <v>70</v>
      </c>
      <c r="AS1051">
        <v>315</v>
      </c>
      <c r="AT1051" t="s">
        <v>71</v>
      </c>
      <c r="AU1051">
        <v>26.16</v>
      </c>
      <c r="AV1051">
        <v>30.17</v>
      </c>
      <c r="AW1051" t="s">
        <v>72</v>
      </c>
      <c r="AX1051">
        <v>315</v>
      </c>
      <c r="AY1051" t="s">
        <v>71</v>
      </c>
      <c r="AZ1051">
        <v>16.62</v>
      </c>
      <c r="BA1051">
        <v>16.920000000000002</v>
      </c>
      <c r="BB1051" t="s">
        <v>73</v>
      </c>
    </row>
    <row r="1052" spans="1:54" x14ac:dyDescent="0.4">
      <c r="A1052">
        <v>873713</v>
      </c>
      <c r="D1052" t="s">
        <v>1311</v>
      </c>
      <c r="E1052" t="s">
        <v>55</v>
      </c>
      <c r="F1052" t="s">
        <v>1312</v>
      </c>
      <c r="G1052">
        <v>1</v>
      </c>
      <c r="H1052" t="s">
        <v>56</v>
      </c>
      <c r="I1052" t="s">
        <v>57</v>
      </c>
      <c r="K1052" t="s">
        <v>355</v>
      </c>
      <c r="L1052" t="s">
        <v>1323</v>
      </c>
      <c r="M1052" t="s">
        <v>59</v>
      </c>
      <c r="P1052" t="s">
        <v>131</v>
      </c>
      <c r="R1052" t="s">
        <v>112</v>
      </c>
      <c r="S1052" t="s">
        <v>61</v>
      </c>
      <c r="T1052">
        <v>246.7</v>
      </c>
      <c r="U1052">
        <v>242</v>
      </c>
      <c r="V1052">
        <f>(T1052+U1052)/2</f>
        <v>244.35</v>
      </c>
      <c r="W1052">
        <f>T1052-U1052</f>
        <v>4.6999999999999886</v>
      </c>
      <c r="X1052">
        <v>6.7258329999999997</v>
      </c>
      <c r="Y1052">
        <v>51.968333999999999</v>
      </c>
      <c r="Z1052" t="s">
        <v>483</v>
      </c>
      <c r="AA1052" t="s">
        <v>1313</v>
      </c>
      <c r="AB1052" t="s">
        <v>1314</v>
      </c>
      <c r="AD1052" t="s">
        <v>1315</v>
      </c>
      <c r="AE1052" t="s">
        <v>463</v>
      </c>
      <c r="AF1052" t="s">
        <v>1316</v>
      </c>
      <c r="AH1052" t="s">
        <v>65</v>
      </c>
      <c r="AI1052" t="s">
        <v>1324</v>
      </c>
      <c r="AJ1052">
        <v>2015</v>
      </c>
      <c r="AK1052" t="s">
        <v>1317</v>
      </c>
      <c r="AM1052" t="s">
        <v>1318</v>
      </c>
      <c r="AN1052" t="s">
        <v>121</v>
      </c>
      <c r="AO1052" t="s">
        <v>68</v>
      </c>
      <c r="AP1052" t="s">
        <v>69</v>
      </c>
      <c r="AQ1052" t="s">
        <v>1319</v>
      </c>
      <c r="AR1052" t="s">
        <v>70</v>
      </c>
      <c r="AS1052">
        <v>315</v>
      </c>
      <c r="AT1052" t="s">
        <v>71</v>
      </c>
      <c r="AU1052">
        <v>26.16</v>
      </c>
      <c r="AV1052">
        <v>30.17</v>
      </c>
      <c r="AW1052" t="s">
        <v>72</v>
      </c>
      <c r="AX1052">
        <v>315</v>
      </c>
      <c r="AY1052" t="s">
        <v>71</v>
      </c>
      <c r="AZ1052">
        <v>16.62</v>
      </c>
      <c r="BA1052">
        <v>16.920000000000002</v>
      </c>
      <c r="BB1052" t="s">
        <v>73</v>
      </c>
    </row>
    <row r="1053" spans="1:54" x14ac:dyDescent="0.4">
      <c r="A1053">
        <v>877604</v>
      </c>
      <c r="D1053" t="s">
        <v>54</v>
      </c>
      <c r="G1053">
        <v>1</v>
      </c>
      <c r="H1053" t="s">
        <v>56</v>
      </c>
      <c r="I1053" t="s">
        <v>57</v>
      </c>
      <c r="K1053" t="s">
        <v>102</v>
      </c>
      <c r="L1053" t="s">
        <v>1325</v>
      </c>
      <c r="M1053" t="s">
        <v>59</v>
      </c>
      <c r="P1053" t="s">
        <v>131</v>
      </c>
      <c r="R1053" t="s">
        <v>112</v>
      </c>
      <c r="S1053" t="s">
        <v>61</v>
      </c>
      <c r="T1053">
        <v>246.7</v>
      </c>
      <c r="U1053">
        <v>242</v>
      </c>
      <c r="V1053">
        <f>(T1053+U1053)/2</f>
        <v>244.35</v>
      </c>
      <c r="W1053">
        <f>T1053-U1053</f>
        <v>4.6999999999999886</v>
      </c>
      <c r="X1053">
        <v>55.361111000000001</v>
      </c>
      <c r="Y1053">
        <v>51.549999</v>
      </c>
      <c r="Z1053" t="s">
        <v>213</v>
      </c>
      <c r="AA1053" t="s">
        <v>139</v>
      </c>
      <c r="AB1053" t="s">
        <v>316</v>
      </c>
      <c r="AC1053" t="s">
        <v>1175</v>
      </c>
      <c r="AD1053" t="s">
        <v>1176</v>
      </c>
      <c r="AH1053" t="s">
        <v>65</v>
      </c>
      <c r="AI1053" t="s">
        <v>300</v>
      </c>
      <c r="AJ1053">
        <v>1994</v>
      </c>
      <c r="AK1053" t="s">
        <v>1326</v>
      </c>
      <c r="AN1053" t="s">
        <v>121</v>
      </c>
      <c r="AO1053" t="s">
        <v>106</v>
      </c>
      <c r="AP1053" t="s">
        <v>69</v>
      </c>
      <c r="AQ1053" t="s">
        <v>1327</v>
      </c>
      <c r="AR1053" t="s">
        <v>70</v>
      </c>
      <c r="AS1053">
        <v>302</v>
      </c>
      <c r="AT1053" t="s">
        <v>71</v>
      </c>
      <c r="AU1053">
        <v>60.23</v>
      </c>
      <c r="AV1053">
        <v>41.09</v>
      </c>
      <c r="AW1053" t="s">
        <v>72</v>
      </c>
      <c r="AX1053">
        <v>301</v>
      </c>
      <c r="AY1053" t="s">
        <v>71</v>
      </c>
      <c r="AZ1053">
        <v>43.64</v>
      </c>
      <c r="BA1053">
        <v>33.83</v>
      </c>
      <c r="BB1053" t="s">
        <v>73</v>
      </c>
    </row>
    <row r="1054" spans="1:54" x14ac:dyDescent="0.4">
      <c r="A1054">
        <v>877605</v>
      </c>
      <c r="D1054" t="s">
        <v>54</v>
      </c>
      <c r="G1054">
        <v>2</v>
      </c>
      <c r="H1054" t="s">
        <v>74</v>
      </c>
      <c r="I1054" t="s">
        <v>57</v>
      </c>
      <c r="K1054" t="s">
        <v>125</v>
      </c>
      <c r="L1054" t="s">
        <v>1328</v>
      </c>
      <c r="M1054" t="s">
        <v>59</v>
      </c>
      <c r="O1054" t="s">
        <v>76</v>
      </c>
      <c r="P1054" t="s">
        <v>131</v>
      </c>
      <c r="R1054" t="s">
        <v>112</v>
      </c>
      <c r="S1054" t="s">
        <v>61</v>
      </c>
      <c r="T1054">
        <v>246.7</v>
      </c>
      <c r="U1054">
        <v>242</v>
      </c>
      <c r="V1054">
        <f>(T1054+U1054)/2</f>
        <v>244.35</v>
      </c>
      <c r="W1054">
        <f>T1054-U1054</f>
        <v>4.6999999999999886</v>
      </c>
      <c r="X1054">
        <v>55.361111000000001</v>
      </c>
      <c r="Y1054">
        <v>51.549999</v>
      </c>
      <c r="Z1054" t="s">
        <v>213</v>
      </c>
      <c r="AA1054" t="s">
        <v>139</v>
      </c>
      <c r="AB1054" t="s">
        <v>316</v>
      </c>
      <c r="AC1054" t="s">
        <v>1175</v>
      </c>
      <c r="AD1054" t="s">
        <v>1176</v>
      </c>
      <c r="AH1054" t="s">
        <v>65</v>
      </c>
      <c r="AI1054" t="s">
        <v>656</v>
      </c>
      <c r="AJ1054">
        <v>2000</v>
      </c>
      <c r="AK1054" t="s">
        <v>1326</v>
      </c>
      <c r="AN1054" t="s">
        <v>121</v>
      </c>
      <c r="AO1054" t="s">
        <v>106</v>
      </c>
      <c r="AP1054" t="s">
        <v>69</v>
      </c>
      <c r="AQ1054" t="s">
        <v>1327</v>
      </c>
      <c r="AR1054" t="s">
        <v>70</v>
      </c>
      <c r="AS1054">
        <v>302</v>
      </c>
      <c r="AT1054" t="s">
        <v>71</v>
      </c>
      <c r="AU1054">
        <v>60.23</v>
      </c>
      <c r="AV1054">
        <v>41.09</v>
      </c>
      <c r="AW1054" t="s">
        <v>72</v>
      </c>
      <c r="AX1054">
        <v>301</v>
      </c>
      <c r="AY1054" t="s">
        <v>71</v>
      </c>
      <c r="AZ1054">
        <v>43.64</v>
      </c>
      <c r="BA1054">
        <v>33.83</v>
      </c>
      <c r="BB1054" t="s">
        <v>73</v>
      </c>
    </row>
    <row r="1055" spans="1:54" x14ac:dyDescent="0.4">
      <c r="A1055">
        <v>877610</v>
      </c>
      <c r="D1055" t="s">
        <v>54</v>
      </c>
      <c r="G1055">
        <v>10</v>
      </c>
      <c r="H1055" t="s">
        <v>74</v>
      </c>
      <c r="I1055" t="s">
        <v>57</v>
      </c>
      <c r="K1055" t="s">
        <v>652</v>
      </c>
      <c r="L1055" t="s">
        <v>1329</v>
      </c>
      <c r="M1055" t="s">
        <v>59</v>
      </c>
      <c r="P1055" t="s">
        <v>131</v>
      </c>
      <c r="R1055" t="s">
        <v>112</v>
      </c>
      <c r="S1055" t="s">
        <v>61</v>
      </c>
      <c r="T1055">
        <v>246.7</v>
      </c>
      <c r="U1055">
        <v>242</v>
      </c>
      <c r="V1055">
        <f>(T1055+U1055)/2</f>
        <v>244.35</v>
      </c>
      <c r="W1055">
        <f>T1055-U1055</f>
        <v>4.6999999999999886</v>
      </c>
      <c r="X1055">
        <v>55.491112000000001</v>
      </c>
      <c r="Y1055">
        <v>51.362499</v>
      </c>
      <c r="Z1055" t="s">
        <v>213</v>
      </c>
      <c r="AA1055" t="s">
        <v>139</v>
      </c>
      <c r="AB1055" t="s">
        <v>316</v>
      </c>
      <c r="AC1055" t="s">
        <v>1330</v>
      </c>
      <c r="AD1055" t="s">
        <v>1176</v>
      </c>
      <c r="AH1055" t="s">
        <v>65</v>
      </c>
      <c r="AI1055" t="s">
        <v>656</v>
      </c>
      <c r="AJ1055">
        <v>2000</v>
      </c>
      <c r="AK1055" t="s">
        <v>1331</v>
      </c>
      <c r="AM1055" t="s">
        <v>1332</v>
      </c>
      <c r="AN1055" t="s">
        <v>94</v>
      </c>
      <c r="AO1055" t="s">
        <v>68</v>
      </c>
      <c r="AP1055" t="s">
        <v>69</v>
      </c>
      <c r="AQ1055" t="s">
        <v>1333</v>
      </c>
      <c r="AR1055" t="s">
        <v>70</v>
      </c>
      <c r="AS1055">
        <v>302</v>
      </c>
      <c r="AT1055" t="s">
        <v>71</v>
      </c>
      <c r="AU1055">
        <v>60.45</v>
      </c>
      <c r="AV1055">
        <v>40.97</v>
      </c>
      <c r="AW1055" t="s">
        <v>72</v>
      </c>
      <c r="AX1055">
        <v>301</v>
      </c>
      <c r="AY1055" t="s">
        <v>71</v>
      </c>
      <c r="AZ1055">
        <v>43.87</v>
      </c>
      <c r="BA1055">
        <v>33.770000000000003</v>
      </c>
      <c r="BB1055" t="s">
        <v>73</v>
      </c>
    </row>
    <row r="1056" spans="1:54" x14ac:dyDescent="0.4">
      <c r="A1056">
        <v>877687</v>
      </c>
      <c r="D1056" t="s">
        <v>108</v>
      </c>
      <c r="G1056">
        <v>1</v>
      </c>
      <c r="H1056" t="s">
        <v>74</v>
      </c>
      <c r="I1056" t="s">
        <v>57</v>
      </c>
      <c r="K1056" t="s">
        <v>652</v>
      </c>
      <c r="L1056" t="s">
        <v>1329</v>
      </c>
      <c r="M1056" t="s">
        <v>59</v>
      </c>
      <c r="P1056" t="s">
        <v>131</v>
      </c>
      <c r="R1056" t="s">
        <v>112</v>
      </c>
      <c r="S1056" t="s">
        <v>61</v>
      </c>
      <c r="T1056">
        <v>246.7</v>
      </c>
      <c r="U1056">
        <v>242</v>
      </c>
      <c r="V1056">
        <f>(T1056+U1056)/2</f>
        <v>244.35</v>
      </c>
      <c r="W1056">
        <f>T1056-U1056</f>
        <v>4.6999999999999886</v>
      </c>
      <c r="X1056">
        <v>55.308334000000002</v>
      </c>
      <c r="Y1056">
        <v>51.358333999999999</v>
      </c>
      <c r="Z1056" t="s">
        <v>454</v>
      </c>
      <c r="AA1056" t="s">
        <v>139</v>
      </c>
      <c r="AB1056" t="s">
        <v>316</v>
      </c>
      <c r="AC1056" t="s">
        <v>1175</v>
      </c>
      <c r="AD1056" t="s">
        <v>1176</v>
      </c>
      <c r="AG1056" t="s">
        <v>1058</v>
      </c>
      <c r="AH1056" t="s">
        <v>65</v>
      </c>
      <c r="AI1056" t="s">
        <v>656</v>
      </c>
      <c r="AJ1056">
        <v>2000</v>
      </c>
      <c r="AK1056" t="s">
        <v>1334</v>
      </c>
      <c r="AM1056" t="s">
        <v>1335</v>
      </c>
      <c r="AN1056" t="s">
        <v>94</v>
      </c>
      <c r="AO1056" t="s">
        <v>68</v>
      </c>
      <c r="AP1056" t="s">
        <v>69</v>
      </c>
      <c r="AQ1056" t="s">
        <v>1336</v>
      </c>
      <c r="AR1056" t="s">
        <v>70</v>
      </c>
      <c r="AS1056">
        <v>302</v>
      </c>
      <c r="AT1056" t="s">
        <v>71</v>
      </c>
      <c r="AU1056">
        <v>60.32</v>
      </c>
      <c r="AV1056">
        <v>40.909999999999997</v>
      </c>
      <c r="AW1056" t="s">
        <v>72</v>
      </c>
      <c r="AX1056">
        <v>301</v>
      </c>
      <c r="AY1056" t="s">
        <v>71</v>
      </c>
      <c r="AZ1056">
        <v>43.79</v>
      </c>
      <c r="BA1056">
        <v>33.68</v>
      </c>
      <c r="BB1056" t="s">
        <v>73</v>
      </c>
    </row>
    <row r="1057" spans="1:54" x14ac:dyDescent="0.4">
      <c r="A1057">
        <v>877701</v>
      </c>
      <c r="D1057" t="s">
        <v>108</v>
      </c>
      <c r="G1057">
        <v>1</v>
      </c>
      <c r="H1057" t="s">
        <v>74</v>
      </c>
      <c r="I1057" t="s">
        <v>57</v>
      </c>
      <c r="K1057" t="s">
        <v>102</v>
      </c>
      <c r="L1057" t="s">
        <v>1179</v>
      </c>
      <c r="M1057" t="s">
        <v>59</v>
      </c>
      <c r="P1057" t="s">
        <v>131</v>
      </c>
      <c r="R1057" t="s">
        <v>112</v>
      </c>
      <c r="S1057" t="s">
        <v>61</v>
      </c>
      <c r="T1057">
        <v>246.7</v>
      </c>
      <c r="U1057">
        <v>242</v>
      </c>
      <c r="V1057">
        <f>(T1057+U1057)/2</f>
        <v>244.35</v>
      </c>
      <c r="W1057">
        <f>T1057-U1057</f>
        <v>4.6999999999999886</v>
      </c>
      <c r="X1057">
        <v>55.308334000000002</v>
      </c>
      <c r="Y1057">
        <v>51.358333999999999</v>
      </c>
      <c r="Z1057" t="s">
        <v>454</v>
      </c>
      <c r="AA1057" t="s">
        <v>139</v>
      </c>
      <c r="AB1057" t="s">
        <v>316</v>
      </c>
      <c r="AC1057" t="s">
        <v>1175</v>
      </c>
      <c r="AD1057" t="s">
        <v>1176</v>
      </c>
      <c r="AG1057" t="s">
        <v>1058</v>
      </c>
      <c r="AH1057" t="s">
        <v>65</v>
      </c>
      <c r="AI1057" t="s">
        <v>656</v>
      </c>
      <c r="AJ1057">
        <v>2000</v>
      </c>
      <c r="AK1057" t="s">
        <v>1334</v>
      </c>
      <c r="AM1057" t="s">
        <v>1335</v>
      </c>
      <c r="AN1057" t="s">
        <v>94</v>
      </c>
      <c r="AO1057" t="s">
        <v>68</v>
      </c>
      <c r="AP1057" t="s">
        <v>69</v>
      </c>
      <c r="AQ1057" t="s">
        <v>1336</v>
      </c>
      <c r="AR1057" t="s">
        <v>70</v>
      </c>
      <c r="AS1057">
        <v>302</v>
      </c>
      <c r="AT1057" t="s">
        <v>71</v>
      </c>
      <c r="AU1057">
        <v>60.32</v>
      </c>
      <c r="AV1057">
        <v>40.909999999999997</v>
      </c>
      <c r="AW1057" t="s">
        <v>72</v>
      </c>
      <c r="AX1057">
        <v>301</v>
      </c>
      <c r="AY1057" t="s">
        <v>71</v>
      </c>
      <c r="AZ1057">
        <v>43.79</v>
      </c>
      <c r="BA1057">
        <v>33.68</v>
      </c>
      <c r="BB1057" t="s">
        <v>73</v>
      </c>
    </row>
    <row r="1058" spans="1:54" x14ac:dyDescent="0.4">
      <c r="A1058">
        <v>877774</v>
      </c>
      <c r="D1058" t="s">
        <v>108</v>
      </c>
      <c r="G1058">
        <v>2</v>
      </c>
      <c r="H1058" t="s">
        <v>74</v>
      </c>
      <c r="I1058" t="s">
        <v>57</v>
      </c>
      <c r="K1058" t="s">
        <v>102</v>
      </c>
      <c r="L1058" t="s">
        <v>1340</v>
      </c>
      <c r="M1058" t="s">
        <v>59</v>
      </c>
      <c r="P1058" t="s">
        <v>131</v>
      </c>
      <c r="R1058" t="s">
        <v>112</v>
      </c>
      <c r="S1058" t="s">
        <v>61</v>
      </c>
      <c r="T1058">
        <v>246.7</v>
      </c>
      <c r="U1058">
        <v>242</v>
      </c>
      <c r="V1058">
        <f>(T1058+U1058)/2</f>
        <v>244.35</v>
      </c>
      <c r="W1058">
        <f>T1058-U1058</f>
        <v>4.6999999999999886</v>
      </c>
      <c r="X1058">
        <v>55.308334000000002</v>
      </c>
      <c r="Y1058">
        <v>51.358333999999999</v>
      </c>
      <c r="Z1058" t="s">
        <v>454</v>
      </c>
      <c r="AA1058" t="s">
        <v>139</v>
      </c>
      <c r="AB1058" t="s">
        <v>316</v>
      </c>
      <c r="AC1058" t="s">
        <v>1175</v>
      </c>
      <c r="AD1058" t="s">
        <v>1176</v>
      </c>
      <c r="AG1058" t="s">
        <v>1058</v>
      </c>
      <c r="AH1058" t="s">
        <v>65</v>
      </c>
      <c r="AI1058" t="s">
        <v>656</v>
      </c>
      <c r="AJ1058">
        <v>2000</v>
      </c>
      <c r="AK1058" t="s">
        <v>1334</v>
      </c>
      <c r="AM1058" t="s">
        <v>1335</v>
      </c>
      <c r="AN1058" t="s">
        <v>94</v>
      </c>
      <c r="AO1058" t="s">
        <v>68</v>
      </c>
      <c r="AP1058" t="s">
        <v>69</v>
      </c>
      <c r="AQ1058" t="s">
        <v>1336</v>
      </c>
      <c r="AR1058" t="s">
        <v>70</v>
      </c>
      <c r="AS1058">
        <v>302</v>
      </c>
      <c r="AT1058" t="s">
        <v>71</v>
      </c>
      <c r="AU1058">
        <v>60.32</v>
      </c>
      <c r="AV1058">
        <v>40.909999999999997</v>
      </c>
      <c r="AW1058" t="s">
        <v>72</v>
      </c>
      <c r="AX1058">
        <v>301</v>
      </c>
      <c r="AY1058" t="s">
        <v>71</v>
      </c>
      <c r="AZ1058">
        <v>43.79</v>
      </c>
      <c r="BA1058">
        <v>33.68</v>
      </c>
      <c r="BB1058" t="s">
        <v>73</v>
      </c>
    </row>
    <row r="1059" spans="1:54" x14ac:dyDescent="0.4">
      <c r="A1059">
        <v>879452</v>
      </c>
      <c r="D1059" t="s">
        <v>54</v>
      </c>
      <c r="G1059">
        <v>1</v>
      </c>
      <c r="H1059" t="s">
        <v>74</v>
      </c>
      <c r="I1059" t="s">
        <v>57</v>
      </c>
      <c r="K1059" t="s">
        <v>102</v>
      </c>
      <c r="L1059" t="s">
        <v>1340</v>
      </c>
      <c r="M1059" t="s">
        <v>59</v>
      </c>
      <c r="P1059" t="s">
        <v>131</v>
      </c>
      <c r="R1059" t="s">
        <v>112</v>
      </c>
      <c r="S1059" t="s">
        <v>61</v>
      </c>
      <c r="T1059">
        <v>246.7</v>
      </c>
      <c r="U1059">
        <v>242</v>
      </c>
      <c r="V1059">
        <f>(T1059+U1059)/2</f>
        <v>244.35</v>
      </c>
      <c r="W1059">
        <f>T1059-U1059</f>
        <v>4.6999999999999886</v>
      </c>
      <c r="X1059">
        <v>53.5</v>
      </c>
      <c r="Y1059">
        <v>52.533332999999999</v>
      </c>
      <c r="Z1059" t="s">
        <v>213</v>
      </c>
      <c r="AA1059" t="s">
        <v>139</v>
      </c>
      <c r="AB1059" t="s">
        <v>206</v>
      </c>
      <c r="AD1059" t="s">
        <v>1176</v>
      </c>
      <c r="AH1059" t="s">
        <v>65</v>
      </c>
      <c r="AI1059" t="s">
        <v>716</v>
      </c>
      <c r="AJ1059">
        <v>2003</v>
      </c>
      <c r="AK1059" t="s">
        <v>1347</v>
      </c>
      <c r="AM1059" t="s">
        <v>1348</v>
      </c>
      <c r="AN1059" t="s">
        <v>121</v>
      </c>
      <c r="AO1059" t="s">
        <v>106</v>
      </c>
      <c r="AP1059" t="s">
        <v>69</v>
      </c>
      <c r="AQ1059" t="s">
        <v>1349</v>
      </c>
      <c r="AR1059" t="s">
        <v>70</v>
      </c>
      <c r="AS1059">
        <v>302</v>
      </c>
      <c r="AT1059" t="s">
        <v>71</v>
      </c>
      <c r="AU1059">
        <v>58.25</v>
      </c>
      <c r="AV1059">
        <v>41.34</v>
      </c>
      <c r="AW1059" t="s">
        <v>72</v>
      </c>
      <c r="AX1059">
        <v>301</v>
      </c>
      <c r="AY1059" t="s">
        <v>71</v>
      </c>
      <c r="AZ1059">
        <v>41.84</v>
      </c>
      <c r="BA1059">
        <v>33.630000000000003</v>
      </c>
      <c r="BB1059" t="s">
        <v>73</v>
      </c>
    </row>
    <row r="1060" spans="1:54" x14ac:dyDescent="0.4">
      <c r="A1060">
        <v>879453</v>
      </c>
      <c r="D1060" t="s">
        <v>54</v>
      </c>
      <c r="G1060">
        <v>2</v>
      </c>
      <c r="H1060" t="s">
        <v>74</v>
      </c>
      <c r="I1060" t="s">
        <v>57</v>
      </c>
      <c r="K1060" t="s">
        <v>652</v>
      </c>
      <c r="L1060" t="s">
        <v>1329</v>
      </c>
      <c r="M1060" t="s">
        <v>59</v>
      </c>
      <c r="P1060" t="s">
        <v>131</v>
      </c>
      <c r="R1060" t="s">
        <v>112</v>
      </c>
      <c r="S1060" t="s">
        <v>61</v>
      </c>
      <c r="T1060">
        <v>246.7</v>
      </c>
      <c r="U1060">
        <v>242</v>
      </c>
      <c r="V1060">
        <f>(T1060+U1060)/2</f>
        <v>244.35</v>
      </c>
      <c r="W1060">
        <f>T1060-U1060</f>
        <v>4.6999999999999886</v>
      </c>
      <c r="X1060">
        <v>53.5</v>
      </c>
      <c r="Y1060">
        <v>52.533332999999999</v>
      </c>
      <c r="Z1060" t="s">
        <v>213</v>
      </c>
      <c r="AA1060" t="s">
        <v>139</v>
      </c>
      <c r="AB1060" t="s">
        <v>206</v>
      </c>
      <c r="AD1060" t="s">
        <v>1176</v>
      </c>
      <c r="AH1060" t="s">
        <v>65</v>
      </c>
      <c r="AI1060" t="s">
        <v>716</v>
      </c>
      <c r="AJ1060">
        <v>2003</v>
      </c>
      <c r="AK1060" t="s">
        <v>1347</v>
      </c>
      <c r="AM1060" t="s">
        <v>1348</v>
      </c>
      <c r="AN1060" t="s">
        <v>121</v>
      </c>
      <c r="AO1060" t="s">
        <v>106</v>
      </c>
      <c r="AP1060" t="s">
        <v>69</v>
      </c>
      <c r="AQ1060" t="s">
        <v>1349</v>
      </c>
      <c r="AR1060" t="s">
        <v>70</v>
      </c>
      <c r="AS1060">
        <v>302</v>
      </c>
      <c r="AT1060" t="s">
        <v>71</v>
      </c>
      <c r="AU1060">
        <v>58.25</v>
      </c>
      <c r="AV1060">
        <v>41.34</v>
      </c>
      <c r="AW1060" t="s">
        <v>72</v>
      </c>
      <c r="AX1060">
        <v>301</v>
      </c>
      <c r="AY1060" t="s">
        <v>71</v>
      </c>
      <c r="AZ1060">
        <v>41.84</v>
      </c>
      <c r="BA1060">
        <v>33.630000000000003</v>
      </c>
      <c r="BB1060" t="s">
        <v>73</v>
      </c>
    </row>
    <row r="1061" spans="1:54" x14ac:dyDescent="0.4">
      <c r="A1061">
        <v>879454</v>
      </c>
      <c r="D1061" t="s">
        <v>54</v>
      </c>
      <c r="I1061" t="s">
        <v>57</v>
      </c>
      <c r="K1061" t="s">
        <v>125</v>
      </c>
      <c r="L1061" t="s">
        <v>1328</v>
      </c>
      <c r="M1061" t="s">
        <v>59</v>
      </c>
      <c r="O1061" t="s">
        <v>76</v>
      </c>
      <c r="P1061" t="s">
        <v>131</v>
      </c>
      <c r="R1061" t="s">
        <v>112</v>
      </c>
      <c r="S1061" t="s">
        <v>61</v>
      </c>
      <c r="T1061">
        <v>246.7</v>
      </c>
      <c r="U1061">
        <v>242</v>
      </c>
      <c r="V1061">
        <f>(T1061+U1061)/2</f>
        <v>244.35</v>
      </c>
      <c r="W1061">
        <f>T1061-U1061</f>
        <v>4.6999999999999886</v>
      </c>
      <c r="X1061">
        <v>53.5</v>
      </c>
      <c r="Y1061">
        <v>52.533332999999999</v>
      </c>
      <c r="Z1061" t="s">
        <v>213</v>
      </c>
      <c r="AA1061" t="s">
        <v>139</v>
      </c>
      <c r="AB1061" t="s">
        <v>206</v>
      </c>
      <c r="AD1061" t="s">
        <v>1176</v>
      </c>
      <c r="AH1061" t="s">
        <v>65</v>
      </c>
      <c r="AI1061" t="s">
        <v>716</v>
      </c>
      <c r="AJ1061">
        <v>2003</v>
      </c>
      <c r="AK1061" t="s">
        <v>1347</v>
      </c>
      <c r="AM1061" t="s">
        <v>1348</v>
      </c>
      <c r="AN1061" t="s">
        <v>121</v>
      </c>
      <c r="AO1061" t="s">
        <v>106</v>
      </c>
      <c r="AP1061" t="s">
        <v>69</v>
      </c>
      <c r="AQ1061" t="s">
        <v>1349</v>
      </c>
      <c r="AR1061" t="s">
        <v>70</v>
      </c>
      <c r="AS1061">
        <v>302</v>
      </c>
      <c r="AT1061" t="s">
        <v>71</v>
      </c>
      <c r="AU1061">
        <v>58.25</v>
      </c>
      <c r="AV1061">
        <v>41.34</v>
      </c>
      <c r="AW1061" t="s">
        <v>72</v>
      </c>
      <c r="AX1061">
        <v>301</v>
      </c>
      <c r="AY1061" t="s">
        <v>71</v>
      </c>
      <c r="AZ1061">
        <v>41.84</v>
      </c>
      <c r="BA1061">
        <v>33.630000000000003</v>
      </c>
      <c r="BB1061" t="s">
        <v>73</v>
      </c>
    </row>
    <row r="1062" spans="1:54" x14ac:dyDescent="0.4">
      <c r="A1062">
        <v>880670</v>
      </c>
      <c r="D1062" t="s">
        <v>54</v>
      </c>
      <c r="G1062">
        <v>1</v>
      </c>
      <c r="H1062" t="s">
        <v>56</v>
      </c>
      <c r="I1062" t="s">
        <v>57</v>
      </c>
      <c r="K1062" t="s">
        <v>102</v>
      </c>
      <c r="L1062" t="s">
        <v>1350</v>
      </c>
      <c r="M1062" t="s">
        <v>59</v>
      </c>
      <c r="O1062" t="s">
        <v>76</v>
      </c>
      <c r="P1062" t="s">
        <v>131</v>
      </c>
      <c r="R1062" t="s">
        <v>112</v>
      </c>
      <c r="S1062" t="s">
        <v>61</v>
      </c>
      <c r="T1062">
        <v>246.7</v>
      </c>
      <c r="U1062">
        <v>242</v>
      </c>
      <c r="V1062">
        <f>(T1062+U1062)/2</f>
        <v>244.35</v>
      </c>
      <c r="W1062">
        <f>T1062-U1062</f>
        <v>4.6999999999999886</v>
      </c>
      <c r="X1062">
        <v>110.300003</v>
      </c>
      <c r="Y1062">
        <v>29.5</v>
      </c>
      <c r="Z1062" t="s">
        <v>428</v>
      </c>
      <c r="AA1062" t="s">
        <v>186</v>
      </c>
      <c r="AB1062" t="s">
        <v>1351</v>
      </c>
      <c r="AC1062" t="s">
        <v>1352</v>
      </c>
      <c r="AD1062" t="s">
        <v>1353</v>
      </c>
      <c r="AE1062" t="s">
        <v>1354</v>
      </c>
      <c r="AH1062" t="s">
        <v>65</v>
      </c>
      <c r="AI1062" t="s">
        <v>1355</v>
      </c>
      <c r="AJ1062">
        <v>1975</v>
      </c>
      <c r="AK1062" t="s">
        <v>1356</v>
      </c>
      <c r="AM1062" t="s">
        <v>1357</v>
      </c>
      <c r="AN1062" t="s">
        <v>94</v>
      </c>
      <c r="AO1062">
        <v>2</v>
      </c>
      <c r="AP1062" t="s">
        <v>69</v>
      </c>
      <c r="AR1062" t="s">
        <v>70</v>
      </c>
      <c r="AS1062">
        <v>611</v>
      </c>
      <c r="AT1062" t="s">
        <v>71</v>
      </c>
      <c r="AU1062">
        <v>111.9</v>
      </c>
      <c r="AV1062">
        <v>-6.3</v>
      </c>
      <c r="AW1062" t="s">
        <v>72</v>
      </c>
      <c r="AX1062">
        <v>611</v>
      </c>
      <c r="AY1062" t="s">
        <v>71</v>
      </c>
      <c r="AZ1062">
        <v>97.21</v>
      </c>
      <c r="BA1062">
        <v>17.55</v>
      </c>
      <c r="BB1062" t="s">
        <v>73</v>
      </c>
    </row>
    <row r="1063" spans="1:54" x14ac:dyDescent="0.4">
      <c r="A1063">
        <v>880670</v>
      </c>
      <c r="D1063" t="s">
        <v>54</v>
      </c>
      <c r="G1063">
        <v>1</v>
      </c>
      <c r="H1063" t="s">
        <v>56</v>
      </c>
      <c r="I1063" t="s">
        <v>57</v>
      </c>
      <c r="K1063" t="s">
        <v>102</v>
      </c>
      <c r="L1063" t="s">
        <v>1350</v>
      </c>
      <c r="M1063" t="s">
        <v>59</v>
      </c>
      <c r="O1063" t="s">
        <v>76</v>
      </c>
      <c r="P1063" t="s">
        <v>131</v>
      </c>
      <c r="R1063" t="s">
        <v>112</v>
      </c>
      <c r="S1063" t="s">
        <v>61</v>
      </c>
      <c r="T1063">
        <v>246.7</v>
      </c>
      <c r="U1063">
        <v>242</v>
      </c>
      <c r="V1063">
        <f>(T1063+U1063)/2</f>
        <v>244.35</v>
      </c>
      <c r="W1063">
        <f>T1063-U1063</f>
        <v>4.6999999999999886</v>
      </c>
      <c r="X1063">
        <v>110.300003</v>
      </c>
      <c r="Y1063">
        <v>29.5</v>
      </c>
      <c r="Z1063" t="s">
        <v>428</v>
      </c>
      <c r="AA1063" t="s">
        <v>186</v>
      </c>
      <c r="AB1063" t="s">
        <v>1351</v>
      </c>
      <c r="AC1063" t="s">
        <v>1352</v>
      </c>
      <c r="AD1063" t="s">
        <v>1353</v>
      </c>
      <c r="AE1063" t="s">
        <v>1354</v>
      </c>
      <c r="AH1063" t="s">
        <v>65</v>
      </c>
      <c r="AI1063" t="s">
        <v>1355</v>
      </c>
      <c r="AJ1063">
        <v>1975</v>
      </c>
      <c r="AK1063" t="s">
        <v>1356</v>
      </c>
      <c r="AM1063" t="s">
        <v>1357</v>
      </c>
      <c r="AN1063" t="s">
        <v>94</v>
      </c>
      <c r="AO1063">
        <v>2</v>
      </c>
      <c r="AP1063" t="s">
        <v>69</v>
      </c>
      <c r="AR1063" t="s">
        <v>70</v>
      </c>
      <c r="AS1063">
        <v>611</v>
      </c>
      <c r="AT1063" t="s">
        <v>71</v>
      </c>
      <c r="AU1063">
        <v>111.9</v>
      </c>
      <c r="AV1063">
        <v>-6.3</v>
      </c>
      <c r="AW1063" t="s">
        <v>72</v>
      </c>
      <c r="AX1063">
        <v>611</v>
      </c>
      <c r="AY1063" t="s">
        <v>71</v>
      </c>
      <c r="AZ1063">
        <v>97.21</v>
      </c>
      <c r="BA1063">
        <v>17.55</v>
      </c>
      <c r="BB1063" t="s">
        <v>73</v>
      </c>
    </row>
    <row r="1064" spans="1:54" x14ac:dyDescent="0.4">
      <c r="A1064">
        <v>880670</v>
      </c>
      <c r="D1064" t="s">
        <v>54</v>
      </c>
      <c r="G1064">
        <v>1</v>
      </c>
      <c r="H1064" t="s">
        <v>56</v>
      </c>
      <c r="I1064" t="s">
        <v>57</v>
      </c>
      <c r="K1064" t="s">
        <v>102</v>
      </c>
      <c r="L1064" t="s">
        <v>1350</v>
      </c>
      <c r="M1064" t="s">
        <v>59</v>
      </c>
      <c r="O1064" t="s">
        <v>76</v>
      </c>
      <c r="P1064" t="s">
        <v>131</v>
      </c>
      <c r="R1064" t="s">
        <v>112</v>
      </c>
      <c r="S1064" t="s">
        <v>61</v>
      </c>
      <c r="T1064">
        <v>246.7</v>
      </c>
      <c r="U1064">
        <v>242</v>
      </c>
      <c r="V1064">
        <f>(T1064+U1064)/2</f>
        <v>244.35</v>
      </c>
      <c r="W1064">
        <f>T1064-U1064</f>
        <v>4.6999999999999886</v>
      </c>
      <c r="X1064">
        <v>110.300003</v>
      </c>
      <c r="Y1064">
        <v>29.5</v>
      </c>
      <c r="Z1064" t="s">
        <v>428</v>
      </c>
      <c r="AA1064" t="s">
        <v>186</v>
      </c>
      <c r="AB1064" t="s">
        <v>1351</v>
      </c>
      <c r="AC1064" t="s">
        <v>1352</v>
      </c>
      <c r="AD1064" t="s">
        <v>1353</v>
      </c>
      <c r="AE1064" t="s">
        <v>1354</v>
      </c>
      <c r="AH1064" t="s">
        <v>65</v>
      </c>
      <c r="AI1064" t="s">
        <v>1355</v>
      </c>
      <c r="AJ1064">
        <v>1975</v>
      </c>
      <c r="AK1064" t="s">
        <v>1356</v>
      </c>
      <c r="AM1064" t="s">
        <v>1357</v>
      </c>
      <c r="AN1064" t="s">
        <v>94</v>
      </c>
      <c r="AO1064">
        <v>2</v>
      </c>
      <c r="AP1064" t="s">
        <v>69</v>
      </c>
      <c r="AR1064" t="s">
        <v>70</v>
      </c>
      <c r="AS1064">
        <v>611</v>
      </c>
      <c r="AT1064" t="s">
        <v>71</v>
      </c>
      <c r="AU1064">
        <v>111.9</v>
      </c>
      <c r="AV1064">
        <v>-6.3</v>
      </c>
      <c r="AW1064" t="s">
        <v>72</v>
      </c>
      <c r="AX1064">
        <v>611</v>
      </c>
      <c r="AY1064" t="s">
        <v>71</v>
      </c>
      <c r="AZ1064">
        <v>97.21</v>
      </c>
      <c r="BA1064">
        <v>17.55</v>
      </c>
      <c r="BB1064" t="s">
        <v>73</v>
      </c>
    </row>
    <row r="1065" spans="1:54" x14ac:dyDescent="0.4">
      <c r="A1065">
        <v>880670</v>
      </c>
      <c r="D1065" t="s">
        <v>54</v>
      </c>
      <c r="G1065">
        <v>1</v>
      </c>
      <c r="H1065" t="s">
        <v>56</v>
      </c>
      <c r="I1065" t="s">
        <v>57</v>
      </c>
      <c r="K1065" t="s">
        <v>102</v>
      </c>
      <c r="L1065" t="s">
        <v>1350</v>
      </c>
      <c r="M1065" t="s">
        <v>59</v>
      </c>
      <c r="O1065" t="s">
        <v>76</v>
      </c>
      <c r="P1065" t="s">
        <v>131</v>
      </c>
      <c r="R1065" t="s">
        <v>112</v>
      </c>
      <c r="S1065" t="s">
        <v>61</v>
      </c>
      <c r="T1065">
        <v>246.7</v>
      </c>
      <c r="U1065">
        <v>242</v>
      </c>
      <c r="V1065">
        <f>(T1065+U1065)/2</f>
        <v>244.35</v>
      </c>
      <c r="W1065">
        <f>T1065-U1065</f>
        <v>4.6999999999999886</v>
      </c>
      <c r="X1065">
        <v>110.300003</v>
      </c>
      <c r="Y1065">
        <v>29.5</v>
      </c>
      <c r="Z1065" t="s">
        <v>428</v>
      </c>
      <c r="AA1065" t="s">
        <v>186</v>
      </c>
      <c r="AB1065" t="s">
        <v>1351</v>
      </c>
      <c r="AC1065" t="s">
        <v>1352</v>
      </c>
      <c r="AD1065" t="s">
        <v>1353</v>
      </c>
      <c r="AE1065" t="s">
        <v>1354</v>
      </c>
      <c r="AH1065" t="s">
        <v>65</v>
      </c>
      <c r="AI1065" t="s">
        <v>1355</v>
      </c>
      <c r="AJ1065">
        <v>1975</v>
      </c>
      <c r="AK1065" t="s">
        <v>1356</v>
      </c>
      <c r="AM1065" t="s">
        <v>1357</v>
      </c>
      <c r="AN1065" t="s">
        <v>94</v>
      </c>
      <c r="AO1065">
        <v>2</v>
      </c>
      <c r="AP1065" t="s">
        <v>69</v>
      </c>
      <c r="AR1065" t="s">
        <v>70</v>
      </c>
      <c r="AS1065">
        <v>611</v>
      </c>
      <c r="AT1065" t="s">
        <v>71</v>
      </c>
      <c r="AU1065">
        <v>111.9</v>
      </c>
      <c r="AV1065">
        <v>-6.3</v>
      </c>
      <c r="AW1065" t="s">
        <v>72</v>
      </c>
      <c r="AX1065">
        <v>611</v>
      </c>
      <c r="AY1065" t="s">
        <v>71</v>
      </c>
      <c r="AZ1065">
        <v>97.21</v>
      </c>
      <c r="BA1065">
        <v>17.55</v>
      </c>
      <c r="BB1065" t="s">
        <v>73</v>
      </c>
    </row>
    <row r="1066" spans="1:54" x14ac:dyDescent="0.4">
      <c r="A1066">
        <v>880670</v>
      </c>
      <c r="D1066" t="s">
        <v>54</v>
      </c>
      <c r="G1066">
        <v>1</v>
      </c>
      <c r="H1066" t="s">
        <v>56</v>
      </c>
      <c r="I1066" t="s">
        <v>57</v>
      </c>
      <c r="K1066" t="s">
        <v>102</v>
      </c>
      <c r="L1066" t="s">
        <v>1350</v>
      </c>
      <c r="M1066" t="s">
        <v>59</v>
      </c>
      <c r="O1066" t="s">
        <v>76</v>
      </c>
      <c r="P1066" t="s">
        <v>131</v>
      </c>
      <c r="R1066" t="s">
        <v>112</v>
      </c>
      <c r="S1066" t="s">
        <v>61</v>
      </c>
      <c r="T1066">
        <v>246.7</v>
      </c>
      <c r="U1066">
        <v>242</v>
      </c>
      <c r="V1066">
        <f>(T1066+U1066)/2</f>
        <v>244.35</v>
      </c>
      <c r="W1066">
        <f>T1066-U1066</f>
        <v>4.6999999999999886</v>
      </c>
      <c r="X1066">
        <v>110.300003</v>
      </c>
      <c r="Y1066">
        <v>29.5</v>
      </c>
      <c r="Z1066" t="s">
        <v>428</v>
      </c>
      <c r="AA1066" t="s">
        <v>186</v>
      </c>
      <c r="AB1066" t="s">
        <v>1351</v>
      </c>
      <c r="AC1066" t="s">
        <v>1352</v>
      </c>
      <c r="AD1066" t="s">
        <v>1353</v>
      </c>
      <c r="AE1066" t="s">
        <v>1354</v>
      </c>
      <c r="AH1066" t="s">
        <v>65</v>
      </c>
      <c r="AI1066" t="s">
        <v>1355</v>
      </c>
      <c r="AJ1066">
        <v>1975</v>
      </c>
      <c r="AK1066" t="s">
        <v>1356</v>
      </c>
      <c r="AM1066" t="s">
        <v>1357</v>
      </c>
      <c r="AN1066" t="s">
        <v>94</v>
      </c>
      <c r="AO1066">
        <v>2</v>
      </c>
      <c r="AP1066" t="s">
        <v>69</v>
      </c>
      <c r="AR1066" t="s">
        <v>70</v>
      </c>
      <c r="AS1066">
        <v>611</v>
      </c>
      <c r="AT1066" t="s">
        <v>71</v>
      </c>
      <c r="AU1066">
        <v>111.9</v>
      </c>
      <c r="AV1066">
        <v>-6.3</v>
      </c>
      <c r="AW1066" t="s">
        <v>72</v>
      </c>
      <c r="AX1066">
        <v>611</v>
      </c>
      <c r="AY1066" t="s">
        <v>71</v>
      </c>
      <c r="AZ1066">
        <v>97.21</v>
      </c>
      <c r="BA1066">
        <v>17.55</v>
      </c>
      <c r="BB1066" t="s">
        <v>73</v>
      </c>
    </row>
    <row r="1067" spans="1:54" x14ac:dyDescent="0.4">
      <c r="A1067">
        <v>880670</v>
      </c>
      <c r="D1067" t="s">
        <v>54</v>
      </c>
      <c r="G1067">
        <v>1</v>
      </c>
      <c r="H1067" t="s">
        <v>56</v>
      </c>
      <c r="I1067" t="s">
        <v>57</v>
      </c>
      <c r="K1067" t="s">
        <v>102</v>
      </c>
      <c r="L1067" t="s">
        <v>1350</v>
      </c>
      <c r="M1067" t="s">
        <v>59</v>
      </c>
      <c r="O1067" t="s">
        <v>76</v>
      </c>
      <c r="P1067" t="s">
        <v>131</v>
      </c>
      <c r="R1067" t="s">
        <v>112</v>
      </c>
      <c r="S1067" t="s">
        <v>61</v>
      </c>
      <c r="T1067">
        <v>246.7</v>
      </c>
      <c r="U1067">
        <v>242</v>
      </c>
      <c r="V1067">
        <f>(T1067+U1067)/2</f>
        <v>244.35</v>
      </c>
      <c r="W1067">
        <f>T1067-U1067</f>
        <v>4.6999999999999886</v>
      </c>
      <c r="X1067">
        <v>110.300003</v>
      </c>
      <c r="Y1067">
        <v>29.5</v>
      </c>
      <c r="Z1067" t="s">
        <v>428</v>
      </c>
      <c r="AA1067" t="s">
        <v>186</v>
      </c>
      <c r="AB1067" t="s">
        <v>1351</v>
      </c>
      <c r="AC1067" t="s">
        <v>1352</v>
      </c>
      <c r="AD1067" t="s">
        <v>1353</v>
      </c>
      <c r="AE1067" t="s">
        <v>1354</v>
      </c>
      <c r="AH1067" t="s">
        <v>65</v>
      </c>
      <c r="AI1067" t="s">
        <v>1355</v>
      </c>
      <c r="AJ1067">
        <v>1975</v>
      </c>
      <c r="AK1067" t="s">
        <v>1356</v>
      </c>
      <c r="AM1067" t="s">
        <v>1357</v>
      </c>
      <c r="AN1067" t="s">
        <v>94</v>
      </c>
      <c r="AO1067">
        <v>2</v>
      </c>
      <c r="AP1067" t="s">
        <v>69</v>
      </c>
      <c r="AR1067" t="s">
        <v>70</v>
      </c>
      <c r="AS1067">
        <v>611</v>
      </c>
      <c r="AT1067" t="s">
        <v>71</v>
      </c>
      <c r="AU1067">
        <v>111.9</v>
      </c>
      <c r="AV1067">
        <v>-6.3</v>
      </c>
      <c r="AW1067" t="s">
        <v>72</v>
      </c>
      <c r="AX1067">
        <v>611</v>
      </c>
      <c r="AY1067" t="s">
        <v>71</v>
      </c>
      <c r="AZ1067">
        <v>97.21</v>
      </c>
      <c r="BA1067">
        <v>17.55</v>
      </c>
      <c r="BB1067" t="s">
        <v>73</v>
      </c>
    </row>
    <row r="1068" spans="1:54" x14ac:dyDescent="0.4">
      <c r="A1068">
        <v>880670</v>
      </c>
      <c r="D1068" t="s">
        <v>54</v>
      </c>
      <c r="G1068">
        <v>1</v>
      </c>
      <c r="H1068" t="s">
        <v>56</v>
      </c>
      <c r="I1068" t="s">
        <v>57</v>
      </c>
      <c r="K1068" t="s">
        <v>102</v>
      </c>
      <c r="L1068" t="s">
        <v>1350</v>
      </c>
      <c r="M1068" t="s">
        <v>59</v>
      </c>
      <c r="O1068" t="s">
        <v>76</v>
      </c>
      <c r="P1068" t="s">
        <v>131</v>
      </c>
      <c r="R1068" t="s">
        <v>112</v>
      </c>
      <c r="S1068" t="s">
        <v>61</v>
      </c>
      <c r="T1068">
        <v>246.7</v>
      </c>
      <c r="U1068">
        <v>242</v>
      </c>
      <c r="V1068">
        <f>(T1068+U1068)/2</f>
        <v>244.35</v>
      </c>
      <c r="W1068">
        <f>T1068-U1068</f>
        <v>4.6999999999999886</v>
      </c>
      <c r="X1068">
        <v>110.300003</v>
      </c>
      <c r="Y1068">
        <v>29.5</v>
      </c>
      <c r="Z1068" t="s">
        <v>428</v>
      </c>
      <c r="AA1068" t="s">
        <v>186</v>
      </c>
      <c r="AB1068" t="s">
        <v>1351</v>
      </c>
      <c r="AC1068" t="s">
        <v>1352</v>
      </c>
      <c r="AD1068" t="s">
        <v>1353</v>
      </c>
      <c r="AE1068" t="s">
        <v>1354</v>
      </c>
      <c r="AH1068" t="s">
        <v>65</v>
      </c>
      <c r="AI1068" t="s">
        <v>1355</v>
      </c>
      <c r="AJ1068">
        <v>1975</v>
      </c>
      <c r="AK1068" t="s">
        <v>1356</v>
      </c>
      <c r="AM1068" t="s">
        <v>1357</v>
      </c>
      <c r="AN1068" t="s">
        <v>94</v>
      </c>
      <c r="AO1068">
        <v>2</v>
      </c>
      <c r="AP1068" t="s">
        <v>69</v>
      </c>
      <c r="AR1068" t="s">
        <v>70</v>
      </c>
      <c r="AS1068">
        <v>611</v>
      </c>
      <c r="AT1068" t="s">
        <v>71</v>
      </c>
      <c r="AU1068">
        <v>111.9</v>
      </c>
      <c r="AV1068">
        <v>-6.3</v>
      </c>
      <c r="AW1068" t="s">
        <v>72</v>
      </c>
      <c r="AX1068">
        <v>611</v>
      </c>
      <c r="AY1068" t="s">
        <v>71</v>
      </c>
      <c r="AZ1068">
        <v>97.21</v>
      </c>
      <c r="BA1068">
        <v>17.55</v>
      </c>
      <c r="BB1068" t="s">
        <v>73</v>
      </c>
    </row>
    <row r="1069" spans="1:54" x14ac:dyDescent="0.4">
      <c r="A1069">
        <v>880670</v>
      </c>
      <c r="D1069" t="s">
        <v>54</v>
      </c>
      <c r="G1069">
        <v>1</v>
      </c>
      <c r="H1069" t="s">
        <v>56</v>
      </c>
      <c r="I1069" t="s">
        <v>57</v>
      </c>
      <c r="K1069" t="s">
        <v>102</v>
      </c>
      <c r="L1069" t="s">
        <v>1350</v>
      </c>
      <c r="M1069" t="s">
        <v>59</v>
      </c>
      <c r="O1069" t="s">
        <v>76</v>
      </c>
      <c r="P1069" t="s">
        <v>131</v>
      </c>
      <c r="R1069" t="s">
        <v>112</v>
      </c>
      <c r="S1069" t="s">
        <v>61</v>
      </c>
      <c r="T1069">
        <v>246.7</v>
      </c>
      <c r="U1069">
        <v>242</v>
      </c>
      <c r="V1069">
        <f>(T1069+U1069)/2</f>
        <v>244.35</v>
      </c>
      <c r="W1069">
        <f>T1069-U1069</f>
        <v>4.6999999999999886</v>
      </c>
      <c r="X1069">
        <v>110.300003</v>
      </c>
      <c r="Y1069">
        <v>29.5</v>
      </c>
      <c r="Z1069" t="s">
        <v>428</v>
      </c>
      <c r="AA1069" t="s">
        <v>186</v>
      </c>
      <c r="AB1069" t="s">
        <v>1351</v>
      </c>
      <c r="AC1069" t="s">
        <v>1352</v>
      </c>
      <c r="AD1069" t="s">
        <v>1353</v>
      </c>
      <c r="AE1069" t="s">
        <v>1354</v>
      </c>
      <c r="AH1069" t="s">
        <v>65</v>
      </c>
      <c r="AI1069" t="s">
        <v>1355</v>
      </c>
      <c r="AJ1069">
        <v>1975</v>
      </c>
      <c r="AK1069" t="s">
        <v>1356</v>
      </c>
      <c r="AM1069" t="s">
        <v>1357</v>
      </c>
      <c r="AN1069" t="s">
        <v>94</v>
      </c>
      <c r="AO1069">
        <v>2</v>
      </c>
      <c r="AP1069" t="s">
        <v>69</v>
      </c>
      <c r="AR1069" t="s">
        <v>70</v>
      </c>
      <c r="AS1069">
        <v>611</v>
      </c>
      <c r="AT1069" t="s">
        <v>71</v>
      </c>
      <c r="AU1069">
        <v>111.9</v>
      </c>
      <c r="AV1069">
        <v>-6.3</v>
      </c>
      <c r="AW1069" t="s">
        <v>72</v>
      </c>
      <c r="AX1069">
        <v>611</v>
      </c>
      <c r="AY1069" t="s">
        <v>71</v>
      </c>
      <c r="AZ1069">
        <v>97.21</v>
      </c>
      <c r="BA1069">
        <v>17.55</v>
      </c>
      <c r="BB1069" t="s">
        <v>73</v>
      </c>
    </row>
    <row r="1070" spans="1:54" x14ac:dyDescent="0.4">
      <c r="A1070">
        <v>880670</v>
      </c>
      <c r="D1070" t="s">
        <v>54</v>
      </c>
      <c r="G1070">
        <v>1</v>
      </c>
      <c r="H1070" t="s">
        <v>56</v>
      </c>
      <c r="I1070" t="s">
        <v>57</v>
      </c>
      <c r="K1070" t="s">
        <v>102</v>
      </c>
      <c r="L1070" t="s">
        <v>1350</v>
      </c>
      <c r="M1070" t="s">
        <v>59</v>
      </c>
      <c r="O1070" t="s">
        <v>76</v>
      </c>
      <c r="P1070" t="s">
        <v>131</v>
      </c>
      <c r="R1070" t="s">
        <v>112</v>
      </c>
      <c r="S1070" t="s">
        <v>61</v>
      </c>
      <c r="T1070">
        <v>246.7</v>
      </c>
      <c r="U1070">
        <v>242</v>
      </c>
      <c r="V1070">
        <f>(T1070+U1070)/2</f>
        <v>244.35</v>
      </c>
      <c r="W1070">
        <f>T1070-U1070</f>
        <v>4.6999999999999886</v>
      </c>
      <c r="X1070">
        <v>110.300003</v>
      </c>
      <c r="Y1070">
        <v>29.5</v>
      </c>
      <c r="Z1070" t="s">
        <v>428</v>
      </c>
      <c r="AA1070" t="s">
        <v>186</v>
      </c>
      <c r="AB1070" t="s">
        <v>1351</v>
      </c>
      <c r="AC1070" t="s">
        <v>1352</v>
      </c>
      <c r="AD1070" t="s">
        <v>1353</v>
      </c>
      <c r="AE1070" t="s">
        <v>1354</v>
      </c>
      <c r="AH1070" t="s">
        <v>65</v>
      </c>
      <c r="AI1070" t="s">
        <v>1355</v>
      </c>
      <c r="AJ1070">
        <v>1975</v>
      </c>
      <c r="AK1070" t="s">
        <v>1356</v>
      </c>
      <c r="AM1070" t="s">
        <v>1357</v>
      </c>
      <c r="AN1070" t="s">
        <v>94</v>
      </c>
      <c r="AO1070">
        <v>2</v>
      </c>
      <c r="AP1070" t="s">
        <v>69</v>
      </c>
      <c r="AR1070" t="s">
        <v>70</v>
      </c>
      <c r="AS1070">
        <v>611</v>
      </c>
      <c r="AT1070" t="s">
        <v>71</v>
      </c>
      <c r="AU1070">
        <v>111.9</v>
      </c>
      <c r="AV1070">
        <v>-6.3</v>
      </c>
      <c r="AW1070" t="s">
        <v>72</v>
      </c>
      <c r="AX1070">
        <v>611</v>
      </c>
      <c r="AY1070" t="s">
        <v>71</v>
      </c>
      <c r="AZ1070">
        <v>97.21</v>
      </c>
      <c r="BA1070">
        <v>17.55</v>
      </c>
      <c r="BB1070" t="s">
        <v>73</v>
      </c>
    </row>
    <row r="1071" spans="1:54" x14ac:dyDescent="0.4">
      <c r="A1071">
        <v>880670</v>
      </c>
      <c r="D1071" t="s">
        <v>54</v>
      </c>
      <c r="G1071">
        <v>1</v>
      </c>
      <c r="H1071" t="s">
        <v>56</v>
      </c>
      <c r="I1071" t="s">
        <v>57</v>
      </c>
      <c r="K1071" t="s">
        <v>102</v>
      </c>
      <c r="L1071" t="s">
        <v>1350</v>
      </c>
      <c r="M1071" t="s">
        <v>59</v>
      </c>
      <c r="O1071" t="s">
        <v>76</v>
      </c>
      <c r="P1071" t="s">
        <v>131</v>
      </c>
      <c r="R1071" t="s">
        <v>112</v>
      </c>
      <c r="S1071" t="s">
        <v>61</v>
      </c>
      <c r="T1071">
        <v>246.7</v>
      </c>
      <c r="U1071">
        <v>242</v>
      </c>
      <c r="V1071">
        <f>(T1071+U1071)/2</f>
        <v>244.35</v>
      </c>
      <c r="W1071">
        <f>T1071-U1071</f>
        <v>4.6999999999999886</v>
      </c>
      <c r="X1071">
        <v>110.300003</v>
      </c>
      <c r="Y1071">
        <v>29.5</v>
      </c>
      <c r="Z1071" t="s">
        <v>428</v>
      </c>
      <c r="AA1071" t="s">
        <v>186</v>
      </c>
      <c r="AB1071" t="s">
        <v>1351</v>
      </c>
      <c r="AC1071" t="s">
        <v>1352</v>
      </c>
      <c r="AD1071" t="s">
        <v>1353</v>
      </c>
      <c r="AE1071" t="s">
        <v>1354</v>
      </c>
      <c r="AH1071" t="s">
        <v>65</v>
      </c>
      <c r="AI1071" t="s">
        <v>1355</v>
      </c>
      <c r="AJ1071">
        <v>1975</v>
      </c>
      <c r="AK1071" t="s">
        <v>1356</v>
      </c>
      <c r="AM1071" t="s">
        <v>1357</v>
      </c>
      <c r="AN1071" t="s">
        <v>94</v>
      </c>
      <c r="AO1071">
        <v>2</v>
      </c>
      <c r="AP1071" t="s">
        <v>69</v>
      </c>
      <c r="AR1071" t="s">
        <v>70</v>
      </c>
      <c r="AS1071">
        <v>611</v>
      </c>
      <c r="AT1071" t="s">
        <v>71</v>
      </c>
      <c r="AU1071">
        <v>111.9</v>
      </c>
      <c r="AV1071">
        <v>-6.3</v>
      </c>
      <c r="AW1071" t="s">
        <v>72</v>
      </c>
      <c r="AX1071">
        <v>611</v>
      </c>
      <c r="AY1071" t="s">
        <v>71</v>
      </c>
      <c r="AZ1071">
        <v>97.21</v>
      </c>
      <c r="BA1071">
        <v>17.55</v>
      </c>
      <c r="BB1071" t="s">
        <v>73</v>
      </c>
    </row>
    <row r="1072" spans="1:54" x14ac:dyDescent="0.4">
      <c r="A1072">
        <v>880672</v>
      </c>
      <c r="D1072" t="s">
        <v>54</v>
      </c>
      <c r="E1072" t="s">
        <v>55</v>
      </c>
      <c r="F1072" t="s">
        <v>434</v>
      </c>
      <c r="I1072" t="s">
        <v>57</v>
      </c>
      <c r="K1072" t="s">
        <v>102</v>
      </c>
      <c r="L1072" t="s">
        <v>1350</v>
      </c>
      <c r="M1072" t="s">
        <v>59</v>
      </c>
      <c r="O1072" t="s">
        <v>76</v>
      </c>
      <c r="P1072" t="s">
        <v>131</v>
      </c>
      <c r="R1072" t="s">
        <v>112</v>
      </c>
      <c r="S1072" t="s">
        <v>61</v>
      </c>
      <c r="T1072">
        <v>246.7</v>
      </c>
      <c r="U1072">
        <v>242</v>
      </c>
      <c r="V1072">
        <f>(T1072+U1072)/2</f>
        <v>244.35</v>
      </c>
      <c r="W1072">
        <f>T1072-U1072</f>
        <v>4.6999999999999886</v>
      </c>
      <c r="X1072">
        <v>111.68555499999999</v>
      </c>
      <c r="Y1072">
        <v>31.155832</v>
      </c>
      <c r="Z1072" t="s">
        <v>428</v>
      </c>
      <c r="AA1072" t="s">
        <v>186</v>
      </c>
      <c r="AB1072" t="s">
        <v>1358</v>
      </c>
      <c r="AC1072" t="s">
        <v>1359</v>
      </c>
      <c r="AD1072" t="s">
        <v>1353</v>
      </c>
      <c r="AE1072" t="s">
        <v>1354</v>
      </c>
      <c r="AH1072" t="s">
        <v>11</v>
      </c>
      <c r="AI1072" t="s">
        <v>1360</v>
      </c>
      <c r="AJ1072">
        <v>2005</v>
      </c>
      <c r="AK1072" t="s">
        <v>1361</v>
      </c>
      <c r="AN1072" t="s">
        <v>94</v>
      </c>
      <c r="AO1072" t="s">
        <v>68</v>
      </c>
      <c r="AP1072" t="s">
        <v>95</v>
      </c>
      <c r="AR1072" t="s">
        <v>70</v>
      </c>
      <c r="AS1072">
        <v>611</v>
      </c>
      <c r="AT1072" t="s">
        <v>71</v>
      </c>
      <c r="AU1072">
        <v>112.93</v>
      </c>
      <c r="AV1072">
        <v>-4.54</v>
      </c>
      <c r="AW1072" t="s">
        <v>72</v>
      </c>
      <c r="AX1072">
        <v>611</v>
      </c>
      <c r="AY1072" t="s">
        <v>71</v>
      </c>
      <c r="AZ1072">
        <v>97.26</v>
      </c>
      <c r="BA1072">
        <v>19.59</v>
      </c>
      <c r="BB1072" t="s">
        <v>73</v>
      </c>
    </row>
    <row r="1073" spans="1:54" x14ac:dyDescent="0.4">
      <c r="A1073">
        <v>880673</v>
      </c>
      <c r="D1073" t="s">
        <v>376</v>
      </c>
      <c r="E1073" t="s">
        <v>104</v>
      </c>
      <c r="F1073" t="s">
        <v>434</v>
      </c>
      <c r="G1073">
        <v>1</v>
      </c>
      <c r="H1073" t="s">
        <v>74</v>
      </c>
      <c r="I1073" t="s">
        <v>57</v>
      </c>
      <c r="K1073" t="s">
        <v>102</v>
      </c>
      <c r="L1073" t="s">
        <v>420</v>
      </c>
      <c r="M1073" t="s">
        <v>59</v>
      </c>
      <c r="P1073" t="s">
        <v>131</v>
      </c>
      <c r="R1073" t="s">
        <v>112</v>
      </c>
      <c r="S1073" t="s">
        <v>61</v>
      </c>
      <c r="T1073">
        <v>246.7</v>
      </c>
      <c r="U1073">
        <v>242</v>
      </c>
      <c r="V1073">
        <f>(T1073+U1073)/2</f>
        <v>244.35</v>
      </c>
      <c r="W1073">
        <f>T1073-U1073</f>
        <v>4.6999999999999886</v>
      </c>
      <c r="X1073">
        <v>-2.0763889999999998</v>
      </c>
      <c r="Y1073">
        <v>52.326388999999999</v>
      </c>
      <c r="Z1073" t="s">
        <v>113</v>
      </c>
      <c r="AA1073" t="s">
        <v>78</v>
      </c>
      <c r="AB1073" t="s">
        <v>79</v>
      </c>
      <c r="AC1073" t="s">
        <v>1362</v>
      </c>
      <c r="AD1073" t="s">
        <v>421</v>
      </c>
      <c r="AF1073" t="s">
        <v>1363</v>
      </c>
      <c r="AH1073" t="s">
        <v>65</v>
      </c>
      <c r="AI1073" t="s">
        <v>423</v>
      </c>
      <c r="AJ1073">
        <v>1996</v>
      </c>
      <c r="AK1073" t="s">
        <v>1364</v>
      </c>
      <c r="AN1073" t="s">
        <v>67</v>
      </c>
      <c r="AO1073" t="s">
        <v>68</v>
      </c>
      <c r="AP1073" t="s">
        <v>182</v>
      </c>
      <c r="AQ1073" t="s">
        <v>1365</v>
      </c>
      <c r="AR1073" t="s">
        <v>70</v>
      </c>
      <c r="AS1073">
        <v>315</v>
      </c>
      <c r="AT1073" t="s">
        <v>71</v>
      </c>
      <c r="AU1073">
        <v>19.96</v>
      </c>
      <c r="AV1073">
        <v>29.55</v>
      </c>
      <c r="AW1073" t="s">
        <v>72</v>
      </c>
      <c r="AX1073">
        <v>315</v>
      </c>
      <c r="AY1073" t="s">
        <v>71</v>
      </c>
      <c r="AZ1073">
        <v>11.18</v>
      </c>
      <c r="BA1073">
        <v>15.54</v>
      </c>
      <c r="BB1073" t="s">
        <v>73</v>
      </c>
    </row>
    <row r="1074" spans="1:54" x14ac:dyDescent="0.4">
      <c r="A1074">
        <v>880676</v>
      </c>
      <c r="D1074" t="s">
        <v>376</v>
      </c>
      <c r="E1074" t="s">
        <v>104</v>
      </c>
      <c r="F1074" t="s">
        <v>434</v>
      </c>
      <c r="G1074">
        <v>2</v>
      </c>
      <c r="H1074" t="s">
        <v>74</v>
      </c>
      <c r="I1074" t="s">
        <v>57</v>
      </c>
      <c r="K1074" t="s">
        <v>373</v>
      </c>
      <c r="L1074" t="s">
        <v>429</v>
      </c>
      <c r="M1074" t="s">
        <v>59</v>
      </c>
      <c r="O1074" t="s">
        <v>107</v>
      </c>
      <c r="P1074" t="s">
        <v>131</v>
      </c>
      <c r="R1074" t="s">
        <v>112</v>
      </c>
      <c r="S1074" t="s">
        <v>61</v>
      </c>
      <c r="T1074">
        <v>246.7</v>
      </c>
      <c r="U1074">
        <v>242</v>
      </c>
      <c r="V1074">
        <f>(T1074+U1074)/2</f>
        <v>244.35</v>
      </c>
      <c r="W1074">
        <f>T1074-U1074</f>
        <v>4.6999999999999886</v>
      </c>
      <c r="X1074">
        <v>-2.0763889999999998</v>
      </c>
      <c r="Y1074">
        <v>52.326388999999999</v>
      </c>
      <c r="Z1074" t="s">
        <v>113</v>
      </c>
      <c r="AA1074" t="s">
        <v>78</v>
      </c>
      <c r="AB1074" t="s">
        <v>79</v>
      </c>
      <c r="AC1074" t="s">
        <v>1362</v>
      </c>
      <c r="AD1074" t="s">
        <v>421</v>
      </c>
      <c r="AF1074" t="s">
        <v>1363</v>
      </c>
      <c r="AH1074" t="s">
        <v>65</v>
      </c>
      <c r="AI1074" t="s">
        <v>430</v>
      </c>
      <c r="AJ1074">
        <v>1990</v>
      </c>
      <c r="AK1074" t="s">
        <v>1364</v>
      </c>
      <c r="AN1074" t="s">
        <v>67</v>
      </c>
      <c r="AO1074" t="s">
        <v>68</v>
      </c>
      <c r="AP1074" t="s">
        <v>182</v>
      </c>
      <c r="AQ1074" t="s">
        <v>1365</v>
      </c>
      <c r="AR1074" t="s">
        <v>70</v>
      </c>
      <c r="AS1074">
        <v>315</v>
      </c>
      <c r="AT1074" t="s">
        <v>71</v>
      </c>
      <c r="AU1074">
        <v>19.96</v>
      </c>
      <c r="AV1074">
        <v>29.55</v>
      </c>
      <c r="AW1074" t="s">
        <v>72</v>
      </c>
      <c r="AX1074">
        <v>315</v>
      </c>
      <c r="AY1074" t="s">
        <v>71</v>
      </c>
      <c r="AZ1074">
        <v>11.18</v>
      </c>
      <c r="BA1074">
        <v>15.54</v>
      </c>
      <c r="BB1074" t="s">
        <v>73</v>
      </c>
    </row>
    <row r="1075" spans="1:54" x14ac:dyDescent="0.4">
      <c r="A1075">
        <v>880677</v>
      </c>
      <c r="D1075" t="s">
        <v>376</v>
      </c>
      <c r="E1075" t="s">
        <v>104</v>
      </c>
      <c r="F1075" t="s">
        <v>434</v>
      </c>
      <c r="G1075">
        <v>5</v>
      </c>
      <c r="H1075" t="s">
        <v>74</v>
      </c>
      <c r="I1075" t="s">
        <v>57</v>
      </c>
      <c r="K1075" t="s">
        <v>279</v>
      </c>
      <c r="L1075" t="s">
        <v>427</v>
      </c>
      <c r="M1075" t="s">
        <v>59</v>
      </c>
      <c r="O1075" t="s">
        <v>76</v>
      </c>
      <c r="P1075" t="s">
        <v>131</v>
      </c>
      <c r="R1075" t="s">
        <v>112</v>
      </c>
      <c r="S1075" t="s">
        <v>61</v>
      </c>
      <c r="T1075">
        <v>246.7</v>
      </c>
      <c r="U1075">
        <v>242</v>
      </c>
      <c r="V1075">
        <f>(T1075+U1075)/2</f>
        <v>244.35</v>
      </c>
      <c r="W1075">
        <f>T1075-U1075</f>
        <v>4.6999999999999886</v>
      </c>
      <c r="X1075">
        <v>-2.0763889999999998</v>
      </c>
      <c r="Y1075">
        <v>52.326388999999999</v>
      </c>
      <c r="Z1075" t="s">
        <v>113</v>
      </c>
      <c r="AA1075" t="s">
        <v>78</v>
      </c>
      <c r="AB1075" t="s">
        <v>79</v>
      </c>
      <c r="AC1075" t="s">
        <v>1362</v>
      </c>
      <c r="AD1075" t="s">
        <v>421</v>
      </c>
      <c r="AF1075" t="s">
        <v>1363</v>
      </c>
      <c r="AH1075" t="s">
        <v>65</v>
      </c>
      <c r="AI1075" t="s">
        <v>1366</v>
      </c>
      <c r="AJ1075">
        <v>1997</v>
      </c>
      <c r="AK1075" t="s">
        <v>1364</v>
      </c>
      <c r="AN1075" t="s">
        <v>67</v>
      </c>
      <c r="AO1075" t="s">
        <v>68</v>
      </c>
      <c r="AP1075" t="s">
        <v>182</v>
      </c>
      <c r="AQ1075" t="s">
        <v>1365</v>
      </c>
      <c r="AR1075" t="s">
        <v>70</v>
      </c>
      <c r="AS1075">
        <v>315</v>
      </c>
      <c r="AT1075" t="s">
        <v>71</v>
      </c>
      <c r="AU1075">
        <v>19.96</v>
      </c>
      <c r="AV1075">
        <v>29.55</v>
      </c>
      <c r="AW1075" t="s">
        <v>72</v>
      </c>
      <c r="AX1075">
        <v>315</v>
      </c>
      <c r="AY1075" t="s">
        <v>71</v>
      </c>
      <c r="AZ1075">
        <v>11.18</v>
      </c>
      <c r="BA1075">
        <v>15.54</v>
      </c>
      <c r="BB1075" t="s">
        <v>73</v>
      </c>
    </row>
    <row r="1076" spans="1:54" x14ac:dyDescent="0.4">
      <c r="A1076">
        <v>899258</v>
      </c>
      <c r="D1076" t="s">
        <v>54</v>
      </c>
      <c r="E1076" t="s">
        <v>55</v>
      </c>
      <c r="G1076">
        <v>1</v>
      </c>
      <c r="H1076" t="s">
        <v>56</v>
      </c>
      <c r="I1076" t="s">
        <v>57</v>
      </c>
      <c r="K1076" t="s">
        <v>345</v>
      </c>
      <c r="L1076" t="s">
        <v>1411</v>
      </c>
      <c r="M1076" t="s">
        <v>59</v>
      </c>
      <c r="P1076" t="s">
        <v>131</v>
      </c>
      <c r="R1076" t="s">
        <v>112</v>
      </c>
      <c r="S1076" t="s">
        <v>61</v>
      </c>
      <c r="T1076">
        <v>246.7</v>
      </c>
      <c r="U1076">
        <v>242</v>
      </c>
      <c r="V1076">
        <f>(T1076+U1076)/2</f>
        <v>244.35</v>
      </c>
      <c r="W1076">
        <f>T1076-U1076</f>
        <v>4.6999999999999886</v>
      </c>
      <c r="X1076">
        <v>111</v>
      </c>
      <c r="Y1076">
        <v>39.099997999999999</v>
      </c>
      <c r="Z1076" t="s">
        <v>99</v>
      </c>
      <c r="AA1076" t="s">
        <v>186</v>
      </c>
      <c r="AB1076" t="s">
        <v>194</v>
      </c>
      <c r="AD1076" t="s">
        <v>1053</v>
      </c>
      <c r="AF1076" t="s">
        <v>305</v>
      </c>
      <c r="AH1076" t="s">
        <v>65</v>
      </c>
      <c r="AI1076" t="s">
        <v>1383</v>
      </c>
      <c r="AJ1076">
        <v>1982</v>
      </c>
      <c r="AK1076" t="s">
        <v>195</v>
      </c>
      <c r="AN1076" t="s">
        <v>94</v>
      </c>
      <c r="AO1076">
        <v>1</v>
      </c>
      <c r="AP1076" t="s">
        <v>95</v>
      </c>
      <c r="AQ1076" t="s">
        <v>1412</v>
      </c>
      <c r="AR1076" t="s">
        <v>70</v>
      </c>
      <c r="AS1076">
        <v>604</v>
      </c>
      <c r="AT1076" t="s">
        <v>71</v>
      </c>
      <c r="AU1076">
        <v>118.67</v>
      </c>
      <c r="AV1076">
        <v>15.92</v>
      </c>
      <c r="AW1076" t="s">
        <v>72</v>
      </c>
      <c r="AX1076">
        <v>604</v>
      </c>
      <c r="AY1076" t="s">
        <v>71</v>
      </c>
      <c r="AZ1076">
        <v>90.35</v>
      </c>
      <c r="BA1076">
        <v>38.99</v>
      </c>
      <c r="BB1076" t="s">
        <v>73</v>
      </c>
    </row>
    <row r="1077" spans="1:54" x14ac:dyDescent="0.4">
      <c r="A1077">
        <v>902067</v>
      </c>
      <c r="D1077" t="s">
        <v>54</v>
      </c>
      <c r="G1077">
        <v>1</v>
      </c>
      <c r="H1077" t="s">
        <v>56</v>
      </c>
      <c r="I1077" t="s">
        <v>57</v>
      </c>
      <c r="K1077" t="s">
        <v>652</v>
      </c>
      <c r="L1077" t="s">
        <v>1416</v>
      </c>
      <c r="M1077" t="s">
        <v>59</v>
      </c>
      <c r="P1077" t="s">
        <v>131</v>
      </c>
      <c r="R1077" t="s">
        <v>112</v>
      </c>
      <c r="S1077" t="s">
        <v>61</v>
      </c>
      <c r="T1077">
        <v>246.7</v>
      </c>
      <c r="U1077">
        <v>242</v>
      </c>
      <c r="V1077">
        <f>(T1077+U1077)/2</f>
        <v>244.35</v>
      </c>
      <c r="W1077">
        <f>T1077-U1077</f>
        <v>4.6999999999999886</v>
      </c>
      <c r="X1077">
        <v>112.900002</v>
      </c>
      <c r="Y1077">
        <v>36.916668000000001</v>
      </c>
      <c r="Z1077" t="s">
        <v>99</v>
      </c>
      <c r="AA1077" t="s">
        <v>186</v>
      </c>
      <c r="AB1077" t="s">
        <v>503</v>
      </c>
      <c r="AD1077" t="s">
        <v>1053</v>
      </c>
      <c r="AF1077" t="s">
        <v>1417</v>
      </c>
      <c r="AG1077" t="s">
        <v>1058</v>
      </c>
      <c r="AH1077" t="s">
        <v>65</v>
      </c>
      <c r="AI1077" t="s">
        <v>333</v>
      </c>
      <c r="AJ1077">
        <v>1964</v>
      </c>
      <c r="AK1077" t="s">
        <v>1418</v>
      </c>
      <c r="AM1077" t="s">
        <v>1419</v>
      </c>
      <c r="AN1077" t="s">
        <v>121</v>
      </c>
      <c r="AO1077" t="s">
        <v>106</v>
      </c>
      <c r="AP1077" t="s">
        <v>95</v>
      </c>
      <c r="AQ1077" t="s">
        <v>1420</v>
      </c>
      <c r="AR1077" t="s">
        <v>70</v>
      </c>
      <c r="AS1077">
        <v>604</v>
      </c>
      <c r="AT1077" t="s">
        <v>71</v>
      </c>
      <c r="AU1077">
        <v>118.15</v>
      </c>
      <c r="AV1077">
        <v>13.32</v>
      </c>
      <c r="AW1077" t="s">
        <v>72</v>
      </c>
      <c r="AX1077">
        <v>604</v>
      </c>
      <c r="AY1077" t="s">
        <v>71</v>
      </c>
      <c r="AZ1077">
        <v>91.65</v>
      </c>
      <c r="BA1077">
        <v>36.549999999999997</v>
      </c>
      <c r="BB1077" t="s">
        <v>73</v>
      </c>
    </row>
    <row r="1078" spans="1:54" x14ac:dyDescent="0.4">
      <c r="A1078">
        <v>902068</v>
      </c>
      <c r="D1078" t="s">
        <v>54</v>
      </c>
      <c r="G1078">
        <v>1</v>
      </c>
      <c r="H1078" t="s">
        <v>56</v>
      </c>
      <c r="I1078" t="s">
        <v>57</v>
      </c>
      <c r="K1078" t="s">
        <v>652</v>
      </c>
      <c r="L1078" t="s">
        <v>1416</v>
      </c>
      <c r="M1078" t="s">
        <v>59</v>
      </c>
      <c r="P1078" t="s">
        <v>131</v>
      </c>
      <c r="R1078" t="s">
        <v>112</v>
      </c>
      <c r="S1078" t="s">
        <v>61</v>
      </c>
      <c r="T1078">
        <v>246.7</v>
      </c>
      <c r="U1078">
        <v>242</v>
      </c>
      <c r="V1078">
        <f>(T1078+U1078)/2</f>
        <v>244.35</v>
      </c>
      <c r="W1078">
        <f>T1078-U1078</f>
        <v>4.6999999999999886</v>
      </c>
      <c r="X1078">
        <v>112.883331</v>
      </c>
      <c r="Y1078">
        <v>36.983333999999999</v>
      </c>
      <c r="Z1078" t="s">
        <v>99</v>
      </c>
      <c r="AA1078" t="s">
        <v>186</v>
      </c>
      <c r="AB1078" t="s">
        <v>503</v>
      </c>
      <c r="AD1078" t="s">
        <v>1053</v>
      </c>
      <c r="AF1078" t="s">
        <v>1417</v>
      </c>
      <c r="AG1078" t="s">
        <v>1058</v>
      </c>
      <c r="AH1078" t="s">
        <v>65</v>
      </c>
      <c r="AI1078" t="s">
        <v>333</v>
      </c>
      <c r="AJ1078">
        <v>1964</v>
      </c>
      <c r="AK1078" t="s">
        <v>1421</v>
      </c>
      <c r="AM1078" t="s">
        <v>1422</v>
      </c>
      <c r="AN1078" t="s">
        <v>121</v>
      </c>
      <c r="AO1078" t="s">
        <v>106</v>
      </c>
      <c r="AP1078" t="s">
        <v>95</v>
      </c>
      <c r="AQ1078" t="s">
        <v>1423</v>
      </c>
      <c r="AR1078" t="s">
        <v>70</v>
      </c>
      <c r="AS1078">
        <v>604</v>
      </c>
      <c r="AT1078" t="s">
        <v>71</v>
      </c>
      <c r="AU1078">
        <v>118.18</v>
      </c>
      <c r="AV1078">
        <v>13.38</v>
      </c>
      <c r="AW1078" t="s">
        <v>72</v>
      </c>
      <c r="AX1078">
        <v>604</v>
      </c>
      <c r="AY1078" t="s">
        <v>71</v>
      </c>
      <c r="AZ1078">
        <v>91.65</v>
      </c>
      <c r="BA1078">
        <v>36.619999999999997</v>
      </c>
      <c r="BB1078" t="s">
        <v>73</v>
      </c>
    </row>
    <row r="1079" spans="1:54" x14ac:dyDescent="0.4">
      <c r="A1079">
        <v>902069</v>
      </c>
      <c r="D1079" t="s">
        <v>54</v>
      </c>
      <c r="E1079" t="s">
        <v>104</v>
      </c>
      <c r="G1079">
        <v>1</v>
      </c>
      <c r="H1079" t="s">
        <v>56</v>
      </c>
      <c r="I1079" t="s">
        <v>57</v>
      </c>
      <c r="K1079" t="s">
        <v>652</v>
      </c>
      <c r="L1079" t="s">
        <v>1416</v>
      </c>
      <c r="M1079" t="s">
        <v>59</v>
      </c>
      <c r="P1079" t="s">
        <v>131</v>
      </c>
      <c r="R1079" t="s">
        <v>112</v>
      </c>
      <c r="S1079" t="s">
        <v>61</v>
      </c>
      <c r="T1079">
        <v>246.7</v>
      </c>
      <c r="U1079">
        <v>242</v>
      </c>
      <c r="V1079">
        <f>(T1079+U1079)/2</f>
        <v>244.35</v>
      </c>
      <c r="W1079">
        <f>T1079-U1079</f>
        <v>4.6999999999999886</v>
      </c>
      <c r="X1079">
        <v>112.849998</v>
      </c>
      <c r="Y1079">
        <v>36.966667000000001</v>
      </c>
      <c r="Z1079" t="s">
        <v>99</v>
      </c>
      <c r="AA1079" t="s">
        <v>186</v>
      </c>
      <c r="AB1079" t="s">
        <v>503</v>
      </c>
      <c r="AD1079" t="s">
        <v>1053</v>
      </c>
      <c r="AF1079" t="s">
        <v>1417</v>
      </c>
      <c r="AG1079" t="s">
        <v>1058</v>
      </c>
      <c r="AH1079" t="s">
        <v>65</v>
      </c>
      <c r="AI1079" t="s">
        <v>333</v>
      </c>
      <c r="AJ1079">
        <v>1964</v>
      </c>
      <c r="AK1079" t="s">
        <v>1424</v>
      </c>
      <c r="AM1079" t="s">
        <v>1425</v>
      </c>
      <c r="AN1079" t="s">
        <v>121</v>
      </c>
      <c r="AO1079" t="s">
        <v>106</v>
      </c>
      <c r="AP1079" t="s">
        <v>95</v>
      </c>
      <c r="AQ1079" t="s">
        <v>1426</v>
      </c>
      <c r="AR1079" t="s">
        <v>70</v>
      </c>
      <c r="AS1079">
        <v>604</v>
      </c>
      <c r="AT1079" t="s">
        <v>71</v>
      </c>
      <c r="AU1079">
        <v>118.15</v>
      </c>
      <c r="AV1079">
        <v>13.39</v>
      </c>
      <c r="AW1079" t="s">
        <v>72</v>
      </c>
      <c r="AX1079">
        <v>604</v>
      </c>
      <c r="AY1079" t="s">
        <v>71</v>
      </c>
      <c r="AZ1079">
        <v>91.61</v>
      </c>
      <c r="BA1079">
        <v>36.61</v>
      </c>
      <c r="BB1079" t="s">
        <v>73</v>
      </c>
    </row>
    <row r="1080" spans="1:54" x14ac:dyDescent="0.4">
      <c r="A1080">
        <v>902069</v>
      </c>
      <c r="D1080" t="s">
        <v>54</v>
      </c>
      <c r="E1080" t="s">
        <v>104</v>
      </c>
      <c r="G1080">
        <v>1</v>
      </c>
      <c r="H1080" t="s">
        <v>56</v>
      </c>
      <c r="I1080" t="s">
        <v>57</v>
      </c>
      <c r="K1080" t="s">
        <v>652</v>
      </c>
      <c r="L1080" t="s">
        <v>1416</v>
      </c>
      <c r="M1080" t="s">
        <v>59</v>
      </c>
      <c r="P1080" t="s">
        <v>131</v>
      </c>
      <c r="R1080" t="s">
        <v>112</v>
      </c>
      <c r="S1080" t="s">
        <v>61</v>
      </c>
      <c r="T1080">
        <v>246.7</v>
      </c>
      <c r="U1080">
        <v>242</v>
      </c>
      <c r="V1080">
        <f>(T1080+U1080)/2</f>
        <v>244.35</v>
      </c>
      <c r="W1080">
        <f>T1080-U1080</f>
        <v>4.6999999999999886</v>
      </c>
      <c r="X1080">
        <v>112.849998</v>
      </c>
      <c r="Y1080">
        <v>36.966667000000001</v>
      </c>
      <c r="Z1080" t="s">
        <v>99</v>
      </c>
      <c r="AA1080" t="s">
        <v>186</v>
      </c>
      <c r="AB1080" t="s">
        <v>503</v>
      </c>
      <c r="AD1080" t="s">
        <v>1053</v>
      </c>
      <c r="AF1080" t="s">
        <v>1417</v>
      </c>
      <c r="AG1080" t="s">
        <v>1058</v>
      </c>
      <c r="AH1080" t="s">
        <v>65</v>
      </c>
      <c r="AI1080" t="s">
        <v>333</v>
      </c>
      <c r="AJ1080">
        <v>1964</v>
      </c>
      <c r="AK1080" t="s">
        <v>1424</v>
      </c>
      <c r="AM1080" t="s">
        <v>1425</v>
      </c>
      <c r="AN1080" t="s">
        <v>121</v>
      </c>
      <c r="AO1080" t="s">
        <v>106</v>
      </c>
      <c r="AP1080" t="s">
        <v>95</v>
      </c>
      <c r="AQ1080" t="s">
        <v>1426</v>
      </c>
      <c r="AR1080" t="s">
        <v>70</v>
      </c>
      <c r="AS1080">
        <v>604</v>
      </c>
      <c r="AT1080" t="s">
        <v>71</v>
      </c>
      <c r="AU1080">
        <v>118.15</v>
      </c>
      <c r="AV1080">
        <v>13.39</v>
      </c>
      <c r="AW1080" t="s">
        <v>72</v>
      </c>
      <c r="AX1080">
        <v>604</v>
      </c>
      <c r="AY1080" t="s">
        <v>71</v>
      </c>
      <c r="AZ1080">
        <v>91.61</v>
      </c>
      <c r="BA1080">
        <v>36.61</v>
      </c>
      <c r="BB1080" t="s">
        <v>73</v>
      </c>
    </row>
    <row r="1081" spans="1:54" x14ac:dyDescent="0.4">
      <c r="A1081">
        <v>902070</v>
      </c>
      <c r="D1081" t="s">
        <v>54</v>
      </c>
      <c r="E1081" t="s">
        <v>104</v>
      </c>
      <c r="F1081" t="s">
        <v>1427</v>
      </c>
      <c r="G1081">
        <v>1</v>
      </c>
      <c r="H1081" t="s">
        <v>56</v>
      </c>
      <c r="I1081" t="s">
        <v>57</v>
      </c>
      <c r="K1081" t="s">
        <v>652</v>
      </c>
      <c r="L1081" t="s">
        <v>1416</v>
      </c>
      <c r="M1081" t="s">
        <v>59</v>
      </c>
      <c r="P1081" t="s">
        <v>131</v>
      </c>
      <c r="R1081" t="s">
        <v>112</v>
      </c>
      <c r="S1081" t="s">
        <v>61</v>
      </c>
      <c r="T1081">
        <v>246.7</v>
      </c>
      <c r="U1081">
        <v>242</v>
      </c>
      <c r="V1081">
        <f>(T1081+U1081)/2</f>
        <v>244.35</v>
      </c>
      <c r="W1081">
        <f>T1081-U1081</f>
        <v>4.6999999999999886</v>
      </c>
      <c r="X1081">
        <v>112.849998</v>
      </c>
      <c r="Y1081">
        <v>36.966667000000001</v>
      </c>
      <c r="Z1081" t="s">
        <v>99</v>
      </c>
      <c r="AA1081" t="s">
        <v>186</v>
      </c>
      <c r="AB1081" t="s">
        <v>503</v>
      </c>
      <c r="AD1081" t="s">
        <v>1053</v>
      </c>
      <c r="AF1081" t="s">
        <v>1417</v>
      </c>
      <c r="AG1081" t="s">
        <v>1058</v>
      </c>
      <c r="AH1081" t="s">
        <v>65</v>
      </c>
      <c r="AI1081" t="s">
        <v>333</v>
      </c>
      <c r="AJ1081">
        <v>1964</v>
      </c>
      <c r="AK1081" t="s">
        <v>1428</v>
      </c>
      <c r="AM1081" t="s">
        <v>1429</v>
      </c>
      <c r="AN1081" t="s">
        <v>121</v>
      </c>
      <c r="AO1081" t="s">
        <v>106</v>
      </c>
      <c r="AP1081" t="s">
        <v>95</v>
      </c>
      <c r="AQ1081" t="s">
        <v>1430</v>
      </c>
      <c r="AR1081" t="s">
        <v>70</v>
      </c>
      <c r="AS1081">
        <v>604</v>
      </c>
      <c r="AT1081" t="s">
        <v>71</v>
      </c>
      <c r="AU1081">
        <v>118.15</v>
      </c>
      <c r="AV1081">
        <v>13.39</v>
      </c>
      <c r="AW1081" t="s">
        <v>72</v>
      </c>
      <c r="AX1081">
        <v>604</v>
      </c>
      <c r="AY1081" t="s">
        <v>71</v>
      </c>
      <c r="AZ1081">
        <v>91.61</v>
      </c>
      <c r="BA1081">
        <v>36.61</v>
      </c>
      <c r="BB1081" t="s">
        <v>73</v>
      </c>
    </row>
    <row r="1082" spans="1:54" x14ac:dyDescent="0.4">
      <c r="A1082">
        <v>902070</v>
      </c>
      <c r="D1082" t="s">
        <v>54</v>
      </c>
      <c r="E1082" t="s">
        <v>104</v>
      </c>
      <c r="F1082" t="s">
        <v>1427</v>
      </c>
      <c r="G1082">
        <v>1</v>
      </c>
      <c r="H1082" t="s">
        <v>56</v>
      </c>
      <c r="I1082" t="s">
        <v>57</v>
      </c>
      <c r="K1082" t="s">
        <v>652</v>
      </c>
      <c r="L1082" t="s">
        <v>1416</v>
      </c>
      <c r="M1082" t="s">
        <v>59</v>
      </c>
      <c r="P1082" t="s">
        <v>131</v>
      </c>
      <c r="R1082" t="s">
        <v>112</v>
      </c>
      <c r="S1082" t="s">
        <v>61</v>
      </c>
      <c r="T1082">
        <v>246.7</v>
      </c>
      <c r="U1082">
        <v>242</v>
      </c>
      <c r="V1082">
        <f>(T1082+U1082)/2</f>
        <v>244.35</v>
      </c>
      <c r="W1082">
        <f>T1082-U1082</f>
        <v>4.6999999999999886</v>
      </c>
      <c r="X1082">
        <v>112.849998</v>
      </c>
      <c r="Y1082">
        <v>36.966667000000001</v>
      </c>
      <c r="Z1082" t="s">
        <v>99</v>
      </c>
      <c r="AA1082" t="s">
        <v>186</v>
      </c>
      <c r="AB1082" t="s">
        <v>503</v>
      </c>
      <c r="AD1082" t="s">
        <v>1053</v>
      </c>
      <c r="AF1082" t="s">
        <v>1417</v>
      </c>
      <c r="AG1082" t="s">
        <v>1058</v>
      </c>
      <c r="AH1082" t="s">
        <v>65</v>
      </c>
      <c r="AI1082" t="s">
        <v>333</v>
      </c>
      <c r="AJ1082">
        <v>1964</v>
      </c>
      <c r="AK1082" t="s">
        <v>1428</v>
      </c>
      <c r="AM1082" t="s">
        <v>1429</v>
      </c>
      <c r="AN1082" t="s">
        <v>121</v>
      </c>
      <c r="AO1082" t="s">
        <v>106</v>
      </c>
      <c r="AP1082" t="s">
        <v>95</v>
      </c>
      <c r="AQ1082" t="s">
        <v>1430</v>
      </c>
      <c r="AR1082" t="s">
        <v>70</v>
      </c>
      <c r="AS1082">
        <v>604</v>
      </c>
      <c r="AT1082" t="s">
        <v>71</v>
      </c>
      <c r="AU1082">
        <v>118.15</v>
      </c>
      <c r="AV1082">
        <v>13.39</v>
      </c>
      <c r="AW1082" t="s">
        <v>72</v>
      </c>
      <c r="AX1082">
        <v>604</v>
      </c>
      <c r="AY1082" t="s">
        <v>71</v>
      </c>
      <c r="AZ1082">
        <v>91.61</v>
      </c>
      <c r="BA1082">
        <v>36.61</v>
      </c>
      <c r="BB1082" t="s">
        <v>73</v>
      </c>
    </row>
    <row r="1083" spans="1:54" x14ac:dyDescent="0.4">
      <c r="A1083">
        <v>902070</v>
      </c>
      <c r="D1083" t="s">
        <v>54</v>
      </c>
      <c r="E1083" t="s">
        <v>104</v>
      </c>
      <c r="F1083" t="s">
        <v>1427</v>
      </c>
      <c r="G1083">
        <v>1</v>
      </c>
      <c r="H1083" t="s">
        <v>56</v>
      </c>
      <c r="I1083" t="s">
        <v>57</v>
      </c>
      <c r="K1083" t="s">
        <v>652</v>
      </c>
      <c r="L1083" t="s">
        <v>1416</v>
      </c>
      <c r="M1083" t="s">
        <v>59</v>
      </c>
      <c r="P1083" t="s">
        <v>131</v>
      </c>
      <c r="R1083" t="s">
        <v>112</v>
      </c>
      <c r="S1083" t="s">
        <v>61</v>
      </c>
      <c r="T1083">
        <v>246.7</v>
      </c>
      <c r="U1083">
        <v>242</v>
      </c>
      <c r="V1083">
        <f>(T1083+U1083)/2</f>
        <v>244.35</v>
      </c>
      <c r="W1083">
        <f>T1083-U1083</f>
        <v>4.6999999999999886</v>
      </c>
      <c r="X1083">
        <v>112.849998</v>
      </c>
      <c r="Y1083">
        <v>36.966667000000001</v>
      </c>
      <c r="Z1083" t="s">
        <v>99</v>
      </c>
      <c r="AA1083" t="s">
        <v>186</v>
      </c>
      <c r="AB1083" t="s">
        <v>503</v>
      </c>
      <c r="AD1083" t="s">
        <v>1053</v>
      </c>
      <c r="AF1083" t="s">
        <v>1417</v>
      </c>
      <c r="AG1083" t="s">
        <v>1058</v>
      </c>
      <c r="AH1083" t="s">
        <v>65</v>
      </c>
      <c r="AI1083" t="s">
        <v>333</v>
      </c>
      <c r="AJ1083">
        <v>1964</v>
      </c>
      <c r="AK1083" t="s">
        <v>1428</v>
      </c>
      <c r="AM1083" t="s">
        <v>1429</v>
      </c>
      <c r="AN1083" t="s">
        <v>121</v>
      </c>
      <c r="AO1083" t="s">
        <v>106</v>
      </c>
      <c r="AP1083" t="s">
        <v>95</v>
      </c>
      <c r="AQ1083" t="s">
        <v>1430</v>
      </c>
      <c r="AR1083" t="s">
        <v>70</v>
      </c>
      <c r="AS1083">
        <v>604</v>
      </c>
      <c r="AT1083" t="s">
        <v>71</v>
      </c>
      <c r="AU1083">
        <v>118.15</v>
      </c>
      <c r="AV1083">
        <v>13.39</v>
      </c>
      <c r="AW1083" t="s">
        <v>72</v>
      </c>
      <c r="AX1083">
        <v>604</v>
      </c>
      <c r="AY1083" t="s">
        <v>71</v>
      </c>
      <c r="AZ1083">
        <v>91.61</v>
      </c>
      <c r="BA1083">
        <v>36.61</v>
      </c>
      <c r="BB1083" t="s">
        <v>73</v>
      </c>
    </row>
    <row r="1084" spans="1:54" x14ac:dyDescent="0.4">
      <c r="A1084">
        <v>902070</v>
      </c>
      <c r="D1084" t="s">
        <v>54</v>
      </c>
      <c r="E1084" t="s">
        <v>104</v>
      </c>
      <c r="F1084" t="s">
        <v>1427</v>
      </c>
      <c r="G1084">
        <v>1</v>
      </c>
      <c r="H1084" t="s">
        <v>56</v>
      </c>
      <c r="I1084" t="s">
        <v>57</v>
      </c>
      <c r="K1084" t="s">
        <v>652</v>
      </c>
      <c r="L1084" t="s">
        <v>1416</v>
      </c>
      <c r="M1084" t="s">
        <v>59</v>
      </c>
      <c r="P1084" t="s">
        <v>131</v>
      </c>
      <c r="R1084" t="s">
        <v>112</v>
      </c>
      <c r="S1084" t="s">
        <v>61</v>
      </c>
      <c r="T1084">
        <v>246.7</v>
      </c>
      <c r="U1084">
        <v>242</v>
      </c>
      <c r="V1084">
        <f>(T1084+U1084)/2</f>
        <v>244.35</v>
      </c>
      <c r="W1084">
        <f>T1084-U1084</f>
        <v>4.6999999999999886</v>
      </c>
      <c r="X1084">
        <v>112.849998</v>
      </c>
      <c r="Y1084">
        <v>36.966667000000001</v>
      </c>
      <c r="Z1084" t="s">
        <v>99</v>
      </c>
      <c r="AA1084" t="s">
        <v>186</v>
      </c>
      <c r="AB1084" t="s">
        <v>503</v>
      </c>
      <c r="AD1084" t="s">
        <v>1053</v>
      </c>
      <c r="AF1084" t="s">
        <v>1417</v>
      </c>
      <c r="AG1084" t="s">
        <v>1058</v>
      </c>
      <c r="AH1084" t="s">
        <v>65</v>
      </c>
      <c r="AI1084" t="s">
        <v>333</v>
      </c>
      <c r="AJ1084">
        <v>1964</v>
      </c>
      <c r="AK1084" t="s">
        <v>1428</v>
      </c>
      <c r="AM1084" t="s">
        <v>1429</v>
      </c>
      <c r="AN1084" t="s">
        <v>121</v>
      </c>
      <c r="AO1084" t="s">
        <v>106</v>
      </c>
      <c r="AP1084" t="s">
        <v>95</v>
      </c>
      <c r="AQ1084" t="s">
        <v>1430</v>
      </c>
      <c r="AR1084" t="s">
        <v>70</v>
      </c>
      <c r="AS1084">
        <v>604</v>
      </c>
      <c r="AT1084" t="s">
        <v>71</v>
      </c>
      <c r="AU1084">
        <v>118.15</v>
      </c>
      <c r="AV1084">
        <v>13.39</v>
      </c>
      <c r="AW1084" t="s">
        <v>72</v>
      </c>
      <c r="AX1084">
        <v>604</v>
      </c>
      <c r="AY1084" t="s">
        <v>71</v>
      </c>
      <c r="AZ1084">
        <v>91.61</v>
      </c>
      <c r="BA1084">
        <v>36.61</v>
      </c>
      <c r="BB1084" t="s">
        <v>73</v>
      </c>
    </row>
    <row r="1085" spans="1:54" x14ac:dyDescent="0.4">
      <c r="A1085">
        <v>902070</v>
      </c>
      <c r="D1085" t="s">
        <v>54</v>
      </c>
      <c r="E1085" t="s">
        <v>104</v>
      </c>
      <c r="F1085" t="s">
        <v>1427</v>
      </c>
      <c r="G1085">
        <v>1</v>
      </c>
      <c r="H1085" t="s">
        <v>56</v>
      </c>
      <c r="I1085" t="s">
        <v>57</v>
      </c>
      <c r="K1085" t="s">
        <v>652</v>
      </c>
      <c r="L1085" t="s">
        <v>1416</v>
      </c>
      <c r="M1085" t="s">
        <v>59</v>
      </c>
      <c r="P1085" t="s">
        <v>131</v>
      </c>
      <c r="R1085" t="s">
        <v>112</v>
      </c>
      <c r="S1085" t="s">
        <v>61</v>
      </c>
      <c r="T1085">
        <v>246.7</v>
      </c>
      <c r="U1085">
        <v>242</v>
      </c>
      <c r="V1085">
        <f>(T1085+U1085)/2</f>
        <v>244.35</v>
      </c>
      <c r="W1085">
        <f>T1085-U1085</f>
        <v>4.6999999999999886</v>
      </c>
      <c r="X1085">
        <v>112.849998</v>
      </c>
      <c r="Y1085">
        <v>36.966667000000001</v>
      </c>
      <c r="Z1085" t="s">
        <v>99</v>
      </c>
      <c r="AA1085" t="s">
        <v>186</v>
      </c>
      <c r="AB1085" t="s">
        <v>503</v>
      </c>
      <c r="AD1085" t="s">
        <v>1053</v>
      </c>
      <c r="AF1085" t="s">
        <v>1417</v>
      </c>
      <c r="AG1085" t="s">
        <v>1058</v>
      </c>
      <c r="AH1085" t="s">
        <v>65</v>
      </c>
      <c r="AI1085" t="s">
        <v>333</v>
      </c>
      <c r="AJ1085">
        <v>1964</v>
      </c>
      <c r="AK1085" t="s">
        <v>1428</v>
      </c>
      <c r="AM1085" t="s">
        <v>1429</v>
      </c>
      <c r="AN1085" t="s">
        <v>121</v>
      </c>
      <c r="AO1085" t="s">
        <v>106</v>
      </c>
      <c r="AP1085" t="s">
        <v>95</v>
      </c>
      <c r="AQ1085" t="s">
        <v>1430</v>
      </c>
      <c r="AR1085" t="s">
        <v>70</v>
      </c>
      <c r="AS1085">
        <v>604</v>
      </c>
      <c r="AT1085" t="s">
        <v>71</v>
      </c>
      <c r="AU1085">
        <v>118.15</v>
      </c>
      <c r="AV1085">
        <v>13.39</v>
      </c>
      <c r="AW1085" t="s">
        <v>72</v>
      </c>
      <c r="AX1085">
        <v>604</v>
      </c>
      <c r="AY1085" t="s">
        <v>71</v>
      </c>
      <c r="AZ1085">
        <v>91.61</v>
      </c>
      <c r="BA1085">
        <v>36.61</v>
      </c>
      <c r="BB1085" t="s">
        <v>73</v>
      </c>
    </row>
    <row r="1086" spans="1:54" x14ac:dyDescent="0.4">
      <c r="A1086">
        <v>902070</v>
      </c>
      <c r="D1086" t="s">
        <v>54</v>
      </c>
      <c r="E1086" t="s">
        <v>104</v>
      </c>
      <c r="F1086" t="s">
        <v>1427</v>
      </c>
      <c r="G1086">
        <v>1</v>
      </c>
      <c r="H1086" t="s">
        <v>56</v>
      </c>
      <c r="I1086" t="s">
        <v>57</v>
      </c>
      <c r="K1086" t="s">
        <v>652</v>
      </c>
      <c r="L1086" t="s">
        <v>1416</v>
      </c>
      <c r="M1086" t="s">
        <v>59</v>
      </c>
      <c r="P1086" t="s">
        <v>131</v>
      </c>
      <c r="R1086" t="s">
        <v>112</v>
      </c>
      <c r="S1086" t="s">
        <v>61</v>
      </c>
      <c r="T1086">
        <v>246.7</v>
      </c>
      <c r="U1086">
        <v>242</v>
      </c>
      <c r="V1086">
        <f>(T1086+U1086)/2</f>
        <v>244.35</v>
      </c>
      <c r="W1086">
        <f>T1086-U1086</f>
        <v>4.6999999999999886</v>
      </c>
      <c r="X1086">
        <v>112.849998</v>
      </c>
      <c r="Y1086">
        <v>36.966667000000001</v>
      </c>
      <c r="Z1086" t="s">
        <v>99</v>
      </c>
      <c r="AA1086" t="s">
        <v>186</v>
      </c>
      <c r="AB1086" t="s">
        <v>503</v>
      </c>
      <c r="AD1086" t="s">
        <v>1053</v>
      </c>
      <c r="AF1086" t="s">
        <v>1417</v>
      </c>
      <c r="AG1086" t="s">
        <v>1058</v>
      </c>
      <c r="AH1086" t="s">
        <v>65</v>
      </c>
      <c r="AI1086" t="s">
        <v>333</v>
      </c>
      <c r="AJ1086">
        <v>1964</v>
      </c>
      <c r="AK1086" t="s">
        <v>1428</v>
      </c>
      <c r="AM1086" t="s">
        <v>1429</v>
      </c>
      <c r="AN1086" t="s">
        <v>121</v>
      </c>
      <c r="AO1086" t="s">
        <v>106</v>
      </c>
      <c r="AP1086" t="s">
        <v>95</v>
      </c>
      <c r="AQ1086" t="s">
        <v>1430</v>
      </c>
      <c r="AR1086" t="s">
        <v>70</v>
      </c>
      <c r="AS1086">
        <v>604</v>
      </c>
      <c r="AT1086" t="s">
        <v>71</v>
      </c>
      <c r="AU1086">
        <v>118.15</v>
      </c>
      <c r="AV1086">
        <v>13.39</v>
      </c>
      <c r="AW1086" t="s">
        <v>72</v>
      </c>
      <c r="AX1086">
        <v>604</v>
      </c>
      <c r="AY1086" t="s">
        <v>71</v>
      </c>
      <c r="AZ1086">
        <v>91.61</v>
      </c>
      <c r="BA1086">
        <v>36.61</v>
      </c>
      <c r="BB1086" t="s">
        <v>73</v>
      </c>
    </row>
    <row r="1087" spans="1:54" x14ac:dyDescent="0.4">
      <c r="A1087">
        <v>902070</v>
      </c>
      <c r="D1087" t="s">
        <v>54</v>
      </c>
      <c r="E1087" t="s">
        <v>104</v>
      </c>
      <c r="F1087" t="s">
        <v>1427</v>
      </c>
      <c r="G1087">
        <v>1</v>
      </c>
      <c r="H1087" t="s">
        <v>56</v>
      </c>
      <c r="I1087" t="s">
        <v>57</v>
      </c>
      <c r="K1087" t="s">
        <v>652</v>
      </c>
      <c r="L1087" t="s">
        <v>1416</v>
      </c>
      <c r="M1087" t="s">
        <v>59</v>
      </c>
      <c r="P1087" t="s">
        <v>131</v>
      </c>
      <c r="R1087" t="s">
        <v>112</v>
      </c>
      <c r="S1087" t="s">
        <v>61</v>
      </c>
      <c r="T1087">
        <v>246.7</v>
      </c>
      <c r="U1087">
        <v>242</v>
      </c>
      <c r="V1087">
        <f>(T1087+U1087)/2</f>
        <v>244.35</v>
      </c>
      <c r="W1087">
        <f>T1087-U1087</f>
        <v>4.6999999999999886</v>
      </c>
      <c r="X1087">
        <v>112.849998</v>
      </c>
      <c r="Y1087">
        <v>36.966667000000001</v>
      </c>
      <c r="Z1087" t="s">
        <v>99</v>
      </c>
      <c r="AA1087" t="s">
        <v>186</v>
      </c>
      <c r="AB1087" t="s">
        <v>503</v>
      </c>
      <c r="AD1087" t="s">
        <v>1053</v>
      </c>
      <c r="AF1087" t="s">
        <v>1417</v>
      </c>
      <c r="AG1087" t="s">
        <v>1058</v>
      </c>
      <c r="AH1087" t="s">
        <v>65</v>
      </c>
      <c r="AI1087" t="s">
        <v>333</v>
      </c>
      <c r="AJ1087">
        <v>1964</v>
      </c>
      <c r="AK1087" t="s">
        <v>1428</v>
      </c>
      <c r="AM1087" t="s">
        <v>1429</v>
      </c>
      <c r="AN1087" t="s">
        <v>121</v>
      </c>
      <c r="AO1087" t="s">
        <v>106</v>
      </c>
      <c r="AP1087" t="s">
        <v>95</v>
      </c>
      <c r="AQ1087" t="s">
        <v>1430</v>
      </c>
      <c r="AR1087" t="s">
        <v>70</v>
      </c>
      <c r="AS1087">
        <v>604</v>
      </c>
      <c r="AT1087" t="s">
        <v>71</v>
      </c>
      <c r="AU1087">
        <v>118.15</v>
      </c>
      <c r="AV1087">
        <v>13.39</v>
      </c>
      <c r="AW1087" t="s">
        <v>72</v>
      </c>
      <c r="AX1087">
        <v>604</v>
      </c>
      <c r="AY1087" t="s">
        <v>71</v>
      </c>
      <c r="AZ1087">
        <v>91.61</v>
      </c>
      <c r="BA1087">
        <v>36.61</v>
      </c>
      <c r="BB1087" t="s">
        <v>73</v>
      </c>
    </row>
    <row r="1088" spans="1:54" x14ac:dyDescent="0.4">
      <c r="A1088">
        <v>902070</v>
      </c>
      <c r="D1088" t="s">
        <v>54</v>
      </c>
      <c r="E1088" t="s">
        <v>104</v>
      </c>
      <c r="F1088" t="s">
        <v>1427</v>
      </c>
      <c r="G1088">
        <v>1</v>
      </c>
      <c r="H1088" t="s">
        <v>56</v>
      </c>
      <c r="I1088" t="s">
        <v>57</v>
      </c>
      <c r="K1088" t="s">
        <v>652</v>
      </c>
      <c r="L1088" t="s">
        <v>1416</v>
      </c>
      <c r="M1088" t="s">
        <v>59</v>
      </c>
      <c r="P1088" t="s">
        <v>131</v>
      </c>
      <c r="R1088" t="s">
        <v>112</v>
      </c>
      <c r="S1088" t="s">
        <v>61</v>
      </c>
      <c r="T1088">
        <v>246.7</v>
      </c>
      <c r="U1088">
        <v>242</v>
      </c>
      <c r="V1088">
        <f>(T1088+U1088)/2</f>
        <v>244.35</v>
      </c>
      <c r="W1088">
        <f>T1088-U1088</f>
        <v>4.6999999999999886</v>
      </c>
      <c r="X1088">
        <v>112.849998</v>
      </c>
      <c r="Y1088">
        <v>36.966667000000001</v>
      </c>
      <c r="Z1088" t="s">
        <v>99</v>
      </c>
      <c r="AA1088" t="s">
        <v>186</v>
      </c>
      <c r="AB1088" t="s">
        <v>503</v>
      </c>
      <c r="AD1088" t="s">
        <v>1053</v>
      </c>
      <c r="AF1088" t="s">
        <v>1417</v>
      </c>
      <c r="AG1088" t="s">
        <v>1058</v>
      </c>
      <c r="AH1088" t="s">
        <v>65</v>
      </c>
      <c r="AI1088" t="s">
        <v>333</v>
      </c>
      <c r="AJ1088">
        <v>1964</v>
      </c>
      <c r="AK1088" t="s">
        <v>1428</v>
      </c>
      <c r="AM1088" t="s">
        <v>1429</v>
      </c>
      <c r="AN1088" t="s">
        <v>121</v>
      </c>
      <c r="AO1088" t="s">
        <v>106</v>
      </c>
      <c r="AP1088" t="s">
        <v>95</v>
      </c>
      <c r="AQ1088" t="s">
        <v>1430</v>
      </c>
      <c r="AR1088" t="s">
        <v>70</v>
      </c>
      <c r="AS1088">
        <v>604</v>
      </c>
      <c r="AT1088" t="s">
        <v>71</v>
      </c>
      <c r="AU1088">
        <v>118.15</v>
      </c>
      <c r="AV1088">
        <v>13.39</v>
      </c>
      <c r="AW1088" t="s">
        <v>72</v>
      </c>
      <c r="AX1088">
        <v>604</v>
      </c>
      <c r="AY1088" t="s">
        <v>71</v>
      </c>
      <c r="AZ1088">
        <v>91.61</v>
      </c>
      <c r="BA1088">
        <v>36.61</v>
      </c>
      <c r="BB1088" t="s">
        <v>73</v>
      </c>
    </row>
    <row r="1089" spans="1:54" x14ac:dyDescent="0.4">
      <c r="A1089">
        <v>902070</v>
      </c>
      <c r="D1089" t="s">
        <v>54</v>
      </c>
      <c r="E1089" t="s">
        <v>104</v>
      </c>
      <c r="F1089" t="s">
        <v>1427</v>
      </c>
      <c r="G1089">
        <v>1</v>
      </c>
      <c r="H1089" t="s">
        <v>56</v>
      </c>
      <c r="I1089" t="s">
        <v>57</v>
      </c>
      <c r="K1089" t="s">
        <v>652</v>
      </c>
      <c r="L1089" t="s">
        <v>1416</v>
      </c>
      <c r="M1089" t="s">
        <v>59</v>
      </c>
      <c r="P1089" t="s">
        <v>131</v>
      </c>
      <c r="R1089" t="s">
        <v>112</v>
      </c>
      <c r="S1089" t="s">
        <v>61</v>
      </c>
      <c r="T1089">
        <v>246.7</v>
      </c>
      <c r="U1089">
        <v>242</v>
      </c>
      <c r="V1089">
        <f>(T1089+U1089)/2</f>
        <v>244.35</v>
      </c>
      <c r="W1089">
        <f>T1089-U1089</f>
        <v>4.6999999999999886</v>
      </c>
      <c r="X1089">
        <v>112.849998</v>
      </c>
      <c r="Y1089">
        <v>36.966667000000001</v>
      </c>
      <c r="Z1089" t="s">
        <v>99</v>
      </c>
      <c r="AA1089" t="s">
        <v>186</v>
      </c>
      <c r="AB1089" t="s">
        <v>503</v>
      </c>
      <c r="AD1089" t="s">
        <v>1053</v>
      </c>
      <c r="AF1089" t="s">
        <v>1417</v>
      </c>
      <c r="AG1089" t="s">
        <v>1058</v>
      </c>
      <c r="AH1089" t="s">
        <v>65</v>
      </c>
      <c r="AI1089" t="s">
        <v>333</v>
      </c>
      <c r="AJ1089">
        <v>1964</v>
      </c>
      <c r="AK1089" t="s">
        <v>1428</v>
      </c>
      <c r="AM1089" t="s">
        <v>1429</v>
      </c>
      <c r="AN1089" t="s">
        <v>121</v>
      </c>
      <c r="AO1089" t="s">
        <v>106</v>
      </c>
      <c r="AP1089" t="s">
        <v>95</v>
      </c>
      <c r="AQ1089" t="s">
        <v>1430</v>
      </c>
      <c r="AR1089" t="s">
        <v>70</v>
      </c>
      <c r="AS1089">
        <v>604</v>
      </c>
      <c r="AT1089" t="s">
        <v>71</v>
      </c>
      <c r="AU1089">
        <v>118.15</v>
      </c>
      <c r="AV1089">
        <v>13.39</v>
      </c>
      <c r="AW1089" t="s">
        <v>72</v>
      </c>
      <c r="AX1089">
        <v>604</v>
      </c>
      <c r="AY1089" t="s">
        <v>71</v>
      </c>
      <c r="AZ1089">
        <v>91.61</v>
      </c>
      <c r="BA1089">
        <v>36.61</v>
      </c>
      <c r="BB1089" t="s">
        <v>73</v>
      </c>
    </row>
    <row r="1090" spans="1:54" x14ac:dyDescent="0.4">
      <c r="A1090">
        <v>902070</v>
      </c>
      <c r="D1090" t="s">
        <v>54</v>
      </c>
      <c r="E1090" t="s">
        <v>104</v>
      </c>
      <c r="F1090" t="s">
        <v>1427</v>
      </c>
      <c r="G1090">
        <v>1</v>
      </c>
      <c r="H1090" t="s">
        <v>56</v>
      </c>
      <c r="I1090" t="s">
        <v>57</v>
      </c>
      <c r="K1090" t="s">
        <v>652</v>
      </c>
      <c r="L1090" t="s">
        <v>1416</v>
      </c>
      <c r="M1090" t="s">
        <v>59</v>
      </c>
      <c r="P1090" t="s">
        <v>131</v>
      </c>
      <c r="R1090" t="s">
        <v>112</v>
      </c>
      <c r="S1090" t="s">
        <v>61</v>
      </c>
      <c r="T1090">
        <v>246.7</v>
      </c>
      <c r="U1090">
        <v>242</v>
      </c>
      <c r="V1090">
        <f>(T1090+U1090)/2</f>
        <v>244.35</v>
      </c>
      <c r="W1090">
        <f>T1090-U1090</f>
        <v>4.6999999999999886</v>
      </c>
      <c r="X1090">
        <v>112.849998</v>
      </c>
      <c r="Y1090">
        <v>36.966667000000001</v>
      </c>
      <c r="Z1090" t="s">
        <v>99</v>
      </c>
      <c r="AA1090" t="s">
        <v>186</v>
      </c>
      <c r="AB1090" t="s">
        <v>503</v>
      </c>
      <c r="AD1090" t="s">
        <v>1053</v>
      </c>
      <c r="AF1090" t="s">
        <v>1417</v>
      </c>
      <c r="AG1090" t="s">
        <v>1058</v>
      </c>
      <c r="AH1090" t="s">
        <v>65</v>
      </c>
      <c r="AI1090" t="s">
        <v>333</v>
      </c>
      <c r="AJ1090">
        <v>1964</v>
      </c>
      <c r="AK1090" t="s">
        <v>1428</v>
      </c>
      <c r="AM1090" t="s">
        <v>1429</v>
      </c>
      <c r="AN1090" t="s">
        <v>121</v>
      </c>
      <c r="AO1090" t="s">
        <v>106</v>
      </c>
      <c r="AP1090" t="s">
        <v>95</v>
      </c>
      <c r="AQ1090" t="s">
        <v>1430</v>
      </c>
      <c r="AR1090" t="s">
        <v>70</v>
      </c>
      <c r="AS1090">
        <v>604</v>
      </c>
      <c r="AT1090" t="s">
        <v>71</v>
      </c>
      <c r="AU1090">
        <v>118.15</v>
      </c>
      <c r="AV1090">
        <v>13.39</v>
      </c>
      <c r="AW1090" t="s">
        <v>72</v>
      </c>
      <c r="AX1090">
        <v>604</v>
      </c>
      <c r="AY1090" t="s">
        <v>71</v>
      </c>
      <c r="AZ1090">
        <v>91.61</v>
      </c>
      <c r="BA1090">
        <v>36.61</v>
      </c>
      <c r="BB1090" t="s">
        <v>73</v>
      </c>
    </row>
    <row r="1091" spans="1:54" x14ac:dyDescent="0.4">
      <c r="A1091">
        <v>902070</v>
      </c>
      <c r="D1091" t="s">
        <v>54</v>
      </c>
      <c r="E1091" t="s">
        <v>104</v>
      </c>
      <c r="F1091" t="s">
        <v>1427</v>
      </c>
      <c r="G1091">
        <v>1</v>
      </c>
      <c r="H1091" t="s">
        <v>56</v>
      </c>
      <c r="I1091" t="s">
        <v>57</v>
      </c>
      <c r="K1091" t="s">
        <v>652</v>
      </c>
      <c r="L1091" t="s">
        <v>1416</v>
      </c>
      <c r="M1091" t="s">
        <v>59</v>
      </c>
      <c r="P1091" t="s">
        <v>131</v>
      </c>
      <c r="R1091" t="s">
        <v>112</v>
      </c>
      <c r="S1091" t="s">
        <v>61</v>
      </c>
      <c r="T1091">
        <v>246.7</v>
      </c>
      <c r="U1091">
        <v>242</v>
      </c>
      <c r="V1091">
        <f>(T1091+U1091)/2</f>
        <v>244.35</v>
      </c>
      <c r="W1091">
        <f>T1091-U1091</f>
        <v>4.6999999999999886</v>
      </c>
      <c r="X1091">
        <v>112.849998</v>
      </c>
      <c r="Y1091">
        <v>36.966667000000001</v>
      </c>
      <c r="Z1091" t="s">
        <v>99</v>
      </c>
      <c r="AA1091" t="s">
        <v>186</v>
      </c>
      <c r="AB1091" t="s">
        <v>503</v>
      </c>
      <c r="AD1091" t="s">
        <v>1053</v>
      </c>
      <c r="AF1091" t="s">
        <v>1417</v>
      </c>
      <c r="AG1091" t="s">
        <v>1058</v>
      </c>
      <c r="AH1091" t="s">
        <v>65</v>
      </c>
      <c r="AI1091" t="s">
        <v>333</v>
      </c>
      <c r="AJ1091">
        <v>1964</v>
      </c>
      <c r="AK1091" t="s">
        <v>1428</v>
      </c>
      <c r="AM1091" t="s">
        <v>1429</v>
      </c>
      <c r="AN1091" t="s">
        <v>121</v>
      </c>
      <c r="AO1091" t="s">
        <v>106</v>
      </c>
      <c r="AP1091" t="s">
        <v>95</v>
      </c>
      <c r="AQ1091" t="s">
        <v>1430</v>
      </c>
      <c r="AR1091" t="s">
        <v>70</v>
      </c>
      <c r="AS1091">
        <v>604</v>
      </c>
      <c r="AT1091" t="s">
        <v>71</v>
      </c>
      <c r="AU1091">
        <v>118.15</v>
      </c>
      <c r="AV1091">
        <v>13.39</v>
      </c>
      <c r="AW1091" t="s">
        <v>72</v>
      </c>
      <c r="AX1091">
        <v>604</v>
      </c>
      <c r="AY1091" t="s">
        <v>71</v>
      </c>
      <c r="AZ1091">
        <v>91.61</v>
      </c>
      <c r="BA1091">
        <v>36.61</v>
      </c>
      <c r="BB1091" t="s">
        <v>73</v>
      </c>
    </row>
    <row r="1092" spans="1:54" x14ac:dyDescent="0.4">
      <c r="A1092">
        <v>902070</v>
      </c>
      <c r="D1092" t="s">
        <v>54</v>
      </c>
      <c r="E1092" t="s">
        <v>104</v>
      </c>
      <c r="F1092" t="s">
        <v>1427</v>
      </c>
      <c r="G1092">
        <v>1</v>
      </c>
      <c r="H1092" t="s">
        <v>56</v>
      </c>
      <c r="I1092" t="s">
        <v>57</v>
      </c>
      <c r="K1092" t="s">
        <v>652</v>
      </c>
      <c r="L1092" t="s">
        <v>1416</v>
      </c>
      <c r="M1092" t="s">
        <v>59</v>
      </c>
      <c r="P1092" t="s">
        <v>131</v>
      </c>
      <c r="R1092" t="s">
        <v>112</v>
      </c>
      <c r="S1092" t="s">
        <v>61</v>
      </c>
      <c r="T1092">
        <v>246.7</v>
      </c>
      <c r="U1092">
        <v>242</v>
      </c>
      <c r="V1092">
        <f>(T1092+U1092)/2</f>
        <v>244.35</v>
      </c>
      <c r="W1092">
        <f>T1092-U1092</f>
        <v>4.6999999999999886</v>
      </c>
      <c r="X1092">
        <v>112.849998</v>
      </c>
      <c r="Y1092">
        <v>36.966667000000001</v>
      </c>
      <c r="Z1092" t="s">
        <v>99</v>
      </c>
      <c r="AA1092" t="s">
        <v>186</v>
      </c>
      <c r="AB1092" t="s">
        <v>503</v>
      </c>
      <c r="AD1092" t="s">
        <v>1053</v>
      </c>
      <c r="AF1092" t="s">
        <v>1417</v>
      </c>
      <c r="AG1092" t="s">
        <v>1058</v>
      </c>
      <c r="AH1092" t="s">
        <v>65</v>
      </c>
      <c r="AI1092" t="s">
        <v>333</v>
      </c>
      <c r="AJ1092">
        <v>1964</v>
      </c>
      <c r="AK1092" t="s">
        <v>1428</v>
      </c>
      <c r="AM1092" t="s">
        <v>1429</v>
      </c>
      <c r="AN1092" t="s">
        <v>121</v>
      </c>
      <c r="AO1092" t="s">
        <v>106</v>
      </c>
      <c r="AP1092" t="s">
        <v>95</v>
      </c>
      <c r="AQ1092" t="s">
        <v>1430</v>
      </c>
      <c r="AR1092" t="s">
        <v>70</v>
      </c>
      <c r="AS1092">
        <v>604</v>
      </c>
      <c r="AT1092" t="s">
        <v>71</v>
      </c>
      <c r="AU1092">
        <v>118.15</v>
      </c>
      <c r="AV1092">
        <v>13.39</v>
      </c>
      <c r="AW1092" t="s">
        <v>72</v>
      </c>
      <c r="AX1092">
        <v>604</v>
      </c>
      <c r="AY1092" t="s">
        <v>71</v>
      </c>
      <c r="AZ1092">
        <v>91.61</v>
      </c>
      <c r="BA1092">
        <v>36.61</v>
      </c>
      <c r="BB1092" t="s">
        <v>73</v>
      </c>
    </row>
    <row r="1093" spans="1:54" x14ac:dyDescent="0.4">
      <c r="A1093">
        <v>902070</v>
      </c>
      <c r="D1093" t="s">
        <v>54</v>
      </c>
      <c r="E1093" t="s">
        <v>104</v>
      </c>
      <c r="F1093" t="s">
        <v>1427</v>
      </c>
      <c r="G1093">
        <v>1</v>
      </c>
      <c r="H1093" t="s">
        <v>56</v>
      </c>
      <c r="I1093" t="s">
        <v>57</v>
      </c>
      <c r="K1093" t="s">
        <v>652</v>
      </c>
      <c r="L1093" t="s">
        <v>1416</v>
      </c>
      <c r="M1093" t="s">
        <v>59</v>
      </c>
      <c r="P1093" t="s">
        <v>131</v>
      </c>
      <c r="R1093" t="s">
        <v>112</v>
      </c>
      <c r="S1093" t="s">
        <v>61</v>
      </c>
      <c r="T1093">
        <v>246.7</v>
      </c>
      <c r="U1093">
        <v>242</v>
      </c>
      <c r="V1093">
        <f>(T1093+U1093)/2</f>
        <v>244.35</v>
      </c>
      <c r="W1093">
        <f>T1093-U1093</f>
        <v>4.6999999999999886</v>
      </c>
      <c r="X1093">
        <v>112.849998</v>
      </c>
      <c r="Y1093">
        <v>36.966667000000001</v>
      </c>
      <c r="Z1093" t="s">
        <v>99</v>
      </c>
      <c r="AA1093" t="s">
        <v>186</v>
      </c>
      <c r="AB1093" t="s">
        <v>503</v>
      </c>
      <c r="AD1093" t="s">
        <v>1053</v>
      </c>
      <c r="AF1093" t="s">
        <v>1417</v>
      </c>
      <c r="AG1093" t="s">
        <v>1058</v>
      </c>
      <c r="AH1093" t="s">
        <v>65</v>
      </c>
      <c r="AI1093" t="s">
        <v>333</v>
      </c>
      <c r="AJ1093">
        <v>1964</v>
      </c>
      <c r="AK1093" t="s">
        <v>1428</v>
      </c>
      <c r="AM1093" t="s">
        <v>1429</v>
      </c>
      <c r="AN1093" t="s">
        <v>121</v>
      </c>
      <c r="AO1093" t="s">
        <v>106</v>
      </c>
      <c r="AP1093" t="s">
        <v>95</v>
      </c>
      <c r="AQ1093" t="s">
        <v>1430</v>
      </c>
      <c r="AR1093" t="s">
        <v>70</v>
      </c>
      <c r="AS1093">
        <v>604</v>
      </c>
      <c r="AT1093" t="s">
        <v>71</v>
      </c>
      <c r="AU1093">
        <v>118.15</v>
      </c>
      <c r="AV1093">
        <v>13.39</v>
      </c>
      <c r="AW1093" t="s">
        <v>72</v>
      </c>
      <c r="AX1093">
        <v>604</v>
      </c>
      <c r="AY1093" t="s">
        <v>71</v>
      </c>
      <c r="AZ1093">
        <v>91.61</v>
      </c>
      <c r="BA1093">
        <v>36.61</v>
      </c>
      <c r="BB1093" t="s">
        <v>73</v>
      </c>
    </row>
    <row r="1094" spans="1:54" x14ac:dyDescent="0.4">
      <c r="A1094">
        <v>902070</v>
      </c>
      <c r="D1094" t="s">
        <v>54</v>
      </c>
      <c r="E1094" t="s">
        <v>104</v>
      </c>
      <c r="F1094" t="s">
        <v>1427</v>
      </c>
      <c r="G1094">
        <v>1</v>
      </c>
      <c r="H1094" t="s">
        <v>56</v>
      </c>
      <c r="I1094" t="s">
        <v>57</v>
      </c>
      <c r="K1094" t="s">
        <v>652</v>
      </c>
      <c r="L1094" t="s">
        <v>1416</v>
      </c>
      <c r="M1094" t="s">
        <v>59</v>
      </c>
      <c r="P1094" t="s">
        <v>131</v>
      </c>
      <c r="R1094" t="s">
        <v>112</v>
      </c>
      <c r="S1094" t="s">
        <v>61</v>
      </c>
      <c r="T1094">
        <v>246.7</v>
      </c>
      <c r="U1094">
        <v>242</v>
      </c>
      <c r="V1094">
        <f>(T1094+U1094)/2</f>
        <v>244.35</v>
      </c>
      <c r="W1094">
        <f>T1094-U1094</f>
        <v>4.6999999999999886</v>
      </c>
      <c r="X1094">
        <v>112.849998</v>
      </c>
      <c r="Y1094">
        <v>36.966667000000001</v>
      </c>
      <c r="Z1094" t="s">
        <v>99</v>
      </c>
      <c r="AA1094" t="s">
        <v>186</v>
      </c>
      <c r="AB1094" t="s">
        <v>503</v>
      </c>
      <c r="AD1094" t="s">
        <v>1053</v>
      </c>
      <c r="AF1094" t="s">
        <v>1417</v>
      </c>
      <c r="AG1094" t="s">
        <v>1058</v>
      </c>
      <c r="AH1094" t="s">
        <v>65</v>
      </c>
      <c r="AI1094" t="s">
        <v>333</v>
      </c>
      <c r="AJ1094">
        <v>1964</v>
      </c>
      <c r="AK1094" t="s">
        <v>1428</v>
      </c>
      <c r="AM1094" t="s">
        <v>1429</v>
      </c>
      <c r="AN1094" t="s">
        <v>121</v>
      </c>
      <c r="AO1094" t="s">
        <v>106</v>
      </c>
      <c r="AP1094" t="s">
        <v>95</v>
      </c>
      <c r="AQ1094" t="s">
        <v>1430</v>
      </c>
      <c r="AR1094" t="s">
        <v>70</v>
      </c>
      <c r="AS1094">
        <v>604</v>
      </c>
      <c r="AT1094" t="s">
        <v>71</v>
      </c>
      <c r="AU1094">
        <v>118.15</v>
      </c>
      <c r="AV1094">
        <v>13.39</v>
      </c>
      <c r="AW1094" t="s">
        <v>72</v>
      </c>
      <c r="AX1094">
        <v>604</v>
      </c>
      <c r="AY1094" t="s">
        <v>71</v>
      </c>
      <c r="AZ1094">
        <v>91.61</v>
      </c>
      <c r="BA1094">
        <v>36.61</v>
      </c>
      <c r="BB1094" t="s">
        <v>73</v>
      </c>
    </row>
    <row r="1095" spans="1:54" x14ac:dyDescent="0.4">
      <c r="A1095">
        <v>902070</v>
      </c>
      <c r="D1095" t="s">
        <v>54</v>
      </c>
      <c r="E1095" t="s">
        <v>104</v>
      </c>
      <c r="F1095" t="s">
        <v>1427</v>
      </c>
      <c r="G1095">
        <v>1</v>
      </c>
      <c r="H1095" t="s">
        <v>56</v>
      </c>
      <c r="I1095" t="s">
        <v>57</v>
      </c>
      <c r="K1095" t="s">
        <v>652</v>
      </c>
      <c r="L1095" t="s">
        <v>1416</v>
      </c>
      <c r="M1095" t="s">
        <v>59</v>
      </c>
      <c r="P1095" t="s">
        <v>131</v>
      </c>
      <c r="R1095" t="s">
        <v>112</v>
      </c>
      <c r="S1095" t="s">
        <v>61</v>
      </c>
      <c r="T1095">
        <v>246.7</v>
      </c>
      <c r="U1095">
        <v>242</v>
      </c>
      <c r="V1095">
        <f>(T1095+U1095)/2</f>
        <v>244.35</v>
      </c>
      <c r="W1095">
        <f>T1095-U1095</f>
        <v>4.6999999999999886</v>
      </c>
      <c r="X1095">
        <v>112.849998</v>
      </c>
      <c r="Y1095">
        <v>36.966667000000001</v>
      </c>
      <c r="Z1095" t="s">
        <v>99</v>
      </c>
      <c r="AA1095" t="s">
        <v>186</v>
      </c>
      <c r="AB1095" t="s">
        <v>503</v>
      </c>
      <c r="AD1095" t="s">
        <v>1053</v>
      </c>
      <c r="AF1095" t="s">
        <v>1417</v>
      </c>
      <c r="AG1095" t="s">
        <v>1058</v>
      </c>
      <c r="AH1095" t="s">
        <v>65</v>
      </c>
      <c r="AI1095" t="s">
        <v>333</v>
      </c>
      <c r="AJ1095">
        <v>1964</v>
      </c>
      <c r="AK1095" t="s">
        <v>1428</v>
      </c>
      <c r="AM1095" t="s">
        <v>1429</v>
      </c>
      <c r="AN1095" t="s">
        <v>121</v>
      </c>
      <c r="AO1095" t="s">
        <v>106</v>
      </c>
      <c r="AP1095" t="s">
        <v>95</v>
      </c>
      <c r="AQ1095" t="s">
        <v>1430</v>
      </c>
      <c r="AR1095" t="s">
        <v>70</v>
      </c>
      <c r="AS1095">
        <v>604</v>
      </c>
      <c r="AT1095" t="s">
        <v>71</v>
      </c>
      <c r="AU1095">
        <v>118.15</v>
      </c>
      <c r="AV1095">
        <v>13.39</v>
      </c>
      <c r="AW1095" t="s">
        <v>72</v>
      </c>
      <c r="AX1095">
        <v>604</v>
      </c>
      <c r="AY1095" t="s">
        <v>71</v>
      </c>
      <c r="AZ1095">
        <v>91.61</v>
      </c>
      <c r="BA1095">
        <v>36.61</v>
      </c>
      <c r="BB1095" t="s">
        <v>73</v>
      </c>
    </row>
    <row r="1096" spans="1:54" x14ac:dyDescent="0.4">
      <c r="A1096">
        <v>902070</v>
      </c>
      <c r="D1096" t="s">
        <v>54</v>
      </c>
      <c r="E1096" t="s">
        <v>104</v>
      </c>
      <c r="F1096" t="s">
        <v>1427</v>
      </c>
      <c r="G1096">
        <v>1</v>
      </c>
      <c r="H1096" t="s">
        <v>56</v>
      </c>
      <c r="I1096" t="s">
        <v>57</v>
      </c>
      <c r="K1096" t="s">
        <v>652</v>
      </c>
      <c r="L1096" t="s">
        <v>1416</v>
      </c>
      <c r="M1096" t="s">
        <v>59</v>
      </c>
      <c r="P1096" t="s">
        <v>131</v>
      </c>
      <c r="R1096" t="s">
        <v>112</v>
      </c>
      <c r="S1096" t="s">
        <v>61</v>
      </c>
      <c r="T1096">
        <v>246.7</v>
      </c>
      <c r="U1096">
        <v>242</v>
      </c>
      <c r="V1096">
        <f>(T1096+U1096)/2</f>
        <v>244.35</v>
      </c>
      <c r="W1096">
        <f>T1096-U1096</f>
        <v>4.6999999999999886</v>
      </c>
      <c r="X1096">
        <v>112.849998</v>
      </c>
      <c r="Y1096">
        <v>36.966667000000001</v>
      </c>
      <c r="Z1096" t="s">
        <v>99</v>
      </c>
      <c r="AA1096" t="s">
        <v>186</v>
      </c>
      <c r="AB1096" t="s">
        <v>503</v>
      </c>
      <c r="AD1096" t="s">
        <v>1053</v>
      </c>
      <c r="AF1096" t="s">
        <v>1417</v>
      </c>
      <c r="AG1096" t="s">
        <v>1058</v>
      </c>
      <c r="AH1096" t="s">
        <v>65</v>
      </c>
      <c r="AI1096" t="s">
        <v>333</v>
      </c>
      <c r="AJ1096">
        <v>1964</v>
      </c>
      <c r="AK1096" t="s">
        <v>1428</v>
      </c>
      <c r="AM1096" t="s">
        <v>1429</v>
      </c>
      <c r="AN1096" t="s">
        <v>121</v>
      </c>
      <c r="AO1096" t="s">
        <v>106</v>
      </c>
      <c r="AP1096" t="s">
        <v>95</v>
      </c>
      <c r="AQ1096" t="s">
        <v>1430</v>
      </c>
      <c r="AR1096" t="s">
        <v>70</v>
      </c>
      <c r="AS1096">
        <v>604</v>
      </c>
      <c r="AT1096" t="s">
        <v>71</v>
      </c>
      <c r="AU1096">
        <v>118.15</v>
      </c>
      <c r="AV1096">
        <v>13.39</v>
      </c>
      <c r="AW1096" t="s">
        <v>72</v>
      </c>
      <c r="AX1096">
        <v>604</v>
      </c>
      <c r="AY1096" t="s">
        <v>71</v>
      </c>
      <c r="AZ1096">
        <v>91.61</v>
      </c>
      <c r="BA1096">
        <v>36.61</v>
      </c>
      <c r="BB1096" t="s">
        <v>73</v>
      </c>
    </row>
    <row r="1097" spans="1:54" x14ac:dyDescent="0.4">
      <c r="A1097">
        <v>902070</v>
      </c>
      <c r="D1097" t="s">
        <v>54</v>
      </c>
      <c r="E1097" t="s">
        <v>104</v>
      </c>
      <c r="F1097" t="s">
        <v>1427</v>
      </c>
      <c r="G1097">
        <v>1</v>
      </c>
      <c r="H1097" t="s">
        <v>56</v>
      </c>
      <c r="I1097" t="s">
        <v>57</v>
      </c>
      <c r="K1097" t="s">
        <v>652</v>
      </c>
      <c r="L1097" t="s">
        <v>1416</v>
      </c>
      <c r="M1097" t="s">
        <v>59</v>
      </c>
      <c r="P1097" t="s">
        <v>131</v>
      </c>
      <c r="R1097" t="s">
        <v>112</v>
      </c>
      <c r="S1097" t="s">
        <v>61</v>
      </c>
      <c r="T1097">
        <v>246.7</v>
      </c>
      <c r="U1097">
        <v>242</v>
      </c>
      <c r="V1097">
        <f>(T1097+U1097)/2</f>
        <v>244.35</v>
      </c>
      <c r="W1097">
        <f>T1097-U1097</f>
        <v>4.6999999999999886</v>
      </c>
      <c r="X1097">
        <v>112.849998</v>
      </c>
      <c r="Y1097">
        <v>36.966667000000001</v>
      </c>
      <c r="Z1097" t="s">
        <v>99</v>
      </c>
      <c r="AA1097" t="s">
        <v>186</v>
      </c>
      <c r="AB1097" t="s">
        <v>503</v>
      </c>
      <c r="AD1097" t="s">
        <v>1053</v>
      </c>
      <c r="AF1097" t="s">
        <v>1417</v>
      </c>
      <c r="AG1097" t="s">
        <v>1058</v>
      </c>
      <c r="AH1097" t="s">
        <v>65</v>
      </c>
      <c r="AI1097" t="s">
        <v>333</v>
      </c>
      <c r="AJ1097">
        <v>1964</v>
      </c>
      <c r="AK1097" t="s">
        <v>1428</v>
      </c>
      <c r="AM1097" t="s">
        <v>1429</v>
      </c>
      <c r="AN1097" t="s">
        <v>121</v>
      </c>
      <c r="AO1097" t="s">
        <v>106</v>
      </c>
      <c r="AP1097" t="s">
        <v>95</v>
      </c>
      <c r="AQ1097" t="s">
        <v>1430</v>
      </c>
      <c r="AR1097" t="s">
        <v>70</v>
      </c>
      <c r="AS1097">
        <v>604</v>
      </c>
      <c r="AT1097" t="s">
        <v>71</v>
      </c>
      <c r="AU1097">
        <v>118.15</v>
      </c>
      <c r="AV1097">
        <v>13.39</v>
      </c>
      <c r="AW1097" t="s">
        <v>72</v>
      </c>
      <c r="AX1097">
        <v>604</v>
      </c>
      <c r="AY1097" t="s">
        <v>71</v>
      </c>
      <c r="AZ1097">
        <v>91.61</v>
      </c>
      <c r="BA1097">
        <v>36.61</v>
      </c>
      <c r="BB1097" t="s">
        <v>73</v>
      </c>
    </row>
    <row r="1098" spans="1:54" x14ac:dyDescent="0.4">
      <c r="A1098">
        <v>902070</v>
      </c>
      <c r="D1098" t="s">
        <v>54</v>
      </c>
      <c r="E1098" t="s">
        <v>104</v>
      </c>
      <c r="F1098" t="s">
        <v>1427</v>
      </c>
      <c r="G1098">
        <v>1</v>
      </c>
      <c r="H1098" t="s">
        <v>56</v>
      </c>
      <c r="I1098" t="s">
        <v>57</v>
      </c>
      <c r="K1098" t="s">
        <v>652</v>
      </c>
      <c r="L1098" t="s">
        <v>1416</v>
      </c>
      <c r="M1098" t="s">
        <v>59</v>
      </c>
      <c r="P1098" t="s">
        <v>131</v>
      </c>
      <c r="R1098" t="s">
        <v>112</v>
      </c>
      <c r="S1098" t="s">
        <v>61</v>
      </c>
      <c r="T1098">
        <v>246.7</v>
      </c>
      <c r="U1098">
        <v>242</v>
      </c>
      <c r="V1098">
        <f>(T1098+U1098)/2</f>
        <v>244.35</v>
      </c>
      <c r="W1098">
        <f>T1098-U1098</f>
        <v>4.6999999999999886</v>
      </c>
      <c r="X1098">
        <v>112.849998</v>
      </c>
      <c r="Y1098">
        <v>36.966667000000001</v>
      </c>
      <c r="Z1098" t="s">
        <v>99</v>
      </c>
      <c r="AA1098" t="s">
        <v>186</v>
      </c>
      <c r="AB1098" t="s">
        <v>503</v>
      </c>
      <c r="AD1098" t="s">
        <v>1053</v>
      </c>
      <c r="AF1098" t="s">
        <v>1417</v>
      </c>
      <c r="AG1098" t="s">
        <v>1058</v>
      </c>
      <c r="AH1098" t="s">
        <v>65</v>
      </c>
      <c r="AI1098" t="s">
        <v>333</v>
      </c>
      <c r="AJ1098">
        <v>1964</v>
      </c>
      <c r="AK1098" t="s">
        <v>1428</v>
      </c>
      <c r="AM1098" t="s">
        <v>1429</v>
      </c>
      <c r="AN1098" t="s">
        <v>121</v>
      </c>
      <c r="AO1098" t="s">
        <v>106</v>
      </c>
      <c r="AP1098" t="s">
        <v>95</v>
      </c>
      <c r="AQ1098" t="s">
        <v>1430</v>
      </c>
      <c r="AR1098" t="s">
        <v>70</v>
      </c>
      <c r="AS1098">
        <v>604</v>
      </c>
      <c r="AT1098" t="s">
        <v>71</v>
      </c>
      <c r="AU1098">
        <v>118.15</v>
      </c>
      <c r="AV1098">
        <v>13.39</v>
      </c>
      <c r="AW1098" t="s">
        <v>72</v>
      </c>
      <c r="AX1098">
        <v>604</v>
      </c>
      <c r="AY1098" t="s">
        <v>71</v>
      </c>
      <c r="AZ1098">
        <v>91.61</v>
      </c>
      <c r="BA1098">
        <v>36.61</v>
      </c>
      <c r="BB1098" t="s">
        <v>73</v>
      </c>
    </row>
    <row r="1099" spans="1:54" x14ac:dyDescent="0.4">
      <c r="A1099">
        <v>902070</v>
      </c>
      <c r="D1099" t="s">
        <v>54</v>
      </c>
      <c r="E1099" t="s">
        <v>104</v>
      </c>
      <c r="F1099" t="s">
        <v>1427</v>
      </c>
      <c r="G1099">
        <v>1</v>
      </c>
      <c r="H1099" t="s">
        <v>56</v>
      </c>
      <c r="I1099" t="s">
        <v>57</v>
      </c>
      <c r="K1099" t="s">
        <v>652</v>
      </c>
      <c r="L1099" t="s">
        <v>1416</v>
      </c>
      <c r="M1099" t="s">
        <v>59</v>
      </c>
      <c r="P1099" t="s">
        <v>131</v>
      </c>
      <c r="R1099" t="s">
        <v>112</v>
      </c>
      <c r="S1099" t="s">
        <v>61</v>
      </c>
      <c r="T1099">
        <v>246.7</v>
      </c>
      <c r="U1099">
        <v>242</v>
      </c>
      <c r="V1099">
        <f>(T1099+U1099)/2</f>
        <v>244.35</v>
      </c>
      <c r="W1099">
        <f>T1099-U1099</f>
        <v>4.6999999999999886</v>
      </c>
      <c r="X1099">
        <v>112.849998</v>
      </c>
      <c r="Y1099">
        <v>36.966667000000001</v>
      </c>
      <c r="Z1099" t="s">
        <v>99</v>
      </c>
      <c r="AA1099" t="s">
        <v>186</v>
      </c>
      <c r="AB1099" t="s">
        <v>503</v>
      </c>
      <c r="AD1099" t="s">
        <v>1053</v>
      </c>
      <c r="AF1099" t="s">
        <v>1417</v>
      </c>
      <c r="AG1099" t="s">
        <v>1058</v>
      </c>
      <c r="AH1099" t="s">
        <v>65</v>
      </c>
      <c r="AI1099" t="s">
        <v>333</v>
      </c>
      <c r="AJ1099">
        <v>1964</v>
      </c>
      <c r="AK1099" t="s">
        <v>1428</v>
      </c>
      <c r="AM1099" t="s">
        <v>1429</v>
      </c>
      <c r="AN1099" t="s">
        <v>121</v>
      </c>
      <c r="AO1099" t="s">
        <v>106</v>
      </c>
      <c r="AP1099" t="s">
        <v>95</v>
      </c>
      <c r="AQ1099" t="s">
        <v>1430</v>
      </c>
      <c r="AR1099" t="s">
        <v>70</v>
      </c>
      <c r="AS1099">
        <v>604</v>
      </c>
      <c r="AT1099" t="s">
        <v>71</v>
      </c>
      <c r="AU1099">
        <v>118.15</v>
      </c>
      <c r="AV1099">
        <v>13.39</v>
      </c>
      <c r="AW1099" t="s">
        <v>72</v>
      </c>
      <c r="AX1099">
        <v>604</v>
      </c>
      <c r="AY1099" t="s">
        <v>71</v>
      </c>
      <c r="AZ1099">
        <v>91.61</v>
      </c>
      <c r="BA1099">
        <v>36.61</v>
      </c>
      <c r="BB1099" t="s">
        <v>73</v>
      </c>
    </row>
    <row r="1100" spans="1:54" x14ac:dyDescent="0.4">
      <c r="A1100">
        <v>902070</v>
      </c>
      <c r="D1100" t="s">
        <v>54</v>
      </c>
      <c r="E1100" t="s">
        <v>104</v>
      </c>
      <c r="F1100" t="s">
        <v>1427</v>
      </c>
      <c r="G1100">
        <v>1</v>
      </c>
      <c r="H1100" t="s">
        <v>56</v>
      </c>
      <c r="I1100" t="s">
        <v>57</v>
      </c>
      <c r="K1100" t="s">
        <v>652</v>
      </c>
      <c r="L1100" t="s">
        <v>1416</v>
      </c>
      <c r="M1100" t="s">
        <v>59</v>
      </c>
      <c r="P1100" t="s">
        <v>131</v>
      </c>
      <c r="R1100" t="s">
        <v>112</v>
      </c>
      <c r="S1100" t="s">
        <v>61</v>
      </c>
      <c r="T1100">
        <v>246.7</v>
      </c>
      <c r="U1100">
        <v>242</v>
      </c>
      <c r="V1100">
        <f>(T1100+U1100)/2</f>
        <v>244.35</v>
      </c>
      <c r="W1100">
        <f>T1100-U1100</f>
        <v>4.6999999999999886</v>
      </c>
      <c r="X1100">
        <v>112.849998</v>
      </c>
      <c r="Y1100">
        <v>36.966667000000001</v>
      </c>
      <c r="Z1100" t="s">
        <v>99</v>
      </c>
      <c r="AA1100" t="s">
        <v>186</v>
      </c>
      <c r="AB1100" t="s">
        <v>503</v>
      </c>
      <c r="AD1100" t="s">
        <v>1053</v>
      </c>
      <c r="AF1100" t="s">
        <v>1417</v>
      </c>
      <c r="AG1100" t="s">
        <v>1058</v>
      </c>
      <c r="AH1100" t="s">
        <v>65</v>
      </c>
      <c r="AI1100" t="s">
        <v>333</v>
      </c>
      <c r="AJ1100">
        <v>1964</v>
      </c>
      <c r="AK1100" t="s">
        <v>1428</v>
      </c>
      <c r="AM1100" t="s">
        <v>1429</v>
      </c>
      <c r="AN1100" t="s">
        <v>121</v>
      </c>
      <c r="AO1100" t="s">
        <v>106</v>
      </c>
      <c r="AP1100" t="s">
        <v>95</v>
      </c>
      <c r="AQ1100" t="s">
        <v>1430</v>
      </c>
      <c r="AR1100" t="s">
        <v>70</v>
      </c>
      <c r="AS1100">
        <v>604</v>
      </c>
      <c r="AT1100" t="s">
        <v>71</v>
      </c>
      <c r="AU1100">
        <v>118.15</v>
      </c>
      <c r="AV1100">
        <v>13.39</v>
      </c>
      <c r="AW1100" t="s">
        <v>72</v>
      </c>
      <c r="AX1100">
        <v>604</v>
      </c>
      <c r="AY1100" t="s">
        <v>71</v>
      </c>
      <c r="AZ1100">
        <v>91.61</v>
      </c>
      <c r="BA1100">
        <v>36.61</v>
      </c>
      <c r="BB1100" t="s">
        <v>73</v>
      </c>
    </row>
    <row r="1101" spans="1:54" x14ac:dyDescent="0.4">
      <c r="A1101">
        <v>902070</v>
      </c>
      <c r="D1101" t="s">
        <v>54</v>
      </c>
      <c r="E1101" t="s">
        <v>104</v>
      </c>
      <c r="F1101" t="s">
        <v>1427</v>
      </c>
      <c r="G1101">
        <v>1</v>
      </c>
      <c r="H1101" t="s">
        <v>56</v>
      </c>
      <c r="I1101" t="s">
        <v>57</v>
      </c>
      <c r="K1101" t="s">
        <v>652</v>
      </c>
      <c r="L1101" t="s">
        <v>1416</v>
      </c>
      <c r="M1101" t="s">
        <v>59</v>
      </c>
      <c r="P1101" t="s">
        <v>131</v>
      </c>
      <c r="R1101" t="s">
        <v>112</v>
      </c>
      <c r="S1101" t="s">
        <v>61</v>
      </c>
      <c r="T1101">
        <v>246.7</v>
      </c>
      <c r="U1101">
        <v>242</v>
      </c>
      <c r="V1101">
        <f>(T1101+U1101)/2</f>
        <v>244.35</v>
      </c>
      <c r="W1101">
        <f>T1101-U1101</f>
        <v>4.6999999999999886</v>
      </c>
      <c r="X1101">
        <v>112.849998</v>
      </c>
      <c r="Y1101">
        <v>36.966667000000001</v>
      </c>
      <c r="Z1101" t="s">
        <v>99</v>
      </c>
      <c r="AA1101" t="s">
        <v>186</v>
      </c>
      <c r="AB1101" t="s">
        <v>503</v>
      </c>
      <c r="AD1101" t="s">
        <v>1053</v>
      </c>
      <c r="AF1101" t="s">
        <v>1417</v>
      </c>
      <c r="AG1101" t="s">
        <v>1058</v>
      </c>
      <c r="AH1101" t="s">
        <v>65</v>
      </c>
      <c r="AI1101" t="s">
        <v>333</v>
      </c>
      <c r="AJ1101">
        <v>1964</v>
      </c>
      <c r="AK1101" t="s">
        <v>1428</v>
      </c>
      <c r="AM1101" t="s">
        <v>1429</v>
      </c>
      <c r="AN1101" t="s">
        <v>121</v>
      </c>
      <c r="AO1101" t="s">
        <v>106</v>
      </c>
      <c r="AP1101" t="s">
        <v>95</v>
      </c>
      <c r="AQ1101" t="s">
        <v>1430</v>
      </c>
      <c r="AR1101" t="s">
        <v>70</v>
      </c>
      <c r="AS1101">
        <v>604</v>
      </c>
      <c r="AT1101" t="s">
        <v>71</v>
      </c>
      <c r="AU1101">
        <v>118.15</v>
      </c>
      <c r="AV1101">
        <v>13.39</v>
      </c>
      <c r="AW1101" t="s">
        <v>72</v>
      </c>
      <c r="AX1101">
        <v>604</v>
      </c>
      <c r="AY1101" t="s">
        <v>71</v>
      </c>
      <c r="AZ1101">
        <v>91.61</v>
      </c>
      <c r="BA1101">
        <v>36.61</v>
      </c>
      <c r="BB1101" t="s">
        <v>73</v>
      </c>
    </row>
    <row r="1102" spans="1:54" x14ac:dyDescent="0.4">
      <c r="A1102">
        <v>902070</v>
      </c>
      <c r="D1102" t="s">
        <v>54</v>
      </c>
      <c r="E1102" t="s">
        <v>104</v>
      </c>
      <c r="F1102" t="s">
        <v>1427</v>
      </c>
      <c r="G1102">
        <v>1</v>
      </c>
      <c r="H1102" t="s">
        <v>56</v>
      </c>
      <c r="I1102" t="s">
        <v>57</v>
      </c>
      <c r="K1102" t="s">
        <v>652</v>
      </c>
      <c r="L1102" t="s">
        <v>1416</v>
      </c>
      <c r="M1102" t="s">
        <v>59</v>
      </c>
      <c r="P1102" t="s">
        <v>131</v>
      </c>
      <c r="R1102" t="s">
        <v>112</v>
      </c>
      <c r="S1102" t="s">
        <v>61</v>
      </c>
      <c r="T1102">
        <v>246.7</v>
      </c>
      <c r="U1102">
        <v>242</v>
      </c>
      <c r="V1102">
        <f>(T1102+U1102)/2</f>
        <v>244.35</v>
      </c>
      <c r="W1102">
        <f>T1102-U1102</f>
        <v>4.6999999999999886</v>
      </c>
      <c r="X1102">
        <v>112.849998</v>
      </c>
      <c r="Y1102">
        <v>36.966667000000001</v>
      </c>
      <c r="Z1102" t="s">
        <v>99</v>
      </c>
      <c r="AA1102" t="s">
        <v>186</v>
      </c>
      <c r="AB1102" t="s">
        <v>503</v>
      </c>
      <c r="AD1102" t="s">
        <v>1053</v>
      </c>
      <c r="AF1102" t="s">
        <v>1417</v>
      </c>
      <c r="AG1102" t="s">
        <v>1058</v>
      </c>
      <c r="AH1102" t="s">
        <v>65</v>
      </c>
      <c r="AI1102" t="s">
        <v>333</v>
      </c>
      <c r="AJ1102">
        <v>1964</v>
      </c>
      <c r="AK1102" t="s">
        <v>1428</v>
      </c>
      <c r="AM1102" t="s">
        <v>1429</v>
      </c>
      <c r="AN1102" t="s">
        <v>121</v>
      </c>
      <c r="AO1102" t="s">
        <v>106</v>
      </c>
      <c r="AP1102" t="s">
        <v>95</v>
      </c>
      <c r="AQ1102" t="s">
        <v>1430</v>
      </c>
      <c r="AR1102" t="s">
        <v>70</v>
      </c>
      <c r="AS1102">
        <v>604</v>
      </c>
      <c r="AT1102" t="s">
        <v>71</v>
      </c>
      <c r="AU1102">
        <v>118.15</v>
      </c>
      <c r="AV1102">
        <v>13.39</v>
      </c>
      <c r="AW1102" t="s">
        <v>72</v>
      </c>
      <c r="AX1102">
        <v>604</v>
      </c>
      <c r="AY1102" t="s">
        <v>71</v>
      </c>
      <c r="AZ1102">
        <v>91.61</v>
      </c>
      <c r="BA1102">
        <v>36.61</v>
      </c>
      <c r="BB1102" t="s">
        <v>73</v>
      </c>
    </row>
    <row r="1103" spans="1:54" x14ac:dyDescent="0.4">
      <c r="A1103">
        <v>902070</v>
      </c>
      <c r="D1103" t="s">
        <v>54</v>
      </c>
      <c r="E1103" t="s">
        <v>104</v>
      </c>
      <c r="F1103" t="s">
        <v>1427</v>
      </c>
      <c r="G1103">
        <v>1</v>
      </c>
      <c r="H1103" t="s">
        <v>56</v>
      </c>
      <c r="I1103" t="s">
        <v>57</v>
      </c>
      <c r="K1103" t="s">
        <v>652</v>
      </c>
      <c r="L1103" t="s">
        <v>1416</v>
      </c>
      <c r="M1103" t="s">
        <v>59</v>
      </c>
      <c r="P1103" t="s">
        <v>131</v>
      </c>
      <c r="R1103" t="s">
        <v>112</v>
      </c>
      <c r="S1103" t="s">
        <v>61</v>
      </c>
      <c r="T1103">
        <v>246.7</v>
      </c>
      <c r="U1103">
        <v>242</v>
      </c>
      <c r="V1103">
        <f>(T1103+U1103)/2</f>
        <v>244.35</v>
      </c>
      <c r="W1103">
        <f>T1103-U1103</f>
        <v>4.6999999999999886</v>
      </c>
      <c r="X1103">
        <v>112.849998</v>
      </c>
      <c r="Y1103">
        <v>36.966667000000001</v>
      </c>
      <c r="Z1103" t="s">
        <v>99</v>
      </c>
      <c r="AA1103" t="s">
        <v>186</v>
      </c>
      <c r="AB1103" t="s">
        <v>503</v>
      </c>
      <c r="AD1103" t="s">
        <v>1053</v>
      </c>
      <c r="AF1103" t="s">
        <v>1417</v>
      </c>
      <c r="AG1103" t="s">
        <v>1058</v>
      </c>
      <c r="AH1103" t="s">
        <v>65</v>
      </c>
      <c r="AI1103" t="s">
        <v>333</v>
      </c>
      <c r="AJ1103">
        <v>1964</v>
      </c>
      <c r="AK1103" t="s">
        <v>1428</v>
      </c>
      <c r="AM1103" t="s">
        <v>1429</v>
      </c>
      <c r="AN1103" t="s">
        <v>121</v>
      </c>
      <c r="AO1103" t="s">
        <v>106</v>
      </c>
      <c r="AP1103" t="s">
        <v>95</v>
      </c>
      <c r="AQ1103" t="s">
        <v>1430</v>
      </c>
      <c r="AR1103" t="s">
        <v>70</v>
      </c>
      <c r="AS1103">
        <v>604</v>
      </c>
      <c r="AT1103" t="s">
        <v>71</v>
      </c>
      <c r="AU1103">
        <v>118.15</v>
      </c>
      <c r="AV1103">
        <v>13.39</v>
      </c>
      <c r="AW1103" t="s">
        <v>72</v>
      </c>
      <c r="AX1103">
        <v>604</v>
      </c>
      <c r="AY1103" t="s">
        <v>71</v>
      </c>
      <c r="AZ1103">
        <v>91.61</v>
      </c>
      <c r="BA1103">
        <v>36.61</v>
      </c>
      <c r="BB1103" t="s">
        <v>73</v>
      </c>
    </row>
    <row r="1104" spans="1:54" x14ac:dyDescent="0.4">
      <c r="A1104">
        <v>902070</v>
      </c>
      <c r="D1104" t="s">
        <v>54</v>
      </c>
      <c r="E1104" t="s">
        <v>104</v>
      </c>
      <c r="F1104" t="s">
        <v>1427</v>
      </c>
      <c r="G1104">
        <v>1</v>
      </c>
      <c r="H1104" t="s">
        <v>56</v>
      </c>
      <c r="I1104" t="s">
        <v>57</v>
      </c>
      <c r="K1104" t="s">
        <v>652</v>
      </c>
      <c r="L1104" t="s">
        <v>1416</v>
      </c>
      <c r="M1104" t="s">
        <v>59</v>
      </c>
      <c r="P1104" t="s">
        <v>131</v>
      </c>
      <c r="R1104" t="s">
        <v>112</v>
      </c>
      <c r="S1104" t="s">
        <v>61</v>
      </c>
      <c r="T1104">
        <v>246.7</v>
      </c>
      <c r="U1104">
        <v>242</v>
      </c>
      <c r="V1104">
        <f>(T1104+U1104)/2</f>
        <v>244.35</v>
      </c>
      <c r="W1104">
        <f>T1104-U1104</f>
        <v>4.6999999999999886</v>
      </c>
      <c r="X1104">
        <v>112.849998</v>
      </c>
      <c r="Y1104">
        <v>36.966667000000001</v>
      </c>
      <c r="Z1104" t="s">
        <v>99</v>
      </c>
      <c r="AA1104" t="s">
        <v>186</v>
      </c>
      <c r="AB1104" t="s">
        <v>503</v>
      </c>
      <c r="AD1104" t="s">
        <v>1053</v>
      </c>
      <c r="AF1104" t="s">
        <v>1417</v>
      </c>
      <c r="AG1104" t="s">
        <v>1058</v>
      </c>
      <c r="AH1104" t="s">
        <v>65</v>
      </c>
      <c r="AI1104" t="s">
        <v>333</v>
      </c>
      <c r="AJ1104">
        <v>1964</v>
      </c>
      <c r="AK1104" t="s">
        <v>1428</v>
      </c>
      <c r="AM1104" t="s">
        <v>1429</v>
      </c>
      <c r="AN1104" t="s">
        <v>121</v>
      </c>
      <c r="AO1104" t="s">
        <v>106</v>
      </c>
      <c r="AP1104" t="s">
        <v>95</v>
      </c>
      <c r="AQ1104" t="s">
        <v>1430</v>
      </c>
      <c r="AR1104" t="s">
        <v>70</v>
      </c>
      <c r="AS1104">
        <v>604</v>
      </c>
      <c r="AT1104" t="s">
        <v>71</v>
      </c>
      <c r="AU1104">
        <v>118.15</v>
      </c>
      <c r="AV1104">
        <v>13.39</v>
      </c>
      <c r="AW1104" t="s">
        <v>72</v>
      </c>
      <c r="AX1104">
        <v>604</v>
      </c>
      <c r="AY1104" t="s">
        <v>71</v>
      </c>
      <c r="AZ1104">
        <v>91.61</v>
      </c>
      <c r="BA1104">
        <v>36.61</v>
      </c>
      <c r="BB1104" t="s">
        <v>73</v>
      </c>
    </row>
    <row r="1105" spans="1:54" x14ac:dyDescent="0.4">
      <c r="A1105">
        <v>902070</v>
      </c>
      <c r="D1105" t="s">
        <v>54</v>
      </c>
      <c r="E1105" t="s">
        <v>104</v>
      </c>
      <c r="F1105" t="s">
        <v>1427</v>
      </c>
      <c r="G1105">
        <v>1</v>
      </c>
      <c r="H1105" t="s">
        <v>56</v>
      </c>
      <c r="I1105" t="s">
        <v>57</v>
      </c>
      <c r="K1105" t="s">
        <v>652</v>
      </c>
      <c r="L1105" t="s">
        <v>1416</v>
      </c>
      <c r="M1105" t="s">
        <v>59</v>
      </c>
      <c r="P1105" t="s">
        <v>131</v>
      </c>
      <c r="R1105" t="s">
        <v>112</v>
      </c>
      <c r="S1105" t="s">
        <v>61</v>
      </c>
      <c r="T1105">
        <v>246.7</v>
      </c>
      <c r="U1105">
        <v>242</v>
      </c>
      <c r="V1105">
        <f>(T1105+U1105)/2</f>
        <v>244.35</v>
      </c>
      <c r="W1105">
        <f>T1105-U1105</f>
        <v>4.6999999999999886</v>
      </c>
      <c r="X1105">
        <v>112.849998</v>
      </c>
      <c r="Y1105">
        <v>36.966667000000001</v>
      </c>
      <c r="Z1105" t="s">
        <v>99</v>
      </c>
      <c r="AA1105" t="s">
        <v>186</v>
      </c>
      <c r="AB1105" t="s">
        <v>503</v>
      </c>
      <c r="AD1105" t="s">
        <v>1053</v>
      </c>
      <c r="AF1105" t="s">
        <v>1417</v>
      </c>
      <c r="AG1105" t="s">
        <v>1058</v>
      </c>
      <c r="AH1105" t="s">
        <v>65</v>
      </c>
      <c r="AI1105" t="s">
        <v>333</v>
      </c>
      <c r="AJ1105">
        <v>1964</v>
      </c>
      <c r="AK1105" t="s">
        <v>1428</v>
      </c>
      <c r="AM1105" t="s">
        <v>1429</v>
      </c>
      <c r="AN1105" t="s">
        <v>121</v>
      </c>
      <c r="AO1105" t="s">
        <v>106</v>
      </c>
      <c r="AP1105" t="s">
        <v>95</v>
      </c>
      <c r="AQ1105" t="s">
        <v>1430</v>
      </c>
      <c r="AR1105" t="s">
        <v>70</v>
      </c>
      <c r="AS1105">
        <v>604</v>
      </c>
      <c r="AT1105" t="s">
        <v>71</v>
      </c>
      <c r="AU1105">
        <v>118.15</v>
      </c>
      <c r="AV1105">
        <v>13.39</v>
      </c>
      <c r="AW1105" t="s">
        <v>72</v>
      </c>
      <c r="AX1105">
        <v>604</v>
      </c>
      <c r="AY1105" t="s">
        <v>71</v>
      </c>
      <c r="AZ1105">
        <v>91.61</v>
      </c>
      <c r="BA1105">
        <v>36.61</v>
      </c>
      <c r="BB1105" t="s">
        <v>73</v>
      </c>
    </row>
    <row r="1106" spans="1:54" x14ac:dyDescent="0.4">
      <c r="A1106">
        <v>902070</v>
      </c>
      <c r="D1106" t="s">
        <v>54</v>
      </c>
      <c r="E1106" t="s">
        <v>104</v>
      </c>
      <c r="F1106" t="s">
        <v>1427</v>
      </c>
      <c r="G1106">
        <v>1</v>
      </c>
      <c r="H1106" t="s">
        <v>56</v>
      </c>
      <c r="I1106" t="s">
        <v>57</v>
      </c>
      <c r="K1106" t="s">
        <v>652</v>
      </c>
      <c r="L1106" t="s">
        <v>1416</v>
      </c>
      <c r="M1106" t="s">
        <v>59</v>
      </c>
      <c r="P1106" t="s">
        <v>131</v>
      </c>
      <c r="R1106" t="s">
        <v>112</v>
      </c>
      <c r="S1106" t="s">
        <v>61</v>
      </c>
      <c r="T1106">
        <v>246.7</v>
      </c>
      <c r="U1106">
        <v>242</v>
      </c>
      <c r="V1106">
        <f>(T1106+U1106)/2</f>
        <v>244.35</v>
      </c>
      <c r="W1106">
        <f>T1106-U1106</f>
        <v>4.6999999999999886</v>
      </c>
      <c r="X1106">
        <v>112.849998</v>
      </c>
      <c r="Y1106">
        <v>36.966667000000001</v>
      </c>
      <c r="Z1106" t="s">
        <v>99</v>
      </c>
      <c r="AA1106" t="s">
        <v>186</v>
      </c>
      <c r="AB1106" t="s">
        <v>503</v>
      </c>
      <c r="AD1106" t="s">
        <v>1053</v>
      </c>
      <c r="AF1106" t="s">
        <v>1417</v>
      </c>
      <c r="AG1106" t="s">
        <v>1058</v>
      </c>
      <c r="AH1106" t="s">
        <v>65</v>
      </c>
      <c r="AI1106" t="s">
        <v>333</v>
      </c>
      <c r="AJ1106">
        <v>1964</v>
      </c>
      <c r="AK1106" t="s">
        <v>1428</v>
      </c>
      <c r="AM1106" t="s">
        <v>1429</v>
      </c>
      <c r="AN1106" t="s">
        <v>121</v>
      </c>
      <c r="AO1106" t="s">
        <v>106</v>
      </c>
      <c r="AP1106" t="s">
        <v>95</v>
      </c>
      <c r="AQ1106" t="s">
        <v>1430</v>
      </c>
      <c r="AR1106" t="s">
        <v>70</v>
      </c>
      <c r="AS1106">
        <v>604</v>
      </c>
      <c r="AT1106" t="s">
        <v>71</v>
      </c>
      <c r="AU1106">
        <v>118.15</v>
      </c>
      <c r="AV1106">
        <v>13.39</v>
      </c>
      <c r="AW1106" t="s">
        <v>72</v>
      </c>
      <c r="AX1106">
        <v>604</v>
      </c>
      <c r="AY1106" t="s">
        <v>71</v>
      </c>
      <c r="AZ1106">
        <v>91.61</v>
      </c>
      <c r="BA1106">
        <v>36.61</v>
      </c>
      <c r="BB1106" t="s">
        <v>73</v>
      </c>
    </row>
    <row r="1107" spans="1:54" x14ac:dyDescent="0.4">
      <c r="A1107">
        <v>902070</v>
      </c>
      <c r="D1107" t="s">
        <v>54</v>
      </c>
      <c r="E1107" t="s">
        <v>104</v>
      </c>
      <c r="F1107" t="s">
        <v>1427</v>
      </c>
      <c r="G1107">
        <v>1</v>
      </c>
      <c r="H1107" t="s">
        <v>56</v>
      </c>
      <c r="I1107" t="s">
        <v>57</v>
      </c>
      <c r="K1107" t="s">
        <v>652</v>
      </c>
      <c r="L1107" t="s">
        <v>1416</v>
      </c>
      <c r="M1107" t="s">
        <v>59</v>
      </c>
      <c r="P1107" t="s">
        <v>131</v>
      </c>
      <c r="R1107" t="s">
        <v>112</v>
      </c>
      <c r="S1107" t="s">
        <v>61</v>
      </c>
      <c r="T1107">
        <v>246.7</v>
      </c>
      <c r="U1107">
        <v>242</v>
      </c>
      <c r="V1107">
        <f>(T1107+U1107)/2</f>
        <v>244.35</v>
      </c>
      <c r="W1107">
        <f>T1107-U1107</f>
        <v>4.6999999999999886</v>
      </c>
      <c r="X1107">
        <v>112.849998</v>
      </c>
      <c r="Y1107">
        <v>36.966667000000001</v>
      </c>
      <c r="Z1107" t="s">
        <v>99</v>
      </c>
      <c r="AA1107" t="s">
        <v>186</v>
      </c>
      <c r="AB1107" t="s">
        <v>503</v>
      </c>
      <c r="AD1107" t="s">
        <v>1053</v>
      </c>
      <c r="AF1107" t="s">
        <v>1417</v>
      </c>
      <c r="AG1107" t="s">
        <v>1058</v>
      </c>
      <c r="AH1107" t="s">
        <v>65</v>
      </c>
      <c r="AI1107" t="s">
        <v>333</v>
      </c>
      <c r="AJ1107">
        <v>1964</v>
      </c>
      <c r="AK1107" t="s">
        <v>1428</v>
      </c>
      <c r="AM1107" t="s">
        <v>1429</v>
      </c>
      <c r="AN1107" t="s">
        <v>121</v>
      </c>
      <c r="AO1107" t="s">
        <v>106</v>
      </c>
      <c r="AP1107" t="s">
        <v>95</v>
      </c>
      <c r="AQ1107" t="s">
        <v>1430</v>
      </c>
      <c r="AR1107" t="s">
        <v>70</v>
      </c>
      <c r="AS1107">
        <v>604</v>
      </c>
      <c r="AT1107" t="s">
        <v>71</v>
      </c>
      <c r="AU1107">
        <v>118.15</v>
      </c>
      <c r="AV1107">
        <v>13.39</v>
      </c>
      <c r="AW1107" t="s">
        <v>72</v>
      </c>
      <c r="AX1107">
        <v>604</v>
      </c>
      <c r="AY1107" t="s">
        <v>71</v>
      </c>
      <c r="AZ1107">
        <v>91.61</v>
      </c>
      <c r="BA1107">
        <v>36.61</v>
      </c>
      <c r="BB1107" t="s">
        <v>73</v>
      </c>
    </row>
    <row r="1108" spans="1:54" x14ac:dyDescent="0.4">
      <c r="A1108">
        <v>902070</v>
      </c>
      <c r="D1108" t="s">
        <v>54</v>
      </c>
      <c r="E1108" t="s">
        <v>104</v>
      </c>
      <c r="F1108" t="s">
        <v>1427</v>
      </c>
      <c r="G1108">
        <v>1</v>
      </c>
      <c r="H1108" t="s">
        <v>56</v>
      </c>
      <c r="I1108" t="s">
        <v>57</v>
      </c>
      <c r="K1108" t="s">
        <v>652</v>
      </c>
      <c r="L1108" t="s">
        <v>1416</v>
      </c>
      <c r="M1108" t="s">
        <v>59</v>
      </c>
      <c r="P1108" t="s">
        <v>131</v>
      </c>
      <c r="R1108" t="s">
        <v>112</v>
      </c>
      <c r="S1108" t="s">
        <v>61</v>
      </c>
      <c r="T1108">
        <v>246.7</v>
      </c>
      <c r="U1108">
        <v>242</v>
      </c>
      <c r="V1108">
        <f>(T1108+U1108)/2</f>
        <v>244.35</v>
      </c>
      <c r="W1108">
        <f>T1108-U1108</f>
        <v>4.6999999999999886</v>
      </c>
      <c r="X1108">
        <v>112.849998</v>
      </c>
      <c r="Y1108">
        <v>36.966667000000001</v>
      </c>
      <c r="Z1108" t="s">
        <v>99</v>
      </c>
      <c r="AA1108" t="s">
        <v>186</v>
      </c>
      <c r="AB1108" t="s">
        <v>503</v>
      </c>
      <c r="AD1108" t="s">
        <v>1053</v>
      </c>
      <c r="AF1108" t="s">
        <v>1417</v>
      </c>
      <c r="AG1108" t="s">
        <v>1058</v>
      </c>
      <c r="AH1108" t="s">
        <v>65</v>
      </c>
      <c r="AI1108" t="s">
        <v>333</v>
      </c>
      <c r="AJ1108">
        <v>1964</v>
      </c>
      <c r="AK1108" t="s">
        <v>1428</v>
      </c>
      <c r="AM1108" t="s">
        <v>1429</v>
      </c>
      <c r="AN1108" t="s">
        <v>121</v>
      </c>
      <c r="AO1108" t="s">
        <v>106</v>
      </c>
      <c r="AP1108" t="s">
        <v>95</v>
      </c>
      <c r="AQ1108" t="s">
        <v>1430</v>
      </c>
      <c r="AR1108" t="s">
        <v>70</v>
      </c>
      <c r="AS1108">
        <v>604</v>
      </c>
      <c r="AT1108" t="s">
        <v>71</v>
      </c>
      <c r="AU1108">
        <v>118.15</v>
      </c>
      <c r="AV1108">
        <v>13.39</v>
      </c>
      <c r="AW1108" t="s">
        <v>72</v>
      </c>
      <c r="AX1108">
        <v>604</v>
      </c>
      <c r="AY1108" t="s">
        <v>71</v>
      </c>
      <c r="AZ1108">
        <v>91.61</v>
      </c>
      <c r="BA1108">
        <v>36.61</v>
      </c>
      <c r="BB1108" t="s">
        <v>73</v>
      </c>
    </row>
    <row r="1109" spans="1:54" x14ac:dyDescent="0.4">
      <c r="A1109">
        <v>902070</v>
      </c>
      <c r="D1109" t="s">
        <v>54</v>
      </c>
      <c r="E1109" t="s">
        <v>104</v>
      </c>
      <c r="F1109" t="s">
        <v>1427</v>
      </c>
      <c r="G1109">
        <v>1</v>
      </c>
      <c r="H1109" t="s">
        <v>56</v>
      </c>
      <c r="I1109" t="s">
        <v>57</v>
      </c>
      <c r="K1109" t="s">
        <v>652</v>
      </c>
      <c r="L1109" t="s">
        <v>1416</v>
      </c>
      <c r="M1109" t="s">
        <v>59</v>
      </c>
      <c r="P1109" t="s">
        <v>131</v>
      </c>
      <c r="R1109" t="s">
        <v>112</v>
      </c>
      <c r="S1109" t="s">
        <v>61</v>
      </c>
      <c r="T1109">
        <v>246.7</v>
      </c>
      <c r="U1109">
        <v>242</v>
      </c>
      <c r="V1109">
        <f>(T1109+U1109)/2</f>
        <v>244.35</v>
      </c>
      <c r="W1109">
        <f>T1109-U1109</f>
        <v>4.6999999999999886</v>
      </c>
      <c r="X1109">
        <v>112.849998</v>
      </c>
      <c r="Y1109">
        <v>36.966667000000001</v>
      </c>
      <c r="Z1109" t="s">
        <v>99</v>
      </c>
      <c r="AA1109" t="s">
        <v>186</v>
      </c>
      <c r="AB1109" t="s">
        <v>503</v>
      </c>
      <c r="AD1109" t="s">
        <v>1053</v>
      </c>
      <c r="AF1109" t="s">
        <v>1417</v>
      </c>
      <c r="AG1109" t="s">
        <v>1058</v>
      </c>
      <c r="AH1109" t="s">
        <v>65</v>
      </c>
      <c r="AI1109" t="s">
        <v>333</v>
      </c>
      <c r="AJ1109">
        <v>1964</v>
      </c>
      <c r="AK1109" t="s">
        <v>1428</v>
      </c>
      <c r="AM1109" t="s">
        <v>1429</v>
      </c>
      <c r="AN1109" t="s">
        <v>121</v>
      </c>
      <c r="AO1109" t="s">
        <v>106</v>
      </c>
      <c r="AP1109" t="s">
        <v>95</v>
      </c>
      <c r="AQ1109" t="s">
        <v>1430</v>
      </c>
      <c r="AR1109" t="s">
        <v>70</v>
      </c>
      <c r="AS1109">
        <v>604</v>
      </c>
      <c r="AT1109" t="s">
        <v>71</v>
      </c>
      <c r="AU1109">
        <v>118.15</v>
      </c>
      <c r="AV1109">
        <v>13.39</v>
      </c>
      <c r="AW1109" t="s">
        <v>72</v>
      </c>
      <c r="AX1109">
        <v>604</v>
      </c>
      <c r="AY1109" t="s">
        <v>71</v>
      </c>
      <c r="AZ1109">
        <v>91.61</v>
      </c>
      <c r="BA1109">
        <v>36.61</v>
      </c>
      <c r="BB1109" t="s">
        <v>73</v>
      </c>
    </row>
    <row r="1110" spans="1:54" x14ac:dyDescent="0.4">
      <c r="A1110">
        <v>902070</v>
      </c>
      <c r="D1110" t="s">
        <v>54</v>
      </c>
      <c r="E1110" t="s">
        <v>104</v>
      </c>
      <c r="F1110" t="s">
        <v>1427</v>
      </c>
      <c r="G1110">
        <v>1</v>
      </c>
      <c r="H1110" t="s">
        <v>56</v>
      </c>
      <c r="I1110" t="s">
        <v>57</v>
      </c>
      <c r="K1110" t="s">
        <v>652</v>
      </c>
      <c r="L1110" t="s">
        <v>1416</v>
      </c>
      <c r="M1110" t="s">
        <v>59</v>
      </c>
      <c r="P1110" t="s">
        <v>131</v>
      </c>
      <c r="R1110" t="s">
        <v>112</v>
      </c>
      <c r="S1110" t="s">
        <v>61</v>
      </c>
      <c r="T1110">
        <v>246.7</v>
      </c>
      <c r="U1110">
        <v>242</v>
      </c>
      <c r="V1110">
        <f>(T1110+U1110)/2</f>
        <v>244.35</v>
      </c>
      <c r="W1110">
        <f>T1110-U1110</f>
        <v>4.6999999999999886</v>
      </c>
      <c r="X1110">
        <v>112.849998</v>
      </c>
      <c r="Y1110">
        <v>36.966667000000001</v>
      </c>
      <c r="Z1110" t="s">
        <v>99</v>
      </c>
      <c r="AA1110" t="s">
        <v>186</v>
      </c>
      <c r="AB1110" t="s">
        <v>503</v>
      </c>
      <c r="AD1110" t="s">
        <v>1053</v>
      </c>
      <c r="AF1110" t="s">
        <v>1417</v>
      </c>
      <c r="AG1110" t="s">
        <v>1058</v>
      </c>
      <c r="AH1110" t="s">
        <v>65</v>
      </c>
      <c r="AI1110" t="s">
        <v>333</v>
      </c>
      <c r="AJ1110">
        <v>1964</v>
      </c>
      <c r="AK1110" t="s">
        <v>1428</v>
      </c>
      <c r="AM1110" t="s">
        <v>1429</v>
      </c>
      <c r="AN1110" t="s">
        <v>121</v>
      </c>
      <c r="AO1110" t="s">
        <v>106</v>
      </c>
      <c r="AP1110" t="s">
        <v>95</v>
      </c>
      <c r="AQ1110" t="s">
        <v>1430</v>
      </c>
      <c r="AR1110" t="s">
        <v>70</v>
      </c>
      <c r="AS1110">
        <v>604</v>
      </c>
      <c r="AT1110" t="s">
        <v>71</v>
      </c>
      <c r="AU1110">
        <v>118.15</v>
      </c>
      <c r="AV1110">
        <v>13.39</v>
      </c>
      <c r="AW1110" t="s">
        <v>72</v>
      </c>
      <c r="AX1110">
        <v>604</v>
      </c>
      <c r="AY1110" t="s">
        <v>71</v>
      </c>
      <c r="AZ1110">
        <v>91.61</v>
      </c>
      <c r="BA1110">
        <v>36.61</v>
      </c>
      <c r="BB1110" t="s">
        <v>73</v>
      </c>
    </row>
    <row r="1111" spans="1:54" x14ac:dyDescent="0.4">
      <c r="A1111">
        <v>902070</v>
      </c>
      <c r="D1111" t="s">
        <v>54</v>
      </c>
      <c r="E1111" t="s">
        <v>104</v>
      </c>
      <c r="F1111" t="s">
        <v>1427</v>
      </c>
      <c r="G1111">
        <v>1</v>
      </c>
      <c r="H1111" t="s">
        <v>56</v>
      </c>
      <c r="I1111" t="s">
        <v>57</v>
      </c>
      <c r="K1111" t="s">
        <v>652</v>
      </c>
      <c r="L1111" t="s">
        <v>1416</v>
      </c>
      <c r="M1111" t="s">
        <v>59</v>
      </c>
      <c r="P1111" t="s">
        <v>131</v>
      </c>
      <c r="R1111" t="s">
        <v>112</v>
      </c>
      <c r="S1111" t="s">
        <v>61</v>
      </c>
      <c r="T1111">
        <v>246.7</v>
      </c>
      <c r="U1111">
        <v>242</v>
      </c>
      <c r="V1111">
        <f>(T1111+U1111)/2</f>
        <v>244.35</v>
      </c>
      <c r="W1111">
        <f>T1111-U1111</f>
        <v>4.6999999999999886</v>
      </c>
      <c r="X1111">
        <v>112.849998</v>
      </c>
      <c r="Y1111">
        <v>36.966667000000001</v>
      </c>
      <c r="Z1111" t="s">
        <v>99</v>
      </c>
      <c r="AA1111" t="s">
        <v>186</v>
      </c>
      <c r="AB1111" t="s">
        <v>503</v>
      </c>
      <c r="AD1111" t="s">
        <v>1053</v>
      </c>
      <c r="AF1111" t="s">
        <v>1417</v>
      </c>
      <c r="AG1111" t="s">
        <v>1058</v>
      </c>
      <c r="AH1111" t="s">
        <v>65</v>
      </c>
      <c r="AI1111" t="s">
        <v>333</v>
      </c>
      <c r="AJ1111">
        <v>1964</v>
      </c>
      <c r="AK1111" t="s">
        <v>1428</v>
      </c>
      <c r="AM1111" t="s">
        <v>1429</v>
      </c>
      <c r="AN1111" t="s">
        <v>121</v>
      </c>
      <c r="AO1111" t="s">
        <v>106</v>
      </c>
      <c r="AP1111" t="s">
        <v>95</v>
      </c>
      <c r="AQ1111" t="s">
        <v>1430</v>
      </c>
      <c r="AR1111" t="s">
        <v>70</v>
      </c>
      <c r="AS1111">
        <v>604</v>
      </c>
      <c r="AT1111" t="s">
        <v>71</v>
      </c>
      <c r="AU1111">
        <v>118.15</v>
      </c>
      <c r="AV1111">
        <v>13.39</v>
      </c>
      <c r="AW1111" t="s">
        <v>72</v>
      </c>
      <c r="AX1111">
        <v>604</v>
      </c>
      <c r="AY1111" t="s">
        <v>71</v>
      </c>
      <c r="AZ1111">
        <v>91.61</v>
      </c>
      <c r="BA1111">
        <v>36.61</v>
      </c>
      <c r="BB1111" t="s">
        <v>73</v>
      </c>
    </row>
    <row r="1112" spans="1:54" x14ac:dyDescent="0.4">
      <c r="A1112">
        <v>902070</v>
      </c>
      <c r="D1112" t="s">
        <v>54</v>
      </c>
      <c r="E1112" t="s">
        <v>104</v>
      </c>
      <c r="F1112" t="s">
        <v>1427</v>
      </c>
      <c r="G1112">
        <v>1</v>
      </c>
      <c r="H1112" t="s">
        <v>56</v>
      </c>
      <c r="I1112" t="s">
        <v>57</v>
      </c>
      <c r="K1112" t="s">
        <v>652</v>
      </c>
      <c r="L1112" t="s">
        <v>1416</v>
      </c>
      <c r="M1112" t="s">
        <v>59</v>
      </c>
      <c r="P1112" t="s">
        <v>131</v>
      </c>
      <c r="R1112" t="s">
        <v>112</v>
      </c>
      <c r="S1112" t="s">
        <v>61</v>
      </c>
      <c r="T1112">
        <v>246.7</v>
      </c>
      <c r="U1112">
        <v>242</v>
      </c>
      <c r="V1112">
        <f>(T1112+U1112)/2</f>
        <v>244.35</v>
      </c>
      <c r="W1112">
        <f>T1112-U1112</f>
        <v>4.6999999999999886</v>
      </c>
      <c r="X1112">
        <v>112.849998</v>
      </c>
      <c r="Y1112">
        <v>36.966667000000001</v>
      </c>
      <c r="Z1112" t="s">
        <v>99</v>
      </c>
      <c r="AA1112" t="s">
        <v>186</v>
      </c>
      <c r="AB1112" t="s">
        <v>503</v>
      </c>
      <c r="AD1112" t="s">
        <v>1053</v>
      </c>
      <c r="AF1112" t="s">
        <v>1417</v>
      </c>
      <c r="AG1112" t="s">
        <v>1058</v>
      </c>
      <c r="AH1112" t="s">
        <v>65</v>
      </c>
      <c r="AI1112" t="s">
        <v>333</v>
      </c>
      <c r="AJ1112">
        <v>1964</v>
      </c>
      <c r="AK1112" t="s">
        <v>1428</v>
      </c>
      <c r="AM1112" t="s">
        <v>1429</v>
      </c>
      <c r="AN1112" t="s">
        <v>121</v>
      </c>
      <c r="AO1112" t="s">
        <v>106</v>
      </c>
      <c r="AP1112" t="s">
        <v>95</v>
      </c>
      <c r="AQ1112" t="s">
        <v>1430</v>
      </c>
      <c r="AR1112" t="s">
        <v>70</v>
      </c>
      <c r="AS1112">
        <v>604</v>
      </c>
      <c r="AT1112" t="s">
        <v>71</v>
      </c>
      <c r="AU1112">
        <v>118.15</v>
      </c>
      <c r="AV1112">
        <v>13.39</v>
      </c>
      <c r="AW1112" t="s">
        <v>72</v>
      </c>
      <c r="AX1112">
        <v>604</v>
      </c>
      <c r="AY1112" t="s">
        <v>71</v>
      </c>
      <c r="AZ1112">
        <v>91.61</v>
      </c>
      <c r="BA1112">
        <v>36.61</v>
      </c>
      <c r="BB1112" t="s">
        <v>73</v>
      </c>
    </row>
    <row r="1113" spans="1:54" x14ac:dyDescent="0.4">
      <c r="A1113">
        <v>902070</v>
      </c>
      <c r="D1113" t="s">
        <v>54</v>
      </c>
      <c r="E1113" t="s">
        <v>104</v>
      </c>
      <c r="F1113" t="s">
        <v>1427</v>
      </c>
      <c r="G1113">
        <v>1</v>
      </c>
      <c r="H1113" t="s">
        <v>56</v>
      </c>
      <c r="I1113" t="s">
        <v>57</v>
      </c>
      <c r="K1113" t="s">
        <v>652</v>
      </c>
      <c r="L1113" t="s">
        <v>1416</v>
      </c>
      <c r="M1113" t="s">
        <v>59</v>
      </c>
      <c r="P1113" t="s">
        <v>131</v>
      </c>
      <c r="R1113" t="s">
        <v>112</v>
      </c>
      <c r="S1113" t="s">
        <v>61</v>
      </c>
      <c r="T1113">
        <v>246.7</v>
      </c>
      <c r="U1113">
        <v>242</v>
      </c>
      <c r="V1113">
        <f>(T1113+U1113)/2</f>
        <v>244.35</v>
      </c>
      <c r="W1113">
        <f>T1113-U1113</f>
        <v>4.6999999999999886</v>
      </c>
      <c r="X1113">
        <v>112.849998</v>
      </c>
      <c r="Y1113">
        <v>36.966667000000001</v>
      </c>
      <c r="Z1113" t="s">
        <v>99</v>
      </c>
      <c r="AA1113" t="s">
        <v>186</v>
      </c>
      <c r="AB1113" t="s">
        <v>503</v>
      </c>
      <c r="AD1113" t="s">
        <v>1053</v>
      </c>
      <c r="AF1113" t="s">
        <v>1417</v>
      </c>
      <c r="AG1113" t="s">
        <v>1058</v>
      </c>
      <c r="AH1113" t="s">
        <v>65</v>
      </c>
      <c r="AI1113" t="s">
        <v>333</v>
      </c>
      <c r="AJ1113">
        <v>1964</v>
      </c>
      <c r="AK1113" t="s">
        <v>1428</v>
      </c>
      <c r="AM1113" t="s">
        <v>1429</v>
      </c>
      <c r="AN1113" t="s">
        <v>121</v>
      </c>
      <c r="AO1113" t="s">
        <v>106</v>
      </c>
      <c r="AP1113" t="s">
        <v>95</v>
      </c>
      <c r="AQ1113" t="s">
        <v>1430</v>
      </c>
      <c r="AR1113" t="s">
        <v>70</v>
      </c>
      <c r="AS1113">
        <v>604</v>
      </c>
      <c r="AT1113" t="s">
        <v>71</v>
      </c>
      <c r="AU1113">
        <v>118.15</v>
      </c>
      <c r="AV1113">
        <v>13.39</v>
      </c>
      <c r="AW1113" t="s">
        <v>72</v>
      </c>
      <c r="AX1113">
        <v>604</v>
      </c>
      <c r="AY1113" t="s">
        <v>71</v>
      </c>
      <c r="AZ1113">
        <v>91.61</v>
      </c>
      <c r="BA1113">
        <v>36.61</v>
      </c>
      <c r="BB1113" t="s">
        <v>73</v>
      </c>
    </row>
    <row r="1114" spans="1:54" x14ac:dyDescent="0.4">
      <c r="A1114">
        <v>902374</v>
      </c>
      <c r="D1114" t="s">
        <v>54</v>
      </c>
      <c r="E1114" t="s">
        <v>55</v>
      </c>
      <c r="G1114">
        <v>1</v>
      </c>
      <c r="H1114" t="s">
        <v>56</v>
      </c>
      <c r="I1114" t="s">
        <v>57</v>
      </c>
      <c r="K1114" t="s">
        <v>652</v>
      </c>
      <c r="L1114" t="s">
        <v>1436</v>
      </c>
      <c r="M1114" t="s">
        <v>59</v>
      </c>
      <c r="P1114" t="s">
        <v>131</v>
      </c>
      <c r="R1114" t="s">
        <v>112</v>
      </c>
      <c r="S1114" t="s">
        <v>61</v>
      </c>
      <c r="T1114">
        <v>246.7</v>
      </c>
      <c r="U1114">
        <v>242</v>
      </c>
      <c r="V1114">
        <f>(T1114+U1114)/2</f>
        <v>244.35</v>
      </c>
      <c r="W1114">
        <f>T1114-U1114</f>
        <v>4.6999999999999886</v>
      </c>
      <c r="X1114">
        <v>111</v>
      </c>
      <c r="Y1114">
        <v>39.099997999999999</v>
      </c>
      <c r="Z1114" t="s">
        <v>99</v>
      </c>
      <c r="AA1114" t="s">
        <v>186</v>
      </c>
      <c r="AB1114" t="s">
        <v>194</v>
      </c>
      <c r="AC1114" t="s">
        <v>195</v>
      </c>
      <c r="AD1114" t="s">
        <v>1053</v>
      </c>
      <c r="AF1114" t="s">
        <v>305</v>
      </c>
      <c r="AH1114" t="s">
        <v>65</v>
      </c>
      <c r="AI1114" t="s">
        <v>1437</v>
      </c>
      <c r="AJ1114">
        <v>1991</v>
      </c>
      <c r="AK1114" t="s">
        <v>1438</v>
      </c>
      <c r="AN1114" t="s">
        <v>94</v>
      </c>
      <c r="AO1114">
        <v>1</v>
      </c>
      <c r="AP1114" t="s">
        <v>95</v>
      </c>
      <c r="AQ1114" t="s">
        <v>1439</v>
      </c>
      <c r="AR1114" t="s">
        <v>70</v>
      </c>
      <c r="AS1114">
        <v>604</v>
      </c>
      <c r="AT1114" t="s">
        <v>71</v>
      </c>
      <c r="AU1114">
        <v>118.67</v>
      </c>
      <c r="AV1114">
        <v>15.92</v>
      </c>
      <c r="AW1114" t="s">
        <v>72</v>
      </c>
      <c r="AX1114">
        <v>604</v>
      </c>
      <c r="AY1114" t="s">
        <v>71</v>
      </c>
      <c r="AZ1114">
        <v>90.35</v>
      </c>
      <c r="BA1114">
        <v>38.99</v>
      </c>
      <c r="BB1114" t="s">
        <v>73</v>
      </c>
    </row>
    <row r="1115" spans="1:54" x14ac:dyDescent="0.4">
      <c r="A1115">
        <v>902375</v>
      </c>
      <c r="D1115" t="s">
        <v>54</v>
      </c>
      <c r="E1115" t="s">
        <v>105</v>
      </c>
      <c r="G1115">
        <v>1</v>
      </c>
      <c r="H1115" t="s">
        <v>56</v>
      </c>
      <c r="I1115" t="s">
        <v>57</v>
      </c>
      <c r="K1115" t="s">
        <v>102</v>
      </c>
      <c r="L1115" t="s">
        <v>1440</v>
      </c>
      <c r="M1115" t="s">
        <v>59</v>
      </c>
      <c r="O1115" t="s">
        <v>76</v>
      </c>
      <c r="P1115" t="s">
        <v>131</v>
      </c>
      <c r="R1115" t="s">
        <v>112</v>
      </c>
      <c r="S1115" t="s">
        <v>61</v>
      </c>
      <c r="T1115">
        <v>246.7</v>
      </c>
      <c r="U1115">
        <v>242</v>
      </c>
      <c r="V1115">
        <f>(T1115+U1115)/2</f>
        <v>244.35</v>
      </c>
      <c r="W1115">
        <f>T1115-U1115</f>
        <v>4.6999999999999886</v>
      </c>
      <c r="X1115">
        <v>89.166663999999997</v>
      </c>
      <c r="Y1115">
        <v>42.916668000000001</v>
      </c>
      <c r="Z1115" t="s">
        <v>99</v>
      </c>
      <c r="AA1115" t="s">
        <v>186</v>
      </c>
      <c r="AB1115" t="s">
        <v>883</v>
      </c>
      <c r="AC1115" t="s">
        <v>884</v>
      </c>
      <c r="AD1115" t="s">
        <v>885</v>
      </c>
      <c r="AH1115" t="s">
        <v>65</v>
      </c>
      <c r="AI1115" t="s">
        <v>333</v>
      </c>
      <c r="AJ1115">
        <v>1973</v>
      </c>
      <c r="AK1115" t="s">
        <v>886</v>
      </c>
      <c r="AM1115" t="s">
        <v>887</v>
      </c>
      <c r="AN1115" t="s">
        <v>177</v>
      </c>
      <c r="AO1115" t="s">
        <v>106</v>
      </c>
      <c r="AP1115" t="s">
        <v>182</v>
      </c>
      <c r="AQ1115" t="s">
        <v>888</v>
      </c>
      <c r="AR1115" t="s">
        <v>70</v>
      </c>
      <c r="AS1115" t="s">
        <v>270</v>
      </c>
      <c r="AT1115" t="s">
        <v>71</v>
      </c>
      <c r="AW1115" t="s">
        <v>72</v>
      </c>
      <c r="AX1115">
        <v>407</v>
      </c>
      <c r="AY1115" t="s">
        <v>71</v>
      </c>
      <c r="AZ1115">
        <v>70.97</v>
      </c>
      <c r="BA1115">
        <v>47.52</v>
      </c>
      <c r="BB1115" t="s">
        <v>73</v>
      </c>
    </row>
    <row r="1116" spans="1:54" x14ac:dyDescent="0.4">
      <c r="A1116">
        <v>902378</v>
      </c>
      <c r="D1116" t="s">
        <v>54</v>
      </c>
      <c r="G1116">
        <v>1</v>
      </c>
      <c r="H1116" t="s">
        <v>228</v>
      </c>
      <c r="I1116" t="s">
        <v>57</v>
      </c>
      <c r="K1116" t="s">
        <v>652</v>
      </c>
      <c r="L1116" t="s">
        <v>1416</v>
      </c>
      <c r="M1116" t="s">
        <v>59</v>
      </c>
      <c r="P1116" t="s">
        <v>131</v>
      </c>
      <c r="R1116" t="s">
        <v>112</v>
      </c>
      <c r="S1116" t="s">
        <v>61</v>
      </c>
      <c r="T1116">
        <v>246.7</v>
      </c>
      <c r="U1116">
        <v>242</v>
      </c>
      <c r="V1116">
        <f>(T1116+U1116)/2</f>
        <v>244.35</v>
      </c>
      <c r="W1116">
        <f>T1116-U1116</f>
        <v>4.6999999999999886</v>
      </c>
      <c r="X1116">
        <v>112.916664</v>
      </c>
      <c r="Y1116">
        <v>36.916668000000001</v>
      </c>
      <c r="Z1116" t="s">
        <v>99</v>
      </c>
      <c r="AA1116" t="s">
        <v>186</v>
      </c>
      <c r="AB1116" t="s">
        <v>503</v>
      </c>
      <c r="AD1116" t="s">
        <v>1053</v>
      </c>
      <c r="AF1116" t="s">
        <v>1417</v>
      </c>
      <c r="AG1116" t="s">
        <v>1058</v>
      </c>
      <c r="AH1116" t="s">
        <v>65</v>
      </c>
      <c r="AI1116" t="s">
        <v>333</v>
      </c>
      <c r="AJ1116">
        <v>1964</v>
      </c>
      <c r="AK1116" t="s">
        <v>1441</v>
      </c>
      <c r="AN1116" t="s">
        <v>121</v>
      </c>
      <c r="AO1116" t="s">
        <v>106</v>
      </c>
      <c r="AP1116" t="s">
        <v>95</v>
      </c>
      <c r="AQ1116" t="s">
        <v>1442</v>
      </c>
      <c r="AR1116" t="s">
        <v>70</v>
      </c>
      <c r="AS1116">
        <v>604</v>
      </c>
      <c r="AT1116" t="s">
        <v>71</v>
      </c>
      <c r="AU1116">
        <v>118.16</v>
      </c>
      <c r="AV1116">
        <v>13.31</v>
      </c>
      <c r="AW1116" t="s">
        <v>72</v>
      </c>
      <c r="AX1116">
        <v>604</v>
      </c>
      <c r="AY1116" t="s">
        <v>71</v>
      </c>
      <c r="AZ1116">
        <v>91.67</v>
      </c>
      <c r="BA1116">
        <v>36.549999999999997</v>
      </c>
      <c r="BB1116" t="s">
        <v>73</v>
      </c>
    </row>
    <row r="1117" spans="1:54" x14ac:dyDescent="0.4">
      <c r="A1117">
        <v>902379</v>
      </c>
      <c r="D1117" t="s">
        <v>54</v>
      </c>
      <c r="G1117">
        <v>1</v>
      </c>
      <c r="H1117" t="s">
        <v>56</v>
      </c>
      <c r="I1117" t="s">
        <v>57</v>
      </c>
      <c r="K1117" t="s">
        <v>652</v>
      </c>
      <c r="L1117" t="s">
        <v>1416</v>
      </c>
      <c r="M1117" t="s">
        <v>59</v>
      </c>
      <c r="P1117" t="s">
        <v>131</v>
      </c>
      <c r="R1117" t="s">
        <v>112</v>
      </c>
      <c r="S1117" t="s">
        <v>61</v>
      </c>
      <c r="T1117">
        <v>246.7</v>
      </c>
      <c r="U1117">
        <v>242</v>
      </c>
      <c r="V1117">
        <f>(T1117+U1117)/2</f>
        <v>244.35</v>
      </c>
      <c r="W1117">
        <f>T1117-U1117</f>
        <v>4.6999999999999886</v>
      </c>
      <c r="X1117">
        <v>113.01667</v>
      </c>
      <c r="Y1117">
        <v>37.066665999999998</v>
      </c>
      <c r="Z1117" t="s">
        <v>99</v>
      </c>
      <c r="AA1117" t="s">
        <v>186</v>
      </c>
      <c r="AB1117" t="s">
        <v>503</v>
      </c>
      <c r="AD1117" t="s">
        <v>1053</v>
      </c>
      <c r="AF1117" t="s">
        <v>1417</v>
      </c>
      <c r="AG1117" t="s">
        <v>1058</v>
      </c>
      <c r="AH1117" t="s">
        <v>65</v>
      </c>
      <c r="AI1117" t="s">
        <v>333</v>
      </c>
      <c r="AJ1117">
        <v>1964</v>
      </c>
      <c r="AK1117" t="s">
        <v>1443</v>
      </c>
      <c r="AN1117" t="s">
        <v>121</v>
      </c>
      <c r="AO1117" t="s">
        <v>106</v>
      </c>
      <c r="AP1117" t="s">
        <v>95</v>
      </c>
      <c r="AQ1117" t="s">
        <v>1444</v>
      </c>
      <c r="AR1117" t="s">
        <v>70</v>
      </c>
      <c r="AS1117">
        <v>604</v>
      </c>
      <c r="AT1117" t="s">
        <v>71</v>
      </c>
      <c r="AU1117">
        <v>118.32</v>
      </c>
      <c r="AV1117">
        <v>13.36</v>
      </c>
      <c r="AW1117" t="s">
        <v>72</v>
      </c>
      <c r="AX1117">
        <v>604</v>
      </c>
      <c r="AY1117" t="s">
        <v>71</v>
      </c>
      <c r="AZ1117">
        <v>91.8</v>
      </c>
      <c r="BA1117">
        <v>36.68</v>
      </c>
      <c r="BB1117" t="s">
        <v>73</v>
      </c>
    </row>
    <row r="1118" spans="1:54" x14ac:dyDescent="0.4">
      <c r="A1118">
        <v>902380</v>
      </c>
      <c r="D1118" t="s">
        <v>54</v>
      </c>
      <c r="G1118">
        <v>1</v>
      </c>
      <c r="H1118" t="s">
        <v>228</v>
      </c>
      <c r="I1118" t="s">
        <v>57</v>
      </c>
      <c r="K1118" t="s">
        <v>652</v>
      </c>
      <c r="L1118" t="s">
        <v>1416</v>
      </c>
      <c r="M1118" t="s">
        <v>59</v>
      </c>
      <c r="P1118" t="s">
        <v>131</v>
      </c>
      <c r="R1118" t="s">
        <v>112</v>
      </c>
      <c r="S1118" t="s">
        <v>61</v>
      </c>
      <c r="T1118">
        <v>246.7</v>
      </c>
      <c r="U1118">
        <v>242</v>
      </c>
      <c r="V1118">
        <f>(T1118+U1118)/2</f>
        <v>244.35</v>
      </c>
      <c r="W1118">
        <f>T1118-U1118</f>
        <v>4.6999999999999886</v>
      </c>
      <c r="X1118">
        <v>112.933334</v>
      </c>
      <c r="Y1118">
        <v>36.966667000000001</v>
      </c>
      <c r="Z1118" t="s">
        <v>99</v>
      </c>
      <c r="AA1118" t="s">
        <v>186</v>
      </c>
      <c r="AB1118" t="s">
        <v>503</v>
      </c>
      <c r="AD1118" t="s">
        <v>1053</v>
      </c>
      <c r="AF1118" t="s">
        <v>1417</v>
      </c>
      <c r="AG1118" t="s">
        <v>1058</v>
      </c>
      <c r="AH1118" t="s">
        <v>65</v>
      </c>
      <c r="AI1118" t="s">
        <v>333</v>
      </c>
      <c r="AJ1118">
        <v>1964</v>
      </c>
      <c r="AK1118" t="s">
        <v>1445</v>
      </c>
      <c r="AN1118" t="s">
        <v>121</v>
      </c>
      <c r="AO1118" t="s">
        <v>106</v>
      </c>
      <c r="AP1118" t="s">
        <v>95</v>
      </c>
      <c r="AQ1118" t="s">
        <v>1446</v>
      </c>
      <c r="AR1118" t="s">
        <v>70</v>
      </c>
      <c r="AS1118">
        <v>604</v>
      </c>
      <c r="AT1118" t="s">
        <v>71</v>
      </c>
      <c r="AU1118">
        <v>118.2</v>
      </c>
      <c r="AV1118">
        <v>13.34</v>
      </c>
      <c r="AW1118" t="s">
        <v>72</v>
      </c>
      <c r="AX1118">
        <v>604</v>
      </c>
      <c r="AY1118" t="s">
        <v>71</v>
      </c>
      <c r="AZ1118">
        <v>91.69</v>
      </c>
      <c r="BA1118">
        <v>36.590000000000003</v>
      </c>
      <c r="BB1118" t="s">
        <v>73</v>
      </c>
    </row>
    <row r="1119" spans="1:54" x14ac:dyDescent="0.4">
      <c r="A1119">
        <v>902381</v>
      </c>
      <c r="D1119" t="s">
        <v>54</v>
      </c>
      <c r="G1119">
        <v>1</v>
      </c>
      <c r="H1119" t="s">
        <v>56</v>
      </c>
      <c r="I1119" t="s">
        <v>57</v>
      </c>
      <c r="K1119" t="s">
        <v>652</v>
      </c>
      <c r="L1119" t="s">
        <v>1416</v>
      </c>
      <c r="M1119" t="s">
        <v>59</v>
      </c>
      <c r="P1119" t="s">
        <v>131</v>
      </c>
      <c r="R1119" t="s">
        <v>112</v>
      </c>
      <c r="S1119" t="s">
        <v>61</v>
      </c>
      <c r="T1119">
        <v>246.7</v>
      </c>
      <c r="U1119">
        <v>242</v>
      </c>
      <c r="V1119">
        <f>(T1119+U1119)/2</f>
        <v>244.35</v>
      </c>
      <c r="W1119">
        <f>T1119-U1119</f>
        <v>4.6999999999999886</v>
      </c>
      <c r="X1119">
        <v>112.849998</v>
      </c>
      <c r="Y1119">
        <v>36.966667000000001</v>
      </c>
      <c r="Z1119" t="s">
        <v>99</v>
      </c>
      <c r="AA1119" t="s">
        <v>186</v>
      </c>
      <c r="AB1119" t="s">
        <v>503</v>
      </c>
      <c r="AD1119" t="s">
        <v>1053</v>
      </c>
      <c r="AF1119" t="s">
        <v>1417</v>
      </c>
      <c r="AG1119" t="s">
        <v>1058</v>
      </c>
      <c r="AH1119" t="s">
        <v>65</v>
      </c>
      <c r="AI1119" t="s">
        <v>333</v>
      </c>
      <c r="AJ1119">
        <v>1964</v>
      </c>
      <c r="AK1119" t="s">
        <v>1447</v>
      </c>
      <c r="AN1119" t="s">
        <v>121</v>
      </c>
      <c r="AO1119" t="s">
        <v>106</v>
      </c>
      <c r="AP1119" t="s">
        <v>95</v>
      </c>
      <c r="AQ1119" t="s">
        <v>1448</v>
      </c>
      <c r="AR1119" t="s">
        <v>70</v>
      </c>
      <c r="AS1119">
        <v>604</v>
      </c>
      <c r="AT1119" t="s">
        <v>71</v>
      </c>
      <c r="AU1119">
        <v>118.15</v>
      </c>
      <c r="AV1119">
        <v>13.39</v>
      </c>
      <c r="AW1119" t="s">
        <v>72</v>
      </c>
      <c r="AX1119">
        <v>604</v>
      </c>
      <c r="AY1119" t="s">
        <v>71</v>
      </c>
      <c r="AZ1119">
        <v>91.61</v>
      </c>
      <c r="BA1119">
        <v>36.61</v>
      </c>
      <c r="BB1119" t="s">
        <v>73</v>
      </c>
    </row>
    <row r="1120" spans="1:54" x14ac:dyDescent="0.4">
      <c r="A1120">
        <v>902382</v>
      </c>
      <c r="D1120" t="s">
        <v>54</v>
      </c>
      <c r="G1120">
        <v>1</v>
      </c>
      <c r="H1120" t="s">
        <v>56</v>
      </c>
      <c r="I1120" t="s">
        <v>57</v>
      </c>
      <c r="K1120" t="s">
        <v>652</v>
      </c>
      <c r="L1120" t="s">
        <v>1416</v>
      </c>
      <c r="M1120" t="s">
        <v>59</v>
      </c>
      <c r="P1120" t="s">
        <v>131</v>
      </c>
      <c r="R1120" t="s">
        <v>112</v>
      </c>
      <c r="S1120" t="s">
        <v>61</v>
      </c>
      <c r="T1120">
        <v>246.7</v>
      </c>
      <c r="U1120">
        <v>242</v>
      </c>
      <c r="V1120">
        <f>(T1120+U1120)/2</f>
        <v>244.35</v>
      </c>
      <c r="W1120">
        <f>T1120-U1120</f>
        <v>4.6999999999999886</v>
      </c>
      <c r="X1120">
        <v>112.849998</v>
      </c>
      <c r="Y1120">
        <v>36.966667000000001</v>
      </c>
      <c r="Z1120" t="s">
        <v>99</v>
      </c>
      <c r="AA1120" t="s">
        <v>186</v>
      </c>
      <c r="AB1120" t="s">
        <v>503</v>
      </c>
      <c r="AD1120" t="s">
        <v>1053</v>
      </c>
      <c r="AF1120" t="s">
        <v>1417</v>
      </c>
      <c r="AG1120" t="s">
        <v>1058</v>
      </c>
      <c r="AH1120" t="s">
        <v>65</v>
      </c>
      <c r="AI1120" t="s">
        <v>333</v>
      </c>
      <c r="AJ1120">
        <v>1964</v>
      </c>
      <c r="AK1120" t="s">
        <v>1449</v>
      </c>
      <c r="AN1120" t="s">
        <v>121</v>
      </c>
      <c r="AO1120" t="s">
        <v>106</v>
      </c>
      <c r="AP1120" t="s">
        <v>95</v>
      </c>
      <c r="AQ1120" t="s">
        <v>1450</v>
      </c>
      <c r="AR1120" t="s">
        <v>70</v>
      </c>
      <c r="AS1120">
        <v>604</v>
      </c>
      <c r="AT1120" t="s">
        <v>71</v>
      </c>
      <c r="AU1120">
        <v>118.15</v>
      </c>
      <c r="AV1120">
        <v>13.39</v>
      </c>
      <c r="AW1120" t="s">
        <v>72</v>
      </c>
      <c r="AX1120">
        <v>604</v>
      </c>
      <c r="AY1120" t="s">
        <v>71</v>
      </c>
      <c r="AZ1120">
        <v>91.61</v>
      </c>
      <c r="BA1120">
        <v>36.61</v>
      </c>
      <c r="BB1120" t="s">
        <v>73</v>
      </c>
    </row>
    <row r="1121" spans="1:54" x14ac:dyDescent="0.4">
      <c r="A1121">
        <v>902383</v>
      </c>
      <c r="D1121" t="s">
        <v>54</v>
      </c>
      <c r="G1121">
        <v>1</v>
      </c>
      <c r="H1121" t="s">
        <v>56</v>
      </c>
      <c r="I1121" t="s">
        <v>57</v>
      </c>
      <c r="K1121" t="s">
        <v>652</v>
      </c>
      <c r="L1121" t="s">
        <v>1416</v>
      </c>
      <c r="M1121" t="s">
        <v>59</v>
      </c>
      <c r="P1121" t="s">
        <v>131</v>
      </c>
      <c r="R1121" t="s">
        <v>112</v>
      </c>
      <c r="S1121" t="s">
        <v>61</v>
      </c>
      <c r="T1121">
        <v>246.7</v>
      </c>
      <c r="U1121">
        <v>242</v>
      </c>
      <c r="V1121">
        <f>(T1121+U1121)/2</f>
        <v>244.35</v>
      </c>
      <c r="W1121">
        <f>T1121-U1121</f>
        <v>4.6999999999999886</v>
      </c>
      <c r="X1121">
        <v>112.883331</v>
      </c>
      <c r="Y1121">
        <v>36.933334000000002</v>
      </c>
      <c r="Z1121" t="s">
        <v>99</v>
      </c>
      <c r="AA1121" t="s">
        <v>186</v>
      </c>
      <c r="AB1121" t="s">
        <v>503</v>
      </c>
      <c r="AD1121" t="s">
        <v>1053</v>
      </c>
      <c r="AF1121" t="s">
        <v>1417</v>
      </c>
      <c r="AG1121" t="s">
        <v>1058</v>
      </c>
      <c r="AH1121" t="s">
        <v>65</v>
      </c>
      <c r="AI1121" t="s">
        <v>333</v>
      </c>
      <c r="AJ1121">
        <v>1964</v>
      </c>
      <c r="AK1121" t="s">
        <v>1451</v>
      </c>
      <c r="AN1121" t="s">
        <v>121</v>
      </c>
      <c r="AO1121" t="s">
        <v>106</v>
      </c>
      <c r="AP1121" t="s">
        <v>95</v>
      </c>
      <c r="AQ1121" t="s">
        <v>1452</v>
      </c>
      <c r="AR1121" t="s">
        <v>70</v>
      </c>
      <c r="AS1121">
        <v>604</v>
      </c>
      <c r="AT1121" t="s">
        <v>71</v>
      </c>
      <c r="AU1121">
        <v>118.15</v>
      </c>
      <c r="AV1121">
        <v>13.34</v>
      </c>
      <c r="AW1121" t="s">
        <v>72</v>
      </c>
      <c r="AX1121">
        <v>604</v>
      </c>
      <c r="AY1121" t="s">
        <v>71</v>
      </c>
      <c r="AZ1121">
        <v>91.64</v>
      </c>
      <c r="BA1121">
        <v>36.57</v>
      </c>
      <c r="BB1121" t="s">
        <v>73</v>
      </c>
    </row>
    <row r="1122" spans="1:54" x14ac:dyDescent="0.4">
      <c r="A1122">
        <v>902384</v>
      </c>
      <c r="D1122" t="s">
        <v>54</v>
      </c>
      <c r="G1122">
        <v>1</v>
      </c>
      <c r="H1122" t="s">
        <v>56</v>
      </c>
      <c r="I1122" t="s">
        <v>57</v>
      </c>
      <c r="K1122" t="s">
        <v>652</v>
      </c>
      <c r="L1122" t="s">
        <v>1416</v>
      </c>
      <c r="M1122" t="s">
        <v>59</v>
      </c>
      <c r="P1122" t="s">
        <v>131</v>
      </c>
      <c r="R1122" t="s">
        <v>112</v>
      </c>
      <c r="S1122" t="s">
        <v>61</v>
      </c>
      <c r="T1122">
        <v>246.7</v>
      </c>
      <c r="U1122">
        <v>242</v>
      </c>
      <c r="V1122">
        <f>(T1122+U1122)/2</f>
        <v>244.35</v>
      </c>
      <c r="W1122">
        <f>T1122-U1122</f>
        <v>4.6999999999999886</v>
      </c>
      <c r="X1122">
        <v>112.300003</v>
      </c>
      <c r="Y1122">
        <v>39</v>
      </c>
      <c r="Z1122" t="s">
        <v>99</v>
      </c>
      <c r="AA1122" t="s">
        <v>186</v>
      </c>
      <c r="AB1122" t="s">
        <v>503</v>
      </c>
      <c r="AC1122" t="s">
        <v>1453</v>
      </c>
      <c r="AD1122" t="s">
        <v>1053</v>
      </c>
      <c r="AF1122" t="s">
        <v>1417</v>
      </c>
      <c r="AG1122" t="s">
        <v>1058</v>
      </c>
      <c r="AH1122" t="s">
        <v>65</v>
      </c>
      <c r="AI1122" t="s">
        <v>333</v>
      </c>
      <c r="AJ1122">
        <v>1964</v>
      </c>
      <c r="AK1122" t="s">
        <v>1454</v>
      </c>
      <c r="AN1122" t="s">
        <v>121</v>
      </c>
      <c r="AO1122" t="s">
        <v>330</v>
      </c>
      <c r="AP1122" t="s">
        <v>95</v>
      </c>
      <c r="AQ1122" t="s">
        <v>1455</v>
      </c>
      <c r="AR1122" t="s">
        <v>70</v>
      </c>
      <c r="AS1122">
        <v>604</v>
      </c>
      <c r="AT1122" t="s">
        <v>71</v>
      </c>
      <c r="AU1122">
        <v>119.33</v>
      </c>
      <c r="AV1122">
        <v>15.13</v>
      </c>
      <c r="AW1122" t="s">
        <v>72</v>
      </c>
      <c r="AX1122">
        <v>604</v>
      </c>
      <c r="AY1122" t="s">
        <v>71</v>
      </c>
      <c r="AZ1122">
        <v>91.59</v>
      </c>
      <c r="BA1122">
        <v>38.69</v>
      </c>
      <c r="BB1122" t="s">
        <v>73</v>
      </c>
    </row>
    <row r="1123" spans="1:54" x14ac:dyDescent="0.4">
      <c r="A1123">
        <v>902385</v>
      </c>
      <c r="D1123" t="s">
        <v>54</v>
      </c>
      <c r="G1123">
        <v>1</v>
      </c>
      <c r="H1123" t="s">
        <v>56</v>
      </c>
      <c r="I1123" t="s">
        <v>57</v>
      </c>
      <c r="K1123" t="s">
        <v>652</v>
      </c>
      <c r="L1123" t="s">
        <v>1416</v>
      </c>
      <c r="M1123" t="s">
        <v>59</v>
      </c>
      <c r="P1123" t="s">
        <v>131</v>
      </c>
      <c r="R1123" t="s">
        <v>112</v>
      </c>
      <c r="S1123" t="s">
        <v>61</v>
      </c>
      <c r="T1123">
        <v>246.7</v>
      </c>
      <c r="U1123">
        <v>242</v>
      </c>
      <c r="V1123">
        <f>(T1123+U1123)/2</f>
        <v>244.35</v>
      </c>
      <c r="W1123">
        <f>T1123-U1123</f>
        <v>4.6999999999999886</v>
      </c>
      <c r="X1123">
        <v>112.300003</v>
      </c>
      <c r="Y1123">
        <v>39</v>
      </c>
      <c r="Z1123" t="s">
        <v>99</v>
      </c>
      <c r="AA1123" t="s">
        <v>186</v>
      </c>
      <c r="AB1123" t="s">
        <v>503</v>
      </c>
      <c r="AD1123" t="s">
        <v>1053</v>
      </c>
      <c r="AF1123" t="s">
        <v>1417</v>
      </c>
      <c r="AG1123" t="s">
        <v>1058</v>
      </c>
      <c r="AH1123" t="s">
        <v>65</v>
      </c>
      <c r="AI1123" t="s">
        <v>333</v>
      </c>
      <c r="AJ1123">
        <v>1964</v>
      </c>
      <c r="AK1123" t="s">
        <v>1456</v>
      </c>
      <c r="AM1123" t="s">
        <v>1457</v>
      </c>
      <c r="AN1123" t="s">
        <v>121</v>
      </c>
      <c r="AO1123" t="s">
        <v>330</v>
      </c>
      <c r="AP1123" t="s">
        <v>95</v>
      </c>
      <c r="AQ1123" t="s">
        <v>1458</v>
      </c>
      <c r="AR1123" t="s">
        <v>70</v>
      </c>
      <c r="AS1123">
        <v>604</v>
      </c>
      <c r="AT1123" t="s">
        <v>71</v>
      </c>
      <c r="AU1123">
        <v>119.33</v>
      </c>
      <c r="AV1123">
        <v>15.13</v>
      </c>
      <c r="AW1123" t="s">
        <v>72</v>
      </c>
      <c r="AX1123">
        <v>604</v>
      </c>
      <c r="AY1123" t="s">
        <v>71</v>
      </c>
      <c r="AZ1123">
        <v>91.59</v>
      </c>
      <c r="BA1123">
        <v>38.69</v>
      </c>
      <c r="BB1123" t="s">
        <v>73</v>
      </c>
    </row>
    <row r="1124" spans="1:54" x14ac:dyDescent="0.4">
      <c r="A1124">
        <v>902385</v>
      </c>
      <c r="D1124" t="s">
        <v>54</v>
      </c>
      <c r="G1124">
        <v>1</v>
      </c>
      <c r="H1124" t="s">
        <v>56</v>
      </c>
      <c r="I1124" t="s">
        <v>57</v>
      </c>
      <c r="K1124" t="s">
        <v>652</v>
      </c>
      <c r="L1124" t="s">
        <v>1416</v>
      </c>
      <c r="M1124" t="s">
        <v>59</v>
      </c>
      <c r="P1124" t="s">
        <v>131</v>
      </c>
      <c r="R1124" t="s">
        <v>112</v>
      </c>
      <c r="S1124" t="s">
        <v>61</v>
      </c>
      <c r="T1124">
        <v>246.7</v>
      </c>
      <c r="U1124">
        <v>242</v>
      </c>
      <c r="V1124">
        <f>(T1124+U1124)/2</f>
        <v>244.35</v>
      </c>
      <c r="W1124">
        <f>T1124-U1124</f>
        <v>4.6999999999999886</v>
      </c>
      <c r="X1124">
        <v>112.300003</v>
      </c>
      <c r="Y1124">
        <v>39</v>
      </c>
      <c r="Z1124" t="s">
        <v>99</v>
      </c>
      <c r="AA1124" t="s">
        <v>186</v>
      </c>
      <c r="AB1124" t="s">
        <v>503</v>
      </c>
      <c r="AD1124" t="s">
        <v>1053</v>
      </c>
      <c r="AF1124" t="s">
        <v>1417</v>
      </c>
      <c r="AG1124" t="s">
        <v>1058</v>
      </c>
      <c r="AH1124" t="s">
        <v>65</v>
      </c>
      <c r="AI1124" t="s">
        <v>333</v>
      </c>
      <c r="AJ1124">
        <v>1964</v>
      </c>
      <c r="AK1124" t="s">
        <v>1456</v>
      </c>
      <c r="AM1124" t="s">
        <v>1457</v>
      </c>
      <c r="AN1124" t="s">
        <v>121</v>
      </c>
      <c r="AO1124" t="s">
        <v>330</v>
      </c>
      <c r="AP1124" t="s">
        <v>95</v>
      </c>
      <c r="AQ1124" t="s">
        <v>1458</v>
      </c>
      <c r="AR1124" t="s">
        <v>70</v>
      </c>
      <c r="AS1124">
        <v>604</v>
      </c>
      <c r="AT1124" t="s">
        <v>71</v>
      </c>
      <c r="AU1124">
        <v>119.33</v>
      </c>
      <c r="AV1124">
        <v>15.13</v>
      </c>
      <c r="AW1124" t="s">
        <v>72</v>
      </c>
      <c r="AX1124">
        <v>604</v>
      </c>
      <c r="AY1124" t="s">
        <v>71</v>
      </c>
      <c r="AZ1124">
        <v>91.59</v>
      </c>
      <c r="BA1124">
        <v>38.69</v>
      </c>
      <c r="BB1124" t="s">
        <v>73</v>
      </c>
    </row>
    <row r="1125" spans="1:54" x14ac:dyDescent="0.4">
      <c r="A1125">
        <v>902386</v>
      </c>
      <c r="D1125" t="s">
        <v>54</v>
      </c>
      <c r="G1125">
        <v>1</v>
      </c>
      <c r="H1125" t="s">
        <v>228</v>
      </c>
      <c r="I1125" t="s">
        <v>57</v>
      </c>
      <c r="K1125" t="s">
        <v>652</v>
      </c>
      <c r="L1125" t="s">
        <v>1416</v>
      </c>
      <c r="M1125" t="s">
        <v>59</v>
      </c>
      <c r="P1125" t="s">
        <v>131</v>
      </c>
      <c r="R1125" t="s">
        <v>112</v>
      </c>
      <c r="S1125" t="s">
        <v>61</v>
      </c>
      <c r="T1125">
        <v>246.7</v>
      </c>
      <c r="U1125">
        <v>242</v>
      </c>
      <c r="V1125">
        <f>(T1125+U1125)/2</f>
        <v>244.35</v>
      </c>
      <c r="W1125">
        <f>T1125-U1125</f>
        <v>4.6999999999999886</v>
      </c>
      <c r="X1125">
        <v>112.300003</v>
      </c>
      <c r="Y1125">
        <v>39</v>
      </c>
      <c r="Z1125" t="s">
        <v>99</v>
      </c>
      <c r="AA1125" t="s">
        <v>186</v>
      </c>
      <c r="AB1125" t="s">
        <v>503</v>
      </c>
      <c r="AD1125" t="s">
        <v>1053</v>
      </c>
      <c r="AF1125" t="s">
        <v>1417</v>
      </c>
      <c r="AG1125" t="s">
        <v>1058</v>
      </c>
      <c r="AH1125" t="s">
        <v>65</v>
      </c>
      <c r="AI1125" t="s">
        <v>333</v>
      </c>
      <c r="AJ1125">
        <v>1964</v>
      </c>
      <c r="AK1125" t="s">
        <v>1459</v>
      </c>
      <c r="AN1125" t="s">
        <v>121</v>
      </c>
      <c r="AO1125" t="s">
        <v>330</v>
      </c>
      <c r="AP1125" t="s">
        <v>95</v>
      </c>
      <c r="AQ1125" t="s">
        <v>1460</v>
      </c>
      <c r="AR1125" t="s">
        <v>70</v>
      </c>
      <c r="AS1125">
        <v>604</v>
      </c>
      <c r="AT1125" t="s">
        <v>71</v>
      </c>
      <c r="AU1125">
        <v>119.33</v>
      </c>
      <c r="AV1125">
        <v>15.13</v>
      </c>
      <c r="AW1125" t="s">
        <v>72</v>
      </c>
      <c r="AX1125">
        <v>604</v>
      </c>
      <c r="AY1125" t="s">
        <v>71</v>
      </c>
      <c r="AZ1125">
        <v>91.59</v>
      </c>
      <c r="BA1125">
        <v>38.69</v>
      </c>
      <c r="BB1125" t="s">
        <v>73</v>
      </c>
    </row>
    <row r="1126" spans="1:54" x14ac:dyDescent="0.4">
      <c r="A1126">
        <v>902395</v>
      </c>
      <c r="D1126" t="s">
        <v>54</v>
      </c>
      <c r="E1126" t="s">
        <v>104</v>
      </c>
      <c r="F1126" t="s">
        <v>1427</v>
      </c>
      <c r="G1126">
        <v>1</v>
      </c>
      <c r="H1126" t="s">
        <v>56</v>
      </c>
      <c r="I1126" t="s">
        <v>57</v>
      </c>
      <c r="K1126" t="s">
        <v>652</v>
      </c>
      <c r="L1126" t="s">
        <v>1416</v>
      </c>
      <c r="M1126" t="s">
        <v>59</v>
      </c>
      <c r="P1126" t="s">
        <v>131</v>
      </c>
      <c r="R1126" t="s">
        <v>112</v>
      </c>
      <c r="S1126" t="s">
        <v>61</v>
      </c>
      <c r="T1126">
        <v>246.7</v>
      </c>
      <c r="U1126">
        <v>242</v>
      </c>
      <c r="V1126">
        <f>(T1126+U1126)/2</f>
        <v>244.35</v>
      </c>
      <c r="W1126">
        <f>T1126-U1126</f>
        <v>4.6999999999999886</v>
      </c>
      <c r="X1126">
        <v>112.849998</v>
      </c>
      <c r="Y1126">
        <v>36.966667000000001</v>
      </c>
      <c r="Z1126" t="s">
        <v>99</v>
      </c>
      <c r="AA1126" t="s">
        <v>186</v>
      </c>
      <c r="AB1126" t="s">
        <v>503</v>
      </c>
      <c r="AD1126" t="s">
        <v>1053</v>
      </c>
      <c r="AF1126" t="s">
        <v>1417</v>
      </c>
      <c r="AG1126" t="s">
        <v>1058</v>
      </c>
      <c r="AH1126" t="s">
        <v>65</v>
      </c>
      <c r="AI1126" t="s">
        <v>333</v>
      </c>
      <c r="AJ1126">
        <v>1964</v>
      </c>
      <c r="AK1126" t="s">
        <v>1428</v>
      </c>
      <c r="AM1126" t="s">
        <v>1429</v>
      </c>
      <c r="AN1126" t="s">
        <v>121</v>
      </c>
      <c r="AO1126" t="s">
        <v>106</v>
      </c>
      <c r="AP1126" t="s">
        <v>95</v>
      </c>
      <c r="AQ1126" t="s">
        <v>1430</v>
      </c>
      <c r="AR1126" t="s">
        <v>70</v>
      </c>
      <c r="AS1126">
        <v>604</v>
      </c>
      <c r="AT1126" t="s">
        <v>71</v>
      </c>
      <c r="AU1126">
        <v>118.15</v>
      </c>
      <c r="AV1126">
        <v>13.39</v>
      </c>
      <c r="AW1126" t="s">
        <v>72</v>
      </c>
      <c r="AX1126">
        <v>604</v>
      </c>
      <c r="AY1126" t="s">
        <v>71</v>
      </c>
      <c r="AZ1126">
        <v>91.61</v>
      </c>
      <c r="BA1126">
        <v>36.61</v>
      </c>
      <c r="BB1126" t="s">
        <v>73</v>
      </c>
    </row>
    <row r="1127" spans="1:54" x14ac:dyDescent="0.4">
      <c r="A1127">
        <v>902395</v>
      </c>
      <c r="D1127" t="s">
        <v>54</v>
      </c>
      <c r="E1127" t="s">
        <v>104</v>
      </c>
      <c r="F1127" t="s">
        <v>1427</v>
      </c>
      <c r="G1127">
        <v>1</v>
      </c>
      <c r="H1127" t="s">
        <v>56</v>
      </c>
      <c r="I1127" t="s">
        <v>57</v>
      </c>
      <c r="K1127" t="s">
        <v>652</v>
      </c>
      <c r="L1127" t="s">
        <v>1416</v>
      </c>
      <c r="M1127" t="s">
        <v>59</v>
      </c>
      <c r="P1127" t="s">
        <v>131</v>
      </c>
      <c r="R1127" t="s">
        <v>112</v>
      </c>
      <c r="S1127" t="s">
        <v>61</v>
      </c>
      <c r="T1127">
        <v>246.7</v>
      </c>
      <c r="U1127">
        <v>242</v>
      </c>
      <c r="V1127">
        <f>(T1127+U1127)/2</f>
        <v>244.35</v>
      </c>
      <c r="W1127">
        <f>T1127-U1127</f>
        <v>4.6999999999999886</v>
      </c>
      <c r="X1127">
        <v>112.849998</v>
      </c>
      <c r="Y1127">
        <v>36.966667000000001</v>
      </c>
      <c r="Z1127" t="s">
        <v>99</v>
      </c>
      <c r="AA1127" t="s">
        <v>186</v>
      </c>
      <c r="AB1127" t="s">
        <v>503</v>
      </c>
      <c r="AD1127" t="s">
        <v>1053</v>
      </c>
      <c r="AF1127" t="s">
        <v>1417</v>
      </c>
      <c r="AG1127" t="s">
        <v>1058</v>
      </c>
      <c r="AH1127" t="s">
        <v>65</v>
      </c>
      <c r="AI1127" t="s">
        <v>333</v>
      </c>
      <c r="AJ1127">
        <v>1964</v>
      </c>
      <c r="AK1127" t="s">
        <v>1428</v>
      </c>
      <c r="AM1127" t="s">
        <v>1429</v>
      </c>
      <c r="AN1127" t="s">
        <v>121</v>
      </c>
      <c r="AO1127" t="s">
        <v>106</v>
      </c>
      <c r="AP1127" t="s">
        <v>95</v>
      </c>
      <c r="AQ1127" t="s">
        <v>1430</v>
      </c>
      <c r="AR1127" t="s">
        <v>70</v>
      </c>
      <c r="AS1127">
        <v>604</v>
      </c>
      <c r="AT1127" t="s">
        <v>71</v>
      </c>
      <c r="AU1127">
        <v>118.15</v>
      </c>
      <c r="AV1127">
        <v>13.39</v>
      </c>
      <c r="AW1127" t="s">
        <v>72</v>
      </c>
      <c r="AX1127">
        <v>604</v>
      </c>
      <c r="AY1127" t="s">
        <v>71</v>
      </c>
      <c r="AZ1127">
        <v>91.61</v>
      </c>
      <c r="BA1127">
        <v>36.61</v>
      </c>
      <c r="BB1127" t="s">
        <v>73</v>
      </c>
    </row>
    <row r="1128" spans="1:54" x14ac:dyDescent="0.4">
      <c r="A1128">
        <v>902395</v>
      </c>
      <c r="D1128" t="s">
        <v>54</v>
      </c>
      <c r="E1128" t="s">
        <v>104</v>
      </c>
      <c r="F1128" t="s">
        <v>1427</v>
      </c>
      <c r="G1128">
        <v>1</v>
      </c>
      <c r="H1128" t="s">
        <v>56</v>
      </c>
      <c r="I1128" t="s">
        <v>57</v>
      </c>
      <c r="K1128" t="s">
        <v>652</v>
      </c>
      <c r="L1128" t="s">
        <v>1416</v>
      </c>
      <c r="M1128" t="s">
        <v>59</v>
      </c>
      <c r="P1128" t="s">
        <v>131</v>
      </c>
      <c r="R1128" t="s">
        <v>112</v>
      </c>
      <c r="S1128" t="s">
        <v>61</v>
      </c>
      <c r="T1128">
        <v>246.7</v>
      </c>
      <c r="U1128">
        <v>242</v>
      </c>
      <c r="V1128">
        <f>(T1128+U1128)/2</f>
        <v>244.35</v>
      </c>
      <c r="W1128">
        <f>T1128-U1128</f>
        <v>4.6999999999999886</v>
      </c>
      <c r="X1128">
        <v>112.849998</v>
      </c>
      <c r="Y1128">
        <v>36.966667000000001</v>
      </c>
      <c r="Z1128" t="s">
        <v>99</v>
      </c>
      <c r="AA1128" t="s">
        <v>186</v>
      </c>
      <c r="AB1128" t="s">
        <v>503</v>
      </c>
      <c r="AD1128" t="s">
        <v>1053</v>
      </c>
      <c r="AF1128" t="s">
        <v>1417</v>
      </c>
      <c r="AG1128" t="s">
        <v>1058</v>
      </c>
      <c r="AH1128" t="s">
        <v>65</v>
      </c>
      <c r="AI1128" t="s">
        <v>333</v>
      </c>
      <c r="AJ1128">
        <v>1964</v>
      </c>
      <c r="AK1128" t="s">
        <v>1428</v>
      </c>
      <c r="AM1128" t="s">
        <v>1429</v>
      </c>
      <c r="AN1128" t="s">
        <v>121</v>
      </c>
      <c r="AO1128" t="s">
        <v>106</v>
      </c>
      <c r="AP1128" t="s">
        <v>95</v>
      </c>
      <c r="AQ1128" t="s">
        <v>1430</v>
      </c>
      <c r="AR1128" t="s">
        <v>70</v>
      </c>
      <c r="AS1128">
        <v>604</v>
      </c>
      <c r="AT1128" t="s">
        <v>71</v>
      </c>
      <c r="AU1128">
        <v>118.15</v>
      </c>
      <c r="AV1128">
        <v>13.39</v>
      </c>
      <c r="AW1128" t="s">
        <v>72</v>
      </c>
      <c r="AX1128">
        <v>604</v>
      </c>
      <c r="AY1128" t="s">
        <v>71</v>
      </c>
      <c r="AZ1128">
        <v>91.61</v>
      </c>
      <c r="BA1128">
        <v>36.61</v>
      </c>
      <c r="BB1128" t="s">
        <v>73</v>
      </c>
    </row>
    <row r="1129" spans="1:54" x14ac:dyDescent="0.4">
      <c r="A1129">
        <v>902395</v>
      </c>
      <c r="D1129" t="s">
        <v>54</v>
      </c>
      <c r="E1129" t="s">
        <v>104</v>
      </c>
      <c r="F1129" t="s">
        <v>1427</v>
      </c>
      <c r="G1129">
        <v>1</v>
      </c>
      <c r="H1129" t="s">
        <v>56</v>
      </c>
      <c r="I1129" t="s">
        <v>57</v>
      </c>
      <c r="K1129" t="s">
        <v>652</v>
      </c>
      <c r="L1129" t="s">
        <v>1416</v>
      </c>
      <c r="M1129" t="s">
        <v>59</v>
      </c>
      <c r="P1129" t="s">
        <v>131</v>
      </c>
      <c r="R1129" t="s">
        <v>112</v>
      </c>
      <c r="S1129" t="s">
        <v>61</v>
      </c>
      <c r="T1129">
        <v>246.7</v>
      </c>
      <c r="U1129">
        <v>242</v>
      </c>
      <c r="V1129">
        <f>(T1129+U1129)/2</f>
        <v>244.35</v>
      </c>
      <c r="W1129">
        <f>T1129-U1129</f>
        <v>4.6999999999999886</v>
      </c>
      <c r="X1129">
        <v>112.849998</v>
      </c>
      <c r="Y1129">
        <v>36.966667000000001</v>
      </c>
      <c r="Z1129" t="s">
        <v>99</v>
      </c>
      <c r="AA1129" t="s">
        <v>186</v>
      </c>
      <c r="AB1129" t="s">
        <v>503</v>
      </c>
      <c r="AD1129" t="s">
        <v>1053</v>
      </c>
      <c r="AF1129" t="s">
        <v>1417</v>
      </c>
      <c r="AG1129" t="s">
        <v>1058</v>
      </c>
      <c r="AH1129" t="s">
        <v>65</v>
      </c>
      <c r="AI1129" t="s">
        <v>333</v>
      </c>
      <c r="AJ1129">
        <v>1964</v>
      </c>
      <c r="AK1129" t="s">
        <v>1428</v>
      </c>
      <c r="AM1129" t="s">
        <v>1429</v>
      </c>
      <c r="AN1129" t="s">
        <v>121</v>
      </c>
      <c r="AO1129" t="s">
        <v>106</v>
      </c>
      <c r="AP1129" t="s">
        <v>95</v>
      </c>
      <c r="AQ1129" t="s">
        <v>1430</v>
      </c>
      <c r="AR1129" t="s">
        <v>70</v>
      </c>
      <c r="AS1129">
        <v>604</v>
      </c>
      <c r="AT1129" t="s">
        <v>71</v>
      </c>
      <c r="AU1129">
        <v>118.15</v>
      </c>
      <c r="AV1129">
        <v>13.39</v>
      </c>
      <c r="AW1129" t="s">
        <v>72</v>
      </c>
      <c r="AX1129">
        <v>604</v>
      </c>
      <c r="AY1129" t="s">
        <v>71</v>
      </c>
      <c r="AZ1129">
        <v>91.61</v>
      </c>
      <c r="BA1129">
        <v>36.61</v>
      </c>
      <c r="BB1129" t="s">
        <v>73</v>
      </c>
    </row>
    <row r="1130" spans="1:54" x14ac:dyDescent="0.4">
      <c r="A1130">
        <v>902395</v>
      </c>
      <c r="D1130" t="s">
        <v>54</v>
      </c>
      <c r="E1130" t="s">
        <v>104</v>
      </c>
      <c r="F1130" t="s">
        <v>1427</v>
      </c>
      <c r="G1130">
        <v>1</v>
      </c>
      <c r="H1130" t="s">
        <v>56</v>
      </c>
      <c r="I1130" t="s">
        <v>57</v>
      </c>
      <c r="K1130" t="s">
        <v>652</v>
      </c>
      <c r="L1130" t="s">
        <v>1416</v>
      </c>
      <c r="M1130" t="s">
        <v>59</v>
      </c>
      <c r="P1130" t="s">
        <v>131</v>
      </c>
      <c r="R1130" t="s">
        <v>112</v>
      </c>
      <c r="S1130" t="s">
        <v>61</v>
      </c>
      <c r="T1130">
        <v>246.7</v>
      </c>
      <c r="U1130">
        <v>242</v>
      </c>
      <c r="V1130">
        <f>(T1130+U1130)/2</f>
        <v>244.35</v>
      </c>
      <c r="W1130">
        <f>T1130-U1130</f>
        <v>4.6999999999999886</v>
      </c>
      <c r="X1130">
        <v>112.849998</v>
      </c>
      <c r="Y1130">
        <v>36.966667000000001</v>
      </c>
      <c r="Z1130" t="s">
        <v>99</v>
      </c>
      <c r="AA1130" t="s">
        <v>186</v>
      </c>
      <c r="AB1130" t="s">
        <v>503</v>
      </c>
      <c r="AD1130" t="s">
        <v>1053</v>
      </c>
      <c r="AF1130" t="s">
        <v>1417</v>
      </c>
      <c r="AG1130" t="s">
        <v>1058</v>
      </c>
      <c r="AH1130" t="s">
        <v>65</v>
      </c>
      <c r="AI1130" t="s">
        <v>333</v>
      </c>
      <c r="AJ1130">
        <v>1964</v>
      </c>
      <c r="AK1130" t="s">
        <v>1428</v>
      </c>
      <c r="AM1130" t="s">
        <v>1429</v>
      </c>
      <c r="AN1130" t="s">
        <v>121</v>
      </c>
      <c r="AO1130" t="s">
        <v>106</v>
      </c>
      <c r="AP1130" t="s">
        <v>95</v>
      </c>
      <c r="AQ1130" t="s">
        <v>1430</v>
      </c>
      <c r="AR1130" t="s">
        <v>70</v>
      </c>
      <c r="AS1130">
        <v>604</v>
      </c>
      <c r="AT1130" t="s">
        <v>71</v>
      </c>
      <c r="AU1130">
        <v>118.15</v>
      </c>
      <c r="AV1130">
        <v>13.39</v>
      </c>
      <c r="AW1130" t="s">
        <v>72</v>
      </c>
      <c r="AX1130">
        <v>604</v>
      </c>
      <c r="AY1130" t="s">
        <v>71</v>
      </c>
      <c r="AZ1130">
        <v>91.61</v>
      </c>
      <c r="BA1130">
        <v>36.61</v>
      </c>
      <c r="BB1130" t="s">
        <v>73</v>
      </c>
    </row>
    <row r="1131" spans="1:54" x14ac:dyDescent="0.4">
      <c r="A1131">
        <v>902396</v>
      </c>
      <c r="D1131" t="s">
        <v>54</v>
      </c>
      <c r="G1131">
        <v>1</v>
      </c>
      <c r="H1131" t="s">
        <v>228</v>
      </c>
      <c r="I1131" t="s">
        <v>57</v>
      </c>
      <c r="K1131" t="s">
        <v>652</v>
      </c>
      <c r="L1131" t="s">
        <v>1416</v>
      </c>
      <c r="M1131" t="s">
        <v>59</v>
      </c>
      <c r="P1131" t="s">
        <v>131</v>
      </c>
      <c r="R1131" t="s">
        <v>112</v>
      </c>
      <c r="S1131" t="s">
        <v>61</v>
      </c>
      <c r="T1131">
        <v>246.7</v>
      </c>
      <c r="U1131">
        <v>242</v>
      </c>
      <c r="V1131">
        <f>(T1131+U1131)/2</f>
        <v>244.35</v>
      </c>
      <c r="W1131">
        <f>T1131-U1131</f>
        <v>4.6999999999999886</v>
      </c>
      <c r="X1131">
        <v>112.883331</v>
      </c>
      <c r="Y1131">
        <v>36.983333999999999</v>
      </c>
      <c r="Z1131" t="s">
        <v>99</v>
      </c>
      <c r="AA1131" t="s">
        <v>186</v>
      </c>
      <c r="AB1131" t="s">
        <v>503</v>
      </c>
      <c r="AD1131" t="s">
        <v>1053</v>
      </c>
      <c r="AF1131" t="s">
        <v>1417</v>
      </c>
      <c r="AG1131" t="s">
        <v>1058</v>
      </c>
      <c r="AH1131" t="s">
        <v>65</v>
      </c>
      <c r="AI1131" t="s">
        <v>333</v>
      </c>
      <c r="AJ1131">
        <v>1964</v>
      </c>
      <c r="AK1131" t="s">
        <v>1421</v>
      </c>
      <c r="AM1131" t="s">
        <v>1422</v>
      </c>
      <c r="AN1131" t="s">
        <v>121</v>
      </c>
      <c r="AO1131" t="s">
        <v>106</v>
      </c>
      <c r="AP1131" t="s">
        <v>95</v>
      </c>
      <c r="AQ1131" t="s">
        <v>1423</v>
      </c>
      <c r="AR1131" t="s">
        <v>70</v>
      </c>
      <c r="AS1131">
        <v>604</v>
      </c>
      <c r="AT1131" t="s">
        <v>71</v>
      </c>
      <c r="AU1131">
        <v>118.18</v>
      </c>
      <c r="AV1131">
        <v>13.38</v>
      </c>
      <c r="AW1131" t="s">
        <v>72</v>
      </c>
      <c r="AX1131">
        <v>604</v>
      </c>
      <c r="AY1131" t="s">
        <v>71</v>
      </c>
      <c r="AZ1131">
        <v>91.65</v>
      </c>
      <c r="BA1131">
        <v>36.619999999999997</v>
      </c>
      <c r="BB1131" t="s">
        <v>73</v>
      </c>
    </row>
    <row r="1132" spans="1:54" x14ac:dyDescent="0.4">
      <c r="A1132">
        <v>902397</v>
      </c>
      <c r="D1132" t="s">
        <v>54</v>
      </c>
      <c r="G1132">
        <v>1</v>
      </c>
      <c r="H1132" t="s">
        <v>56</v>
      </c>
      <c r="I1132" t="s">
        <v>57</v>
      </c>
      <c r="K1132" t="s">
        <v>652</v>
      </c>
      <c r="L1132" t="s">
        <v>1416</v>
      </c>
      <c r="M1132" t="s">
        <v>59</v>
      </c>
      <c r="P1132" t="s">
        <v>131</v>
      </c>
      <c r="R1132" t="s">
        <v>112</v>
      </c>
      <c r="S1132" t="s">
        <v>61</v>
      </c>
      <c r="T1132">
        <v>246.7</v>
      </c>
      <c r="U1132">
        <v>242</v>
      </c>
      <c r="V1132">
        <f>(T1132+U1132)/2</f>
        <v>244.35</v>
      </c>
      <c r="W1132">
        <f>T1132-U1132</f>
        <v>4.6999999999999886</v>
      </c>
      <c r="X1132">
        <v>113.01667</v>
      </c>
      <c r="Y1132">
        <v>37.066665999999998</v>
      </c>
      <c r="Z1132" t="s">
        <v>99</v>
      </c>
      <c r="AA1132" t="s">
        <v>186</v>
      </c>
      <c r="AB1132" t="s">
        <v>503</v>
      </c>
      <c r="AD1132" t="s">
        <v>1053</v>
      </c>
      <c r="AF1132" t="s">
        <v>1417</v>
      </c>
      <c r="AG1132" t="s">
        <v>1058</v>
      </c>
      <c r="AH1132" t="s">
        <v>65</v>
      </c>
      <c r="AI1132" t="s">
        <v>333</v>
      </c>
      <c r="AJ1132">
        <v>1964</v>
      </c>
      <c r="AK1132" t="s">
        <v>1443</v>
      </c>
      <c r="AN1132" t="s">
        <v>121</v>
      </c>
      <c r="AO1132" t="s">
        <v>106</v>
      </c>
      <c r="AP1132" t="s">
        <v>95</v>
      </c>
      <c r="AQ1132" t="s">
        <v>1444</v>
      </c>
      <c r="AR1132" t="s">
        <v>70</v>
      </c>
      <c r="AS1132">
        <v>604</v>
      </c>
      <c r="AT1132" t="s">
        <v>71</v>
      </c>
      <c r="AU1132">
        <v>118.32</v>
      </c>
      <c r="AV1132">
        <v>13.36</v>
      </c>
      <c r="AW1132" t="s">
        <v>72</v>
      </c>
      <c r="AX1132">
        <v>604</v>
      </c>
      <c r="AY1132" t="s">
        <v>71</v>
      </c>
      <c r="AZ1132">
        <v>91.8</v>
      </c>
      <c r="BA1132">
        <v>36.68</v>
      </c>
      <c r="BB1132" t="s">
        <v>73</v>
      </c>
    </row>
    <row r="1133" spans="1:54" x14ac:dyDescent="0.4">
      <c r="A1133">
        <v>902398</v>
      </c>
      <c r="D1133" t="s">
        <v>54</v>
      </c>
      <c r="G1133">
        <v>1</v>
      </c>
      <c r="H1133" t="s">
        <v>74</v>
      </c>
      <c r="I1133" t="s">
        <v>57</v>
      </c>
      <c r="K1133" t="s">
        <v>652</v>
      </c>
      <c r="L1133" t="s">
        <v>1416</v>
      </c>
      <c r="M1133" t="s">
        <v>59</v>
      </c>
      <c r="P1133" t="s">
        <v>131</v>
      </c>
      <c r="R1133" t="s">
        <v>112</v>
      </c>
      <c r="S1133" t="s">
        <v>61</v>
      </c>
      <c r="T1133">
        <v>246.7</v>
      </c>
      <c r="U1133">
        <v>242</v>
      </c>
      <c r="V1133">
        <f>(T1133+U1133)/2</f>
        <v>244.35</v>
      </c>
      <c r="W1133">
        <f>T1133-U1133</f>
        <v>4.6999999999999886</v>
      </c>
      <c r="X1133">
        <v>112.849998</v>
      </c>
      <c r="Y1133">
        <v>36.966667000000001</v>
      </c>
      <c r="Z1133" t="s">
        <v>99</v>
      </c>
      <c r="AA1133" t="s">
        <v>186</v>
      </c>
      <c r="AB1133" t="s">
        <v>503</v>
      </c>
      <c r="AD1133" t="s">
        <v>1053</v>
      </c>
      <c r="AF1133" t="s">
        <v>1417</v>
      </c>
      <c r="AG1133" t="s">
        <v>1058</v>
      </c>
      <c r="AH1133" t="s">
        <v>65</v>
      </c>
      <c r="AI1133" t="s">
        <v>333</v>
      </c>
      <c r="AJ1133">
        <v>1964</v>
      </c>
      <c r="AK1133" t="s">
        <v>1449</v>
      </c>
      <c r="AN1133" t="s">
        <v>121</v>
      </c>
      <c r="AO1133" t="s">
        <v>106</v>
      </c>
      <c r="AP1133" t="s">
        <v>95</v>
      </c>
      <c r="AQ1133" t="s">
        <v>1450</v>
      </c>
      <c r="AR1133" t="s">
        <v>70</v>
      </c>
      <c r="AS1133">
        <v>604</v>
      </c>
      <c r="AT1133" t="s">
        <v>71</v>
      </c>
      <c r="AU1133">
        <v>118.15</v>
      </c>
      <c r="AV1133">
        <v>13.39</v>
      </c>
      <c r="AW1133" t="s">
        <v>72</v>
      </c>
      <c r="AX1133">
        <v>604</v>
      </c>
      <c r="AY1133" t="s">
        <v>71</v>
      </c>
      <c r="AZ1133">
        <v>91.61</v>
      </c>
      <c r="BA1133">
        <v>36.61</v>
      </c>
      <c r="BB1133" t="s">
        <v>73</v>
      </c>
    </row>
    <row r="1134" spans="1:54" x14ac:dyDescent="0.4">
      <c r="A1134">
        <v>902417</v>
      </c>
      <c r="D1134" t="s">
        <v>54</v>
      </c>
      <c r="I1134" t="s">
        <v>57</v>
      </c>
      <c r="K1134" t="s">
        <v>652</v>
      </c>
      <c r="L1134" t="s">
        <v>1416</v>
      </c>
      <c r="M1134" t="s">
        <v>59</v>
      </c>
      <c r="P1134" t="s">
        <v>131</v>
      </c>
      <c r="R1134" t="s">
        <v>112</v>
      </c>
      <c r="S1134" t="s">
        <v>61</v>
      </c>
      <c r="T1134">
        <v>246.7</v>
      </c>
      <c r="U1134">
        <v>242</v>
      </c>
      <c r="V1134">
        <f>(T1134+U1134)/2</f>
        <v>244.35</v>
      </c>
      <c r="W1134">
        <f>T1134-U1134</f>
        <v>4.6999999999999886</v>
      </c>
      <c r="X1134">
        <v>112.300003</v>
      </c>
      <c r="Y1134">
        <v>39</v>
      </c>
      <c r="Z1134" t="s">
        <v>99</v>
      </c>
      <c r="AA1134" t="s">
        <v>186</v>
      </c>
      <c r="AB1134" t="s">
        <v>503</v>
      </c>
      <c r="AD1134" t="s">
        <v>1053</v>
      </c>
      <c r="AF1134" t="s">
        <v>1417</v>
      </c>
      <c r="AG1134" t="s">
        <v>1058</v>
      </c>
      <c r="AH1134" t="s">
        <v>65</v>
      </c>
      <c r="AI1134" t="s">
        <v>333</v>
      </c>
      <c r="AJ1134">
        <v>1964</v>
      </c>
      <c r="AK1134" t="s">
        <v>1461</v>
      </c>
      <c r="AN1134" t="s">
        <v>121</v>
      </c>
      <c r="AO1134" t="s">
        <v>330</v>
      </c>
      <c r="AP1134" t="s">
        <v>95</v>
      </c>
      <c r="AQ1134" t="s">
        <v>1460</v>
      </c>
      <c r="AR1134" t="s">
        <v>70</v>
      </c>
      <c r="AS1134">
        <v>604</v>
      </c>
      <c r="AT1134" t="s">
        <v>71</v>
      </c>
      <c r="AU1134">
        <v>119.33</v>
      </c>
      <c r="AV1134">
        <v>15.13</v>
      </c>
      <c r="AW1134" t="s">
        <v>72</v>
      </c>
      <c r="AX1134">
        <v>604</v>
      </c>
      <c r="AY1134" t="s">
        <v>71</v>
      </c>
      <c r="AZ1134">
        <v>91.59</v>
      </c>
      <c r="BA1134">
        <v>38.69</v>
      </c>
      <c r="BB1134" t="s">
        <v>73</v>
      </c>
    </row>
    <row r="1135" spans="1:54" x14ac:dyDescent="0.4">
      <c r="A1135">
        <v>902422</v>
      </c>
      <c r="D1135" t="s">
        <v>54</v>
      </c>
      <c r="G1135">
        <v>1</v>
      </c>
      <c r="H1135" t="s">
        <v>56</v>
      </c>
      <c r="I1135" t="s">
        <v>57</v>
      </c>
      <c r="K1135" t="s">
        <v>652</v>
      </c>
      <c r="L1135" t="s">
        <v>1416</v>
      </c>
      <c r="M1135" t="s">
        <v>59</v>
      </c>
      <c r="P1135" t="s">
        <v>131</v>
      </c>
      <c r="R1135" t="s">
        <v>112</v>
      </c>
      <c r="S1135" t="s">
        <v>61</v>
      </c>
      <c r="T1135">
        <v>246.7</v>
      </c>
      <c r="U1135">
        <v>242</v>
      </c>
      <c r="V1135">
        <f>(T1135+U1135)/2</f>
        <v>244.35</v>
      </c>
      <c r="W1135">
        <f>T1135-U1135</f>
        <v>4.6999999999999886</v>
      </c>
      <c r="X1135">
        <v>110.800003</v>
      </c>
      <c r="Y1135">
        <v>38.466667000000001</v>
      </c>
      <c r="Z1135" t="s">
        <v>99</v>
      </c>
      <c r="AA1135" t="s">
        <v>186</v>
      </c>
      <c r="AB1135" t="s">
        <v>194</v>
      </c>
      <c r="AD1135" t="s">
        <v>1053</v>
      </c>
      <c r="AF1135" t="s">
        <v>1417</v>
      </c>
      <c r="AG1135" t="s">
        <v>1058</v>
      </c>
      <c r="AH1135" t="s">
        <v>65</v>
      </c>
      <c r="AI1135" t="s">
        <v>1462</v>
      </c>
      <c r="AJ1135">
        <v>1980</v>
      </c>
      <c r="AK1135" t="s">
        <v>1463</v>
      </c>
      <c r="AN1135" t="s">
        <v>121</v>
      </c>
      <c r="AO1135" t="s">
        <v>106</v>
      </c>
      <c r="AP1135" t="s">
        <v>95</v>
      </c>
      <c r="AR1135" t="s">
        <v>70</v>
      </c>
      <c r="AS1135">
        <v>604</v>
      </c>
      <c r="AT1135" t="s">
        <v>71</v>
      </c>
      <c r="AU1135">
        <v>118.09</v>
      </c>
      <c r="AV1135">
        <v>15.59</v>
      </c>
      <c r="AW1135" t="s">
        <v>72</v>
      </c>
      <c r="AX1135">
        <v>604</v>
      </c>
      <c r="AY1135" t="s">
        <v>71</v>
      </c>
      <c r="AZ1135">
        <v>89.99</v>
      </c>
      <c r="BA1135">
        <v>38.4</v>
      </c>
      <c r="BB1135" t="s">
        <v>73</v>
      </c>
    </row>
    <row r="1136" spans="1:54" x14ac:dyDescent="0.4">
      <c r="A1136">
        <v>921159</v>
      </c>
      <c r="D1136" t="s">
        <v>54</v>
      </c>
      <c r="E1136" t="s">
        <v>104</v>
      </c>
      <c r="I1136" t="s">
        <v>57</v>
      </c>
      <c r="K1136" t="s">
        <v>373</v>
      </c>
      <c r="L1136" t="s">
        <v>1491</v>
      </c>
      <c r="M1136" t="s">
        <v>59</v>
      </c>
      <c r="O1136" t="s">
        <v>107</v>
      </c>
      <c r="P1136" t="s">
        <v>131</v>
      </c>
      <c r="R1136" t="s">
        <v>112</v>
      </c>
      <c r="S1136" t="s">
        <v>61</v>
      </c>
      <c r="T1136">
        <v>246.7</v>
      </c>
      <c r="U1136">
        <v>242</v>
      </c>
      <c r="V1136">
        <f>(T1136+U1136)/2</f>
        <v>244.35</v>
      </c>
      <c r="W1136">
        <f>T1136-U1136</f>
        <v>4.6999999999999886</v>
      </c>
      <c r="X1136">
        <v>35.266666000000001</v>
      </c>
      <c r="Y1136">
        <v>-10.383333</v>
      </c>
      <c r="Z1136" t="s">
        <v>454</v>
      </c>
      <c r="AA1136" t="s">
        <v>455</v>
      </c>
      <c r="AB1136" t="s">
        <v>1492</v>
      </c>
      <c r="AD1136" t="s">
        <v>458</v>
      </c>
      <c r="AF1136" t="s">
        <v>459</v>
      </c>
      <c r="AG1136" t="s">
        <v>460</v>
      </c>
      <c r="AH1136" t="s">
        <v>65</v>
      </c>
      <c r="AI1136" t="s">
        <v>306</v>
      </c>
      <c r="AJ1136">
        <v>1932</v>
      </c>
      <c r="AK1136" t="s">
        <v>1493</v>
      </c>
      <c r="AN1136" t="s">
        <v>94</v>
      </c>
      <c r="AO1136" t="s">
        <v>106</v>
      </c>
      <c r="AP1136" t="s">
        <v>69</v>
      </c>
      <c r="AQ1136" t="s">
        <v>1494</v>
      </c>
      <c r="AR1136" t="s">
        <v>70</v>
      </c>
      <c r="AS1136">
        <v>701</v>
      </c>
      <c r="AT1136" t="s">
        <v>71</v>
      </c>
      <c r="AU1136">
        <v>20.51</v>
      </c>
      <c r="AV1136">
        <v>-40.51</v>
      </c>
      <c r="AW1136" t="s">
        <v>72</v>
      </c>
      <c r="AX1136">
        <v>709</v>
      </c>
      <c r="AY1136" t="s">
        <v>71</v>
      </c>
      <c r="AZ1136">
        <v>22.53</v>
      </c>
      <c r="BA1136">
        <v>-53.51</v>
      </c>
      <c r="BB1136" t="s">
        <v>73</v>
      </c>
    </row>
    <row r="1137" spans="1:54" x14ac:dyDescent="0.4">
      <c r="A1137">
        <v>921162</v>
      </c>
      <c r="D1137" t="s">
        <v>54</v>
      </c>
      <c r="E1137" t="s">
        <v>55</v>
      </c>
      <c r="F1137" t="s">
        <v>352</v>
      </c>
      <c r="G1137">
        <v>1</v>
      </c>
      <c r="H1137" t="s">
        <v>74</v>
      </c>
      <c r="I1137" t="s">
        <v>57</v>
      </c>
      <c r="K1137" t="s">
        <v>102</v>
      </c>
      <c r="L1137" t="s">
        <v>1495</v>
      </c>
      <c r="M1137" t="s">
        <v>59</v>
      </c>
      <c r="O1137" t="s">
        <v>76</v>
      </c>
      <c r="P1137" t="s">
        <v>131</v>
      </c>
      <c r="R1137" t="s">
        <v>112</v>
      </c>
      <c r="S1137" t="s">
        <v>61</v>
      </c>
      <c r="T1137">
        <v>246.7</v>
      </c>
      <c r="U1137">
        <v>242</v>
      </c>
      <c r="V1137">
        <f>(T1137+U1137)/2</f>
        <v>244.35</v>
      </c>
      <c r="W1137">
        <f>T1137-U1137</f>
        <v>4.6999999999999886</v>
      </c>
      <c r="X1137">
        <v>34.783332999999999</v>
      </c>
      <c r="Y1137">
        <v>-10.466666999999999</v>
      </c>
      <c r="Z1137" t="s">
        <v>99</v>
      </c>
      <c r="AA1137" t="s">
        <v>455</v>
      </c>
      <c r="AB1137" t="s">
        <v>456</v>
      </c>
      <c r="AD1137" t="s">
        <v>458</v>
      </c>
      <c r="AF1137" t="s">
        <v>459</v>
      </c>
      <c r="AH1137" t="s">
        <v>65</v>
      </c>
      <c r="AI1137" t="s">
        <v>306</v>
      </c>
      <c r="AJ1137">
        <v>1932</v>
      </c>
      <c r="AK1137" t="s">
        <v>1496</v>
      </c>
      <c r="AN1137" t="s">
        <v>121</v>
      </c>
      <c r="AO1137" t="s">
        <v>106</v>
      </c>
      <c r="AP1137" t="s">
        <v>69</v>
      </c>
      <c r="AQ1137" t="s">
        <v>1497</v>
      </c>
      <c r="AR1137" t="s">
        <v>70</v>
      </c>
      <c r="AS1137">
        <v>701</v>
      </c>
      <c r="AT1137" t="s">
        <v>71</v>
      </c>
      <c r="AU1137">
        <v>19.93</v>
      </c>
      <c r="AV1137">
        <v>-40.32</v>
      </c>
      <c r="AW1137" t="s">
        <v>72</v>
      </c>
      <c r="AX1137">
        <v>709</v>
      </c>
      <c r="AY1137" t="s">
        <v>71</v>
      </c>
      <c r="AZ1137">
        <v>21.72</v>
      </c>
      <c r="BA1137">
        <v>-53.45</v>
      </c>
      <c r="BB1137" t="s">
        <v>73</v>
      </c>
    </row>
    <row r="1138" spans="1:54" x14ac:dyDescent="0.4">
      <c r="A1138">
        <v>921163</v>
      </c>
      <c r="D1138" t="s">
        <v>54</v>
      </c>
      <c r="E1138" t="s">
        <v>55</v>
      </c>
      <c r="F1138" t="s">
        <v>352</v>
      </c>
      <c r="I1138" t="s">
        <v>57</v>
      </c>
      <c r="K1138" t="s">
        <v>102</v>
      </c>
      <c r="L1138" t="s">
        <v>1498</v>
      </c>
      <c r="M1138" t="s">
        <v>59</v>
      </c>
      <c r="P1138" t="s">
        <v>131</v>
      </c>
      <c r="R1138" t="s">
        <v>112</v>
      </c>
      <c r="S1138" t="s">
        <v>61</v>
      </c>
      <c r="T1138">
        <v>246.7</v>
      </c>
      <c r="U1138">
        <v>242</v>
      </c>
      <c r="V1138">
        <f>(T1138+U1138)/2</f>
        <v>244.35</v>
      </c>
      <c r="W1138">
        <f>T1138-U1138</f>
        <v>4.6999999999999886</v>
      </c>
      <c r="X1138">
        <v>34.783332999999999</v>
      </c>
      <c r="Y1138">
        <v>-10.466666999999999</v>
      </c>
      <c r="Z1138" t="s">
        <v>99</v>
      </c>
      <c r="AA1138" t="s">
        <v>455</v>
      </c>
      <c r="AB1138" t="s">
        <v>456</v>
      </c>
      <c r="AD1138" t="s">
        <v>458</v>
      </c>
      <c r="AF1138" t="s">
        <v>459</v>
      </c>
      <c r="AH1138" t="s">
        <v>65</v>
      </c>
      <c r="AI1138" t="s">
        <v>1499</v>
      </c>
      <c r="AJ1138">
        <v>2013</v>
      </c>
      <c r="AK1138" t="s">
        <v>1496</v>
      </c>
      <c r="AN1138" t="s">
        <v>121</v>
      </c>
      <c r="AO1138" t="s">
        <v>106</v>
      </c>
      <c r="AP1138" t="s">
        <v>69</v>
      </c>
      <c r="AQ1138" t="s">
        <v>1497</v>
      </c>
      <c r="AR1138" t="s">
        <v>70</v>
      </c>
      <c r="AS1138">
        <v>701</v>
      </c>
      <c r="AT1138" t="s">
        <v>71</v>
      </c>
      <c r="AU1138">
        <v>19.93</v>
      </c>
      <c r="AV1138">
        <v>-40.32</v>
      </c>
      <c r="AW1138" t="s">
        <v>72</v>
      </c>
      <c r="AX1138">
        <v>709</v>
      </c>
      <c r="AY1138" t="s">
        <v>71</v>
      </c>
      <c r="AZ1138">
        <v>21.72</v>
      </c>
      <c r="BA1138">
        <v>-53.45</v>
      </c>
      <c r="BB1138" t="s">
        <v>73</v>
      </c>
    </row>
    <row r="1139" spans="1:54" x14ac:dyDescent="0.4">
      <c r="A1139">
        <v>923785</v>
      </c>
      <c r="D1139" t="s">
        <v>54</v>
      </c>
      <c r="G1139">
        <v>1</v>
      </c>
      <c r="H1139" t="s">
        <v>74</v>
      </c>
      <c r="I1139" t="s">
        <v>57</v>
      </c>
      <c r="K1139" t="s">
        <v>652</v>
      </c>
      <c r="L1139" t="s">
        <v>1006</v>
      </c>
      <c r="M1139" t="s">
        <v>59</v>
      </c>
      <c r="P1139" t="s">
        <v>131</v>
      </c>
      <c r="R1139" t="s">
        <v>112</v>
      </c>
      <c r="S1139" t="s">
        <v>61</v>
      </c>
      <c r="T1139">
        <v>246.7</v>
      </c>
      <c r="U1139">
        <v>242</v>
      </c>
      <c r="V1139">
        <f>(T1139+U1139)/2</f>
        <v>244.35</v>
      </c>
      <c r="W1139">
        <f>T1139-U1139</f>
        <v>4.6999999999999886</v>
      </c>
      <c r="X1139">
        <v>27.233333999999999</v>
      </c>
      <c r="Y1139">
        <v>-31.700001</v>
      </c>
      <c r="Z1139" t="s">
        <v>99</v>
      </c>
      <c r="AA1139" t="s">
        <v>86</v>
      </c>
      <c r="AB1139" t="s">
        <v>87</v>
      </c>
      <c r="AD1139" t="s">
        <v>777</v>
      </c>
      <c r="AE1139" t="s">
        <v>90</v>
      </c>
      <c r="AG1139" t="s">
        <v>1551</v>
      </c>
      <c r="AH1139" t="s">
        <v>65</v>
      </c>
      <c r="AI1139" t="s">
        <v>1552</v>
      </c>
      <c r="AJ1139">
        <v>1955</v>
      </c>
      <c r="AK1139" t="s">
        <v>1553</v>
      </c>
      <c r="AN1139" t="s">
        <v>94</v>
      </c>
      <c r="AO1139" t="s">
        <v>106</v>
      </c>
      <c r="AP1139" t="s">
        <v>182</v>
      </c>
      <c r="AQ1139" t="s">
        <v>1554</v>
      </c>
      <c r="AR1139" t="s">
        <v>70</v>
      </c>
      <c r="AS1139">
        <v>701</v>
      </c>
      <c r="AT1139" t="s">
        <v>71</v>
      </c>
      <c r="AU1139">
        <v>-8.08</v>
      </c>
      <c r="AV1139">
        <v>-51.77</v>
      </c>
      <c r="AW1139" t="s">
        <v>72</v>
      </c>
      <c r="AX1139">
        <v>701</v>
      </c>
      <c r="AY1139" t="s">
        <v>71</v>
      </c>
      <c r="AZ1139">
        <v>-14.27</v>
      </c>
      <c r="BA1139">
        <v>-67.34</v>
      </c>
      <c r="BB1139" t="s">
        <v>73</v>
      </c>
    </row>
    <row r="1140" spans="1:54" x14ac:dyDescent="0.4">
      <c r="A1140">
        <v>923790</v>
      </c>
      <c r="D1140" t="s">
        <v>54</v>
      </c>
      <c r="E1140" t="s">
        <v>104</v>
      </c>
      <c r="G1140">
        <v>1</v>
      </c>
      <c r="H1140" t="s">
        <v>56</v>
      </c>
      <c r="I1140" t="s">
        <v>57</v>
      </c>
      <c r="K1140" t="s">
        <v>102</v>
      </c>
      <c r="L1140" t="s">
        <v>1495</v>
      </c>
      <c r="M1140" t="s">
        <v>59</v>
      </c>
      <c r="O1140" t="s">
        <v>76</v>
      </c>
      <c r="P1140" t="s">
        <v>131</v>
      </c>
      <c r="R1140" t="s">
        <v>112</v>
      </c>
      <c r="S1140" t="s">
        <v>61</v>
      </c>
      <c r="T1140">
        <v>246.7</v>
      </c>
      <c r="U1140">
        <v>242</v>
      </c>
      <c r="V1140">
        <f>(T1140+U1140)/2</f>
        <v>244.35</v>
      </c>
      <c r="W1140">
        <f>T1140-U1140</f>
        <v>4.6999999999999886</v>
      </c>
      <c r="X1140">
        <v>35.25</v>
      </c>
      <c r="Y1140">
        <v>-10.333333</v>
      </c>
      <c r="Z1140" t="s">
        <v>454</v>
      </c>
      <c r="AA1140" t="s">
        <v>455</v>
      </c>
      <c r="AB1140" t="s">
        <v>456</v>
      </c>
      <c r="AD1140" t="s">
        <v>458</v>
      </c>
      <c r="AF1140" t="s">
        <v>459</v>
      </c>
      <c r="AG1140" t="s">
        <v>460</v>
      </c>
      <c r="AH1140" t="s">
        <v>65</v>
      </c>
      <c r="AI1140" t="s">
        <v>335</v>
      </c>
      <c r="AJ1140">
        <v>1938</v>
      </c>
      <c r="AK1140" t="s">
        <v>1555</v>
      </c>
      <c r="AN1140" t="s">
        <v>121</v>
      </c>
      <c r="AO1140" t="s">
        <v>106</v>
      </c>
      <c r="AP1140" t="s">
        <v>182</v>
      </c>
      <c r="AQ1140" t="s">
        <v>1556</v>
      </c>
      <c r="AR1140" t="s">
        <v>70</v>
      </c>
      <c r="AS1140">
        <v>701</v>
      </c>
      <c r="AT1140" t="s">
        <v>71</v>
      </c>
      <c r="AU1140">
        <v>20.53</v>
      </c>
      <c r="AV1140">
        <v>-40.46</v>
      </c>
      <c r="AW1140" t="s">
        <v>72</v>
      </c>
      <c r="AX1140">
        <v>709</v>
      </c>
      <c r="AY1140" t="s">
        <v>71</v>
      </c>
      <c r="AZ1140">
        <v>22.52</v>
      </c>
      <c r="BA1140">
        <v>-53.46</v>
      </c>
      <c r="BB1140" t="s">
        <v>73</v>
      </c>
    </row>
    <row r="1141" spans="1:54" x14ac:dyDescent="0.4">
      <c r="A1141">
        <v>923790</v>
      </c>
      <c r="D1141" t="s">
        <v>54</v>
      </c>
      <c r="E1141" t="s">
        <v>104</v>
      </c>
      <c r="G1141">
        <v>1</v>
      </c>
      <c r="H1141" t="s">
        <v>56</v>
      </c>
      <c r="I1141" t="s">
        <v>57</v>
      </c>
      <c r="K1141" t="s">
        <v>102</v>
      </c>
      <c r="L1141" t="s">
        <v>1495</v>
      </c>
      <c r="M1141" t="s">
        <v>59</v>
      </c>
      <c r="O1141" t="s">
        <v>76</v>
      </c>
      <c r="P1141" t="s">
        <v>131</v>
      </c>
      <c r="R1141" t="s">
        <v>112</v>
      </c>
      <c r="S1141" t="s">
        <v>61</v>
      </c>
      <c r="T1141">
        <v>246.7</v>
      </c>
      <c r="U1141">
        <v>242</v>
      </c>
      <c r="V1141">
        <f>(T1141+U1141)/2</f>
        <v>244.35</v>
      </c>
      <c r="W1141">
        <f>T1141-U1141</f>
        <v>4.6999999999999886</v>
      </c>
      <c r="X1141">
        <v>35.25</v>
      </c>
      <c r="Y1141">
        <v>-10.333333</v>
      </c>
      <c r="Z1141" t="s">
        <v>454</v>
      </c>
      <c r="AA1141" t="s">
        <v>455</v>
      </c>
      <c r="AB1141" t="s">
        <v>456</v>
      </c>
      <c r="AD1141" t="s">
        <v>458</v>
      </c>
      <c r="AF1141" t="s">
        <v>459</v>
      </c>
      <c r="AG1141" t="s">
        <v>460</v>
      </c>
      <c r="AH1141" t="s">
        <v>65</v>
      </c>
      <c r="AI1141" t="s">
        <v>335</v>
      </c>
      <c r="AJ1141">
        <v>1938</v>
      </c>
      <c r="AK1141" t="s">
        <v>1555</v>
      </c>
      <c r="AN1141" t="s">
        <v>121</v>
      </c>
      <c r="AO1141" t="s">
        <v>106</v>
      </c>
      <c r="AP1141" t="s">
        <v>182</v>
      </c>
      <c r="AQ1141" t="s">
        <v>1556</v>
      </c>
      <c r="AR1141" t="s">
        <v>70</v>
      </c>
      <c r="AS1141">
        <v>701</v>
      </c>
      <c r="AT1141" t="s">
        <v>71</v>
      </c>
      <c r="AU1141">
        <v>20.53</v>
      </c>
      <c r="AV1141">
        <v>-40.46</v>
      </c>
      <c r="AW1141" t="s">
        <v>72</v>
      </c>
      <c r="AX1141">
        <v>709</v>
      </c>
      <c r="AY1141" t="s">
        <v>71</v>
      </c>
      <c r="AZ1141">
        <v>22.52</v>
      </c>
      <c r="BA1141">
        <v>-53.46</v>
      </c>
      <c r="BB1141" t="s">
        <v>73</v>
      </c>
    </row>
    <row r="1142" spans="1:54" x14ac:dyDescent="0.4">
      <c r="A1142">
        <v>923791</v>
      </c>
      <c r="D1142" t="s">
        <v>376</v>
      </c>
      <c r="E1142" t="s">
        <v>153</v>
      </c>
      <c r="G1142">
        <v>1</v>
      </c>
      <c r="H1142" t="s">
        <v>56</v>
      </c>
      <c r="I1142" t="s">
        <v>57</v>
      </c>
      <c r="K1142" t="s">
        <v>102</v>
      </c>
      <c r="L1142" t="s">
        <v>1557</v>
      </c>
      <c r="M1142" t="s">
        <v>59</v>
      </c>
      <c r="O1142" t="s">
        <v>76</v>
      </c>
      <c r="P1142" t="s">
        <v>131</v>
      </c>
      <c r="R1142" t="s">
        <v>112</v>
      </c>
      <c r="S1142" t="s">
        <v>61</v>
      </c>
      <c r="T1142">
        <v>246.7</v>
      </c>
      <c r="U1142">
        <v>242</v>
      </c>
      <c r="V1142">
        <f>(T1142+U1142)/2</f>
        <v>244.35</v>
      </c>
      <c r="W1142">
        <f>T1142-U1142</f>
        <v>4.6999999999999886</v>
      </c>
      <c r="X1142">
        <v>8.9413889999999991</v>
      </c>
      <c r="Y1142">
        <v>45.907223000000002</v>
      </c>
      <c r="Z1142" t="s">
        <v>465</v>
      </c>
      <c r="AA1142" t="s">
        <v>133</v>
      </c>
      <c r="AB1142" t="s">
        <v>833</v>
      </c>
      <c r="AC1142" t="s">
        <v>834</v>
      </c>
      <c r="AD1142" t="s">
        <v>829</v>
      </c>
      <c r="AF1142" t="s">
        <v>835</v>
      </c>
      <c r="AG1142" t="s">
        <v>836</v>
      </c>
      <c r="AH1142" t="s">
        <v>65</v>
      </c>
      <c r="AI1142" t="s">
        <v>1558</v>
      </c>
      <c r="AJ1142">
        <v>1965</v>
      </c>
      <c r="AK1142" t="s">
        <v>1559</v>
      </c>
      <c r="AM1142" t="s">
        <v>1560</v>
      </c>
      <c r="AN1142" t="s">
        <v>94</v>
      </c>
      <c r="AO1142" t="s">
        <v>68</v>
      </c>
      <c r="AP1142" t="s">
        <v>95</v>
      </c>
      <c r="AQ1142" t="s">
        <v>1561</v>
      </c>
      <c r="AR1142" t="s">
        <v>70</v>
      </c>
      <c r="AS1142">
        <v>307</v>
      </c>
      <c r="AT1142" t="s">
        <v>71</v>
      </c>
      <c r="AU1142">
        <v>34.28</v>
      </c>
      <c r="AV1142">
        <v>16.7</v>
      </c>
      <c r="AW1142" t="s">
        <v>72</v>
      </c>
      <c r="AX1142">
        <v>307</v>
      </c>
      <c r="AY1142" t="s">
        <v>71</v>
      </c>
      <c r="AZ1142">
        <v>22.06</v>
      </c>
      <c r="BA1142">
        <v>7.19</v>
      </c>
      <c r="BB1142" t="s">
        <v>73</v>
      </c>
    </row>
    <row r="1143" spans="1:54" x14ac:dyDescent="0.4">
      <c r="A1143">
        <v>923792</v>
      </c>
      <c r="D1143" t="s">
        <v>376</v>
      </c>
      <c r="E1143" t="s">
        <v>153</v>
      </c>
      <c r="G1143">
        <v>1</v>
      </c>
      <c r="H1143" t="s">
        <v>56</v>
      </c>
      <c r="I1143" t="s">
        <v>57</v>
      </c>
      <c r="K1143" t="s">
        <v>102</v>
      </c>
      <c r="L1143" t="s">
        <v>1557</v>
      </c>
      <c r="M1143" t="s">
        <v>59</v>
      </c>
      <c r="O1143" t="s">
        <v>76</v>
      </c>
      <c r="P1143" t="s">
        <v>131</v>
      </c>
      <c r="R1143" t="s">
        <v>112</v>
      </c>
      <c r="S1143" t="s">
        <v>61</v>
      </c>
      <c r="T1143">
        <v>246.7</v>
      </c>
      <c r="U1143">
        <v>242</v>
      </c>
      <c r="V1143">
        <f>(T1143+U1143)/2</f>
        <v>244.35</v>
      </c>
      <c r="W1143">
        <f>T1143-U1143</f>
        <v>4.6999999999999886</v>
      </c>
      <c r="X1143">
        <v>8.9366669999999999</v>
      </c>
      <c r="Y1143">
        <v>45.910277999999998</v>
      </c>
      <c r="Z1143" t="s">
        <v>465</v>
      </c>
      <c r="AA1143" t="s">
        <v>133</v>
      </c>
      <c r="AB1143" t="s">
        <v>833</v>
      </c>
      <c r="AC1143" t="s">
        <v>834</v>
      </c>
      <c r="AD1143" t="s">
        <v>829</v>
      </c>
      <c r="AF1143" t="s">
        <v>835</v>
      </c>
      <c r="AG1143" t="s">
        <v>836</v>
      </c>
      <c r="AH1143" t="s">
        <v>65</v>
      </c>
      <c r="AI1143" t="s">
        <v>1558</v>
      </c>
      <c r="AJ1143">
        <v>1965</v>
      </c>
      <c r="AK1143" t="s">
        <v>837</v>
      </c>
      <c r="AM1143" t="s">
        <v>838</v>
      </c>
      <c r="AN1143" t="s">
        <v>121</v>
      </c>
      <c r="AO1143" t="s">
        <v>68</v>
      </c>
      <c r="AP1143" t="s">
        <v>95</v>
      </c>
      <c r="AQ1143" t="s">
        <v>839</v>
      </c>
      <c r="AR1143" t="s">
        <v>70</v>
      </c>
      <c r="AS1143">
        <v>307</v>
      </c>
      <c r="AT1143" t="s">
        <v>71</v>
      </c>
      <c r="AU1143">
        <v>34.28</v>
      </c>
      <c r="AV1143">
        <v>16.7</v>
      </c>
      <c r="AW1143" t="s">
        <v>72</v>
      </c>
      <c r="AX1143">
        <v>307</v>
      </c>
      <c r="AY1143" t="s">
        <v>71</v>
      </c>
      <c r="AZ1143">
        <v>22.06</v>
      </c>
      <c r="BA1143">
        <v>7.2</v>
      </c>
      <c r="BB1143" t="s">
        <v>73</v>
      </c>
    </row>
    <row r="1144" spans="1:54" x14ac:dyDescent="0.4">
      <c r="A1144">
        <v>986756</v>
      </c>
      <c r="D1144" t="s">
        <v>54</v>
      </c>
      <c r="E1144" t="s">
        <v>55</v>
      </c>
      <c r="G1144">
        <v>1</v>
      </c>
      <c r="H1144" t="s">
        <v>56</v>
      </c>
      <c r="I1144" t="s">
        <v>57</v>
      </c>
      <c r="K1144" t="s">
        <v>652</v>
      </c>
      <c r="L1144" t="s">
        <v>1006</v>
      </c>
      <c r="M1144" t="s">
        <v>59</v>
      </c>
      <c r="P1144" t="s">
        <v>131</v>
      </c>
      <c r="R1144" t="s">
        <v>112</v>
      </c>
      <c r="S1144" t="s">
        <v>61</v>
      </c>
      <c r="T1144">
        <v>246.7</v>
      </c>
      <c r="U1144">
        <v>242</v>
      </c>
      <c r="V1144">
        <f>(T1144+U1144)/2</f>
        <v>244.35</v>
      </c>
      <c r="W1144">
        <f>T1144-U1144</f>
        <v>4.6999999999999886</v>
      </c>
      <c r="X1144">
        <v>26.111111000000001</v>
      </c>
      <c r="Y1144">
        <v>-30.906943999999999</v>
      </c>
      <c r="Z1144" t="s">
        <v>372</v>
      </c>
      <c r="AA1144" t="s">
        <v>86</v>
      </c>
      <c r="AB1144" t="s">
        <v>87</v>
      </c>
      <c r="AC1144" t="s">
        <v>1027</v>
      </c>
      <c r="AD1144" t="s">
        <v>777</v>
      </c>
      <c r="AE1144" t="s">
        <v>90</v>
      </c>
      <c r="AG1144" t="s">
        <v>1028</v>
      </c>
      <c r="AH1144" t="s">
        <v>65</v>
      </c>
      <c r="AI1144" t="s">
        <v>335</v>
      </c>
      <c r="AJ1144">
        <v>1911</v>
      </c>
      <c r="AK1144" t="s">
        <v>1029</v>
      </c>
      <c r="AM1144" t="s">
        <v>1030</v>
      </c>
      <c r="AN1144" t="s">
        <v>177</v>
      </c>
      <c r="AO1144" t="s">
        <v>68</v>
      </c>
      <c r="AP1144" t="s">
        <v>69</v>
      </c>
      <c r="AQ1144" t="s">
        <v>1031</v>
      </c>
      <c r="AR1144" t="s">
        <v>70</v>
      </c>
      <c r="AS1144">
        <v>701</v>
      </c>
      <c r="AT1144" t="s">
        <v>71</v>
      </c>
      <c r="AU1144">
        <v>-8.09</v>
      </c>
      <c r="AV1144">
        <v>-50.52</v>
      </c>
      <c r="AW1144" t="s">
        <v>72</v>
      </c>
      <c r="AX1144">
        <v>701</v>
      </c>
      <c r="AY1144" t="s">
        <v>71</v>
      </c>
      <c r="AZ1144">
        <v>-14.27</v>
      </c>
      <c r="BA1144">
        <v>-66.099999999999994</v>
      </c>
      <c r="BB1144" t="s">
        <v>73</v>
      </c>
    </row>
    <row r="1145" spans="1:54" x14ac:dyDescent="0.4">
      <c r="A1145">
        <v>986756</v>
      </c>
      <c r="D1145" t="s">
        <v>54</v>
      </c>
      <c r="E1145" t="s">
        <v>55</v>
      </c>
      <c r="G1145">
        <v>1</v>
      </c>
      <c r="H1145" t="s">
        <v>56</v>
      </c>
      <c r="I1145" t="s">
        <v>57</v>
      </c>
      <c r="K1145" t="s">
        <v>652</v>
      </c>
      <c r="L1145" t="s">
        <v>1006</v>
      </c>
      <c r="M1145" t="s">
        <v>59</v>
      </c>
      <c r="P1145" t="s">
        <v>131</v>
      </c>
      <c r="R1145" t="s">
        <v>112</v>
      </c>
      <c r="S1145" t="s">
        <v>61</v>
      </c>
      <c r="T1145">
        <v>246.7</v>
      </c>
      <c r="U1145">
        <v>242</v>
      </c>
      <c r="V1145">
        <f>(T1145+U1145)/2</f>
        <v>244.35</v>
      </c>
      <c r="W1145">
        <f>T1145-U1145</f>
        <v>4.6999999999999886</v>
      </c>
      <c r="X1145">
        <v>26.111111000000001</v>
      </c>
      <c r="Y1145">
        <v>-30.906943999999999</v>
      </c>
      <c r="Z1145" t="s">
        <v>372</v>
      </c>
      <c r="AA1145" t="s">
        <v>86</v>
      </c>
      <c r="AB1145" t="s">
        <v>87</v>
      </c>
      <c r="AC1145" t="s">
        <v>1027</v>
      </c>
      <c r="AD1145" t="s">
        <v>777</v>
      </c>
      <c r="AE1145" t="s">
        <v>90</v>
      </c>
      <c r="AG1145" t="s">
        <v>1028</v>
      </c>
      <c r="AH1145" t="s">
        <v>65</v>
      </c>
      <c r="AI1145" t="s">
        <v>335</v>
      </c>
      <c r="AJ1145">
        <v>1911</v>
      </c>
      <c r="AK1145" t="s">
        <v>1029</v>
      </c>
      <c r="AM1145" t="s">
        <v>1030</v>
      </c>
      <c r="AN1145" t="s">
        <v>177</v>
      </c>
      <c r="AO1145" t="s">
        <v>68</v>
      </c>
      <c r="AP1145" t="s">
        <v>69</v>
      </c>
      <c r="AQ1145" t="s">
        <v>1031</v>
      </c>
      <c r="AR1145" t="s">
        <v>70</v>
      </c>
      <c r="AS1145">
        <v>701</v>
      </c>
      <c r="AT1145" t="s">
        <v>71</v>
      </c>
      <c r="AU1145">
        <v>-8.09</v>
      </c>
      <c r="AV1145">
        <v>-50.52</v>
      </c>
      <c r="AW1145" t="s">
        <v>72</v>
      </c>
      <c r="AX1145">
        <v>701</v>
      </c>
      <c r="AY1145" t="s">
        <v>71</v>
      </c>
      <c r="AZ1145">
        <v>-14.27</v>
      </c>
      <c r="BA1145">
        <v>-66.099999999999994</v>
      </c>
      <c r="BB1145" t="s">
        <v>73</v>
      </c>
    </row>
    <row r="1146" spans="1:54" x14ac:dyDescent="0.4">
      <c r="A1146">
        <v>986756</v>
      </c>
      <c r="D1146" t="s">
        <v>54</v>
      </c>
      <c r="E1146" t="s">
        <v>55</v>
      </c>
      <c r="G1146">
        <v>1</v>
      </c>
      <c r="H1146" t="s">
        <v>56</v>
      </c>
      <c r="I1146" t="s">
        <v>57</v>
      </c>
      <c r="K1146" t="s">
        <v>652</v>
      </c>
      <c r="L1146" t="s">
        <v>1006</v>
      </c>
      <c r="M1146" t="s">
        <v>59</v>
      </c>
      <c r="P1146" t="s">
        <v>131</v>
      </c>
      <c r="R1146" t="s">
        <v>112</v>
      </c>
      <c r="S1146" t="s">
        <v>61</v>
      </c>
      <c r="T1146">
        <v>246.7</v>
      </c>
      <c r="U1146">
        <v>242</v>
      </c>
      <c r="V1146">
        <f>(T1146+U1146)/2</f>
        <v>244.35</v>
      </c>
      <c r="W1146">
        <f>T1146-U1146</f>
        <v>4.6999999999999886</v>
      </c>
      <c r="X1146">
        <v>26.111111000000001</v>
      </c>
      <c r="Y1146">
        <v>-30.906943999999999</v>
      </c>
      <c r="Z1146" t="s">
        <v>372</v>
      </c>
      <c r="AA1146" t="s">
        <v>86</v>
      </c>
      <c r="AB1146" t="s">
        <v>87</v>
      </c>
      <c r="AC1146" t="s">
        <v>1027</v>
      </c>
      <c r="AD1146" t="s">
        <v>777</v>
      </c>
      <c r="AE1146" t="s">
        <v>90</v>
      </c>
      <c r="AG1146" t="s">
        <v>1028</v>
      </c>
      <c r="AH1146" t="s">
        <v>65</v>
      </c>
      <c r="AI1146" t="s">
        <v>335</v>
      </c>
      <c r="AJ1146">
        <v>1911</v>
      </c>
      <c r="AK1146" t="s">
        <v>1029</v>
      </c>
      <c r="AM1146" t="s">
        <v>1030</v>
      </c>
      <c r="AN1146" t="s">
        <v>177</v>
      </c>
      <c r="AO1146" t="s">
        <v>68</v>
      </c>
      <c r="AP1146" t="s">
        <v>69</v>
      </c>
      <c r="AQ1146" t="s">
        <v>1031</v>
      </c>
      <c r="AR1146" t="s">
        <v>70</v>
      </c>
      <c r="AS1146">
        <v>701</v>
      </c>
      <c r="AT1146" t="s">
        <v>71</v>
      </c>
      <c r="AU1146">
        <v>-8.09</v>
      </c>
      <c r="AV1146">
        <v>-50.52</v>
      </c>
      <c r="AW1146" t="s">
        <v>72</v>
      </c>
      <c r="AX1146">
        <v>701</v>
      </c>
      <c r="AY1146" t="s">
        <v>71</v>
      </c>
      <c r="AZ1146">
        <v>-14.27</v>
      </c>
      <c r="BA1146">
        <v>-66.099999999999994</v>
      </c>
      <c r="BB1146" t="s">
        <v>73</v>
      </c>
    </row>
    <row r="1147" spans="1:54" x14ac:dyDescent="0.4">
      <c r="A1147">
        <v>1071678</v>
      </c>
      <c r="D1147" t="s">
        <v>54</v>
      </c>
      <c r="E1147" t="s">
        <v>55</v>
      </c>
      <c r="I1147" t="s">
        <v>57</v>
      </c>
      <c r="K1147" t="s">
        <v>373</v>
      </c>
      <c r="L1147" t="s">
        <v>1491</v>
      </c>
      <c r="M1147" t="s">
        <v>59</v>
      </c>
      <c r="O1147" t="s">
        <v>107</v>
      </c>
      <c r="P1147" t="s">
        <v>131</v>
      </c>
      <c r="R1147" t="s">
        <v>112</v>
      </c>
      <c r="S1147" t="s">
        <v>61</v>
      </c>
      <c r="T1147">
        <v>246.7</v>
      </c>
      <c r="U1147">
        <v>242</v>
      </c>
      <c r="V1147">
        <f>(T1147+U1147)/2</f>
        <v>244.35</v>
      </c>
      <c r="W1147">
        <f>T1147-U1147</f>
        <v>4.6999999999999886</v>
      </c>
      <c r="X1147">
        <v>35.233299000000002</v>
      </c>
      <c r="Y1147">
        <v>-10.283300000000001</v>
      </c>
      <c r="Z1147" t="s">
        <v>454</v>
      </c>
      <c r="AA1147" t="s">
        <v>455</v>
      </c>
      <c r="AB1147" t="s">
        <v>456</v>
      </c>
      <c r="AC1147" t="s">
        <v>457</v>
      </c>
      <c r="AD1147" t="s">
        <v>458</v>
      </c>
      <c r="AF1147" t="s">
        <v>459</v>
      </c>
      <c r="AG1147" t="s">
        <v>460</v>
      </c>
      <c r="AH1147" t="s">
        <v>11</v>
      </c>
      <c r="AI1147" t="s">
        <v>1691</v>
      </c>
      <c r="AJ1147">
        <v>2012</v>
      </c>
      <c r="AK1147" t="s">
        <v>461</v>
      </c>
      <c r="AN1147" t="s">
        <v>94</v>
      </c>
      <c r="AO1147">
        <v>4</v>
      </c>
      <c r="AP1147" t="s">
        <v>69</v>
      </c>
      <c r="AQ1147" t="s">
        <v>462</v>
      </c>
      <c r="AR1147" t="s">
        <v>70</v>
      </c>
      <c r="AS1147">
        <v>701</v>
      </c>
      <c r="AT1147" t="s">
        <v>71</v>
      </c>
      <c r="AU1147">
        <v>20.55</v>
      </c>
      <c r="AV1147">
        <v>-40.409999999999997</v>
      </c>
      <c r="AW1147" t="s">
        <v>72</v>
      </c>
      <c r="AX1147">
        <v>709</v>
      </c>
      <c r="AY1147" t="s">
        <v>71</v>
      </c>
      <c r="AZ1147">
        <v>22.52</v>
      </c>
      <c r="BA1147">
        <v>-53.41</v>
      </c>
      <c r="BB1147" t="s">
        <v>73</v>
      </c>
    </row>
    <row r="1148" spans="1:54" x14ac:dyDescent="0.4">
      <c r="A1148">
        <v>1087839</v>
      </c>
      <c r="D1148" t="s">
        <v>54</v>
      </c>
      <c r="G1148">
        <v>3</v>
      </c>
      <c r="H1148" t="s">
        <v>74</v>
      </c>
      <c r="I1148" t="s">
        <v>57</v>
      </c>
      <c r="K1148" t="s">
        <v>373</v>
      </c>
      <c r="L1148" t="s">
        <v>1721</v>
      </c>
      <c r="M1148" t="s">
        <v>59</v>
      </c>
      <c r="O1148" t="s">
        <v>107</v>
      </c>
      <c r="P1148" t="s">
        <v>131</v>
      </c>
      <c r="R1148" t="s">
        <v>112</v>
      </c>
      <c r="S1148" t="s">
        <v>61</v>
      </c>
      <c r="T1148">
        <v>246.7</v>
      </c>
      <c r="U1148">
        <v>242</v>
      </c>
      <c r="V1148">
        <f>(T1148+U1148)/2</f>
        <v>244.35</v>
      </c>
      <c r="W1148">
        <f>T1148-U1148</f>
        <v>4.6999999999999886</v>
      </c>
      <c r="X1148">
        <v>79.25</v>
      </c>
      <c r="Y1148">
        <v>19.383333</v>
      </c>
      <c r="Z1148" t="s">
        <v>99</v>
      </c>
      <c r="AA1148" t="s">
        <v>417</v>
      </c>
      <c r="AB1148" t="s">
        <v>418</v>
      </c>
      <c r="AC1148" t="s">
        <v>419</v>
      </c>
      <c r="AD1148" t="s">
        <v>991</v>
      </c>
      <c r="AH1148" t="s">
        <v>65</v>
      </c>
      <c r="AI1148" t="s">
        <v>127</v>
      </c>
      <c r="AJ1148">
        <v>1980</v>
      </c>
      <c r="AK1148" t="s">
        <v>1722</v>
      </c>
      <c r="AN1148" t="s">
        <v>67</v>
      </c>
      <c r="AO1148" t="s">
        <v>106</v>
      </c>
      <c r="AP1148" t="s">
        <v>95</v>
      </c>
      <c r="AQ1148" t="s">
        <v>1723</v>
      </c>
      <c r="AR1148" t="s">
        <v>70</v>
      </c>
      <c r="AS1148">
        <v>501</v>
      </c>
      <c r="AT1148" t="s">
        <v>71</v>
      </c>
      <c r="AU1148">
        <v>39.9</v>
      </c>
      <c r="AV1148">
        <v>-42.19</v>
      </c>
      <c r="AW1148" t="s">
        <v>72</v>
      </c>
      <c r="AX1148">
        <v>501</v>
      </c>
      <c r="AY1148" t="s">
        <v>71</v>
      </c>
      <c r="AZ1148">
        <v>48.57</v>
      </c>
      <c r="BA1148">
        <v>-50.94</v>
      </c>
      <c r="BB1148" t="s">
        <v>73</v>
      </c>
    </row>
    <row r="1149" spans="1:54" x14ac:dyDescent="0.4">
      <c r="A1149">
        <v>1089127</v>
      </c>
      <c r="D1149" t="s">
        <v>54</v>
      </c>
      <c r="E1149" t="s">
        <v>104</v>
      </c>
      <c r="G1149">
        <v>1</v>
      </c>
      <c r="H1149" t="s">
        <v>74</v>
      </c>
      <c r="I1149" t="s">
        <v>57</v>
      </c>
      <c r="K1149" t="s">
        <v>102</v>
      </c>
      <c r="L1149" t="s">
        <v>1724</v>
      </c>
      <c r="M1149" t="s">
        <v>59</v>
      </c>
      <c r="P1149" t="s">
        <v>131</v>
      </c>
      <c r="R1149" t="s">
        <v>112</v>
      </c>
      <c r="S1149" t="s">
        <v>61</v>
      </c>
      <c r="T1149">
        <v>246.7</v>
      </c>
      <c r="U1149">
        <v>242</v>
      </c>
      <c r="V1149">
        <f>(T1149+U1149)/2</f>
        <v>244.35</v>
      </c>
      <c r="W1149">
        <f>T1149-U1149</f>
        <v>4.6999999999999886</v>
      </c>
      <c r="X1149">
        <v>35.233001999999999</v>
      </c>
      <c r="Y1149">
        <v>-10.282999999999999</v>
      </c>
      <c r="Z1149" t="s">
        <v>99</v>
      </c>
      <c r="AA1149" t="s">
        <v>455</v>
      </c>
      <c r="AB1149" t="s">
        <v>456</v>
      </c>
      <c r="AD1149" t="s">
        <v>458</v>
      </c>
      <c r="AF1149" t="s">
        <v>459</v>
      </c>
      <c r="AG1149" t="s">
        <v>1725</v>
      </c>
      <c r="AH1149" t="s">
        <v>65</v>
      </c>
      <c r="AI1149" t="s">
        <v>413</v>
      </c>
      <c r="AJ1149">
        <v>2013</v>
      </c>
      <c r="AK1149" t="s">
        <v>1726</v>
      </c>
      <c r="AN1149" t="s">
        <v>94</v>
      </c>
      <c r="AO1149">
        <v>3</v>
      </c>
      <c r="AP1149" t="s">
        <v>95</v>
      </c>
      <c r="AR1149" t="s">
        <v>70</v>
      </c>
      <c r="AS1149">
        <v>701</v>
      </c>
      <c r="AT1149" t="s">
        <v>71</v>
      </c>
      <c r="AU1149">
        <v>20.55</v>
      </c>
      <c r="AV1149">
        <v>-40.409999999999997</v>
      </c>
      <c r="AW1149" t="s">
        <v>72</v>
      </c>
      <c r="AX1149">
        <v>709</v>
      </c>
      <c r="AY1149" t="s">
        <v>71</v>
      </c>
      <c r="AZ1149">
        <v>22.52</v>
      </c>
      <c r="BA1149">
        <v>-53.41</v>
      </c>
      <c r="BB1149" t="s">
        <v>73</v>
      </c>
    </row>
    <row r="1150" spans="1:54" x14ac:dyDescent="0.4">
      <c r="A1150">
        <v>1089130</v>
      </c>
      <c r="D1150" t="s">
        <v>54</v>
      </c>
      <c r="G1150">
        <v>1</v>
      </c>
      <c r="H1150" t="s">
        <v>74</v>
      </c>
      <c r="I1150" t="s">
        <v>57</v>
      </c>
      <c r="K1150" t="s">
        <v>102</v>
      </c>
      <c r="L1150" t="s">
        <v>1724</v>
      </c>
      <c r="M1150" t="s">
        <v>59</v>
      </c>
      <c r="P1150" t="s">
        <v>131</v>
      </c>
      <c r="R1150" t="s">
        <v>112</v>
      </c>
      <c r="S1150" t="s">
        <v>61</v>
      </c>
      <c r="T1150">
        <v>246.7</v>
      </c>
      <c r="U1150">
        <v>242</v>
      </c>
      <c r="V1150">
        <f>(T1150+U1150)/2</f>
        <v>244.35</v>
      </c>
      <c r="W1150">
        <f>T1150-U1150</f>
        <v>4.6999999999999886</v>
      </c>
      <c r="X1150">
        <v>34.75</v>
      </c>
      <c r="Y1150">
        <v>-10.533333000000001</v>
      </c>
      <c r="Z1150" t="s">
        <v>99</v>
      </c>
      <c r="AA1150" t="s">
        <v>455</v>
      </c>
      <c r="AB1150" t="s">
        <v>456</v>
      </c>
      <c r="AD1150" t="s">
        <v>458</v>
      </c>
      <c r="AF1150" t="s">
        <v>459</v>
      </c>
      <c r="AG1150" t="s">
        <v>1725</v>
      </c>
      <c r="AH1150" t="s">
        <v>65</v>
      </c>
      <c r="AI1150" t="s">
        <v>306</v>
      </c>
      <c r="AJ1150">
        <v>1932</v>
      </c>
      <c r="AK1150" t="s">
        <v>1727</v>
      </c>
      <c r="AN1150" t="s">
        <v>121</v>
      </c>
      <c r="AO1150" t="s">
        <v>106</v>
      </c>
      <c r="AP1150" t="s">
        <v>95</v>
      </c>
      <c r="AQ1150" t="s">
        <v>1728</v>
      </c>
      <c r="AR1150" t="s">
        <v>70</v>
      </c>
      <c r="AS1150">
        <v>701</v>
      </c>
      <c r="AT1150" t="s">
        <v>71</v>
      </c>
      <c r="AU1150">
        <v>19.84</v>
      </c>
      <c r="AV1150">
        <v>-40.36</v>
      </c>
      <c r="AW1150" t="s">
        <v>72</v>
      </c>
      <c r="AX1150">
        <v>709</v>
      </c>
      <c r="AY1150" t="s">
        <v>71</v>
      </c>
      <c r="AZ1150">
        <v>21.64</v>
      </c>
      <c r="BA1150">
        <v>-53.51</v>
      </c>
      <c r="BB1150" t="s">
        <v>73</v>
      </c>
    </row>
    <row r="1151" spans="1:54" x14ac:dyDescent="0.4">
      <c r="A1151">
        <v>1089825</v>
      </c>
      <c r="D1151" t="s">
        <v>54</v>
      </c>
      <c r="G1151">
        <v>1</v>
      </c>
      <c r="H1151" t="s">
        <v>228</v>
      </c>
      <c r="I1151" t="s">
        <v>57</v>
      </c>
      <c r="K1151" t="s">
        <v>102</v>
      </c>
      <c r="L1151" t="s">
        <v>1495</v>
      </c>
      <c r="M1151" t="s">
        <v>59</v>
      </c>
      <c r="O1151" t="s">
        <v>76</v>
      </c>
      <c r="P1151" t="s">
        <v>131</v>
      </c>
      <c r="R1151" t="s">
        <v>112</v>
      </c>
      <c r="S1151" t="s">
        <v>61</v>
      </c>
      <c r="T1151">
        <v>246.7</v>
      </c>
      <c r="U1151">
        <v>242</v>
      </c>
      <c r="V1151">
        <f>(T1151+U1151)/2</f>
        <v>244.35</v>
      </c>
      <c r="W1151">
        <f>T1151-U1151</f>
        <v>4.6999999999999886</v>
      </c>
      <c r="X1151">
        <v>35.266666000000001</v>
      </c>
      <c r="Y1151">
        <v>-10.383333</v>
      </c>
      <c r="Z1151" t="s">
        <v>99</v>
      </c>
      <c r="AA1151" t="s">
        <v>455</v>
      </c>
      <c r="AB1151" t="s">
        <v>456</v>
      </c>
      <c r="AD1151" t="s">
        <v>458</v>
      </c>
      <c r="AF1151" t="s">
        <v>459</v>
      </c>
      <c r="AG1151" t="s">
        <v>1725</v>
      </c>
      <c r="AH1151" t="s">
        <v>65</v>
      </c>
      <c r="AI1151" t="s">
        <v>306</v>
      </c>
      <c r="AJ1151">
        <v>1932</v>
      </c>
      <c r="AK1151" t="s">
        <v>1729</v>
      </c>
      <c r="AN1151" t="s">
        <v>121</v>
      </c>
      <c r="AO1151" t="s">
        <v>106</v>
      </c>
      <c r="AP1151" t="s">
        <v>95</v>
      </c>
      <c r="AQ1151" t="s">
        <v>1730</v>
      </c>
      <c r="AR1151" t="s">
        <v>70</v>
      </c>
      <c r="AS1151">
        <v>701</v>
      </c>
      <c r="AT1151" t="s">
        <v>71</v>
      </c>
      <c r="AU1151">
        <v>20.51</v>
      </c>
      <c r="AV1151">
        <v>-40.51</v>
      </c>
      <c r="AW1151" t="s">
        <v>72</v>
      </c>
      <c r="AX1151">
        <v>709</v>
      </c>
      <c r="AY1151" t="s">
        <v>71</v>
      </c>
      <c r="AZ1151">
        <v>22.53</v>
      </c>
      <c r="BA1151">
        <v>-53.51</v>
      </c>
      <c r="BB1151" t="s">
        <v>73</v>
      </c>
    </row>
    <row r="1152" spans="1:54" x14ac:dyDescent="0.4">
      <c r="A1152">
        <v>1106822</v>
      </c>
      <c r="D1152" t="s">
        <v>54</v>
      </c>
      <c r="I1152" t="s">
        <v>57</v>
      </c>
      <c r="K1152" t="s">
        <v>102</v>
      </c>
      <c r="L1152" t="s">
        <v>410</v>
      </c>
      <c r="M1152" t="s">
        <v>59</v>
      </c>
      <c r="P1152" t="s">
        <v>131</v>
      </c>
      <c r="R1152" t="s">
        <v>112</v>
      </c>
      <c r="S1152" t="s">
        <v>61</v>
      </c>
      <c r="T1152">
        <v>246.7</v>
      </c>
      <c r="U1152">
        <v>242</v>
      </c>
      <c r="V1152">
        <f>(T1152+U1152)/2</f>
        <v>244.35</v>
      </c>
      <c r="W1152">
        <f>T1152-U1152</f>
        <v>4.6999999999999886</v>
      </c>
      <c r="X1152">
        <v>11.64</v>
      </c>
      <c r="Y1152">
        <v>49.959999000000003</v>
      </c>
      <c r="Z1152" t="s">
        <v>268</v>
      </c>
      <c r="AA1152" t="s">
        <v>128</v>
      </c>
      <c r="AE1152" t="s">
        <v>463</v>
      </c>
      <c r="AH1152" t="s">
        <v>11</v>
      </c>
      <c r="AI1152" t="s">
        <v>335</v>
      </c>
      <c r="AJ1152">
        <v>1905</v>
      </c>
      <c r="AK1152" t="s">
        <v>1744</v>
      </c>
      <c r="AN1152" t="s">
        <v>94</v>
      </c>
      <c r="AO1152">
        <v>2</v>
      </c>
      <c r="AP1152" t="s">
        <v>69</v>
      </c>
      <c r="AR1152" t="s">
        <v>70</v>
      </c>
      <c r="AS1152">
        <v>305</v>
      </c>
      <c r="AT1152" t="s">
        <v>71</v>
      </c>
      <c r="AU1152">
        <v>30.15</v>
      </c>
      <c r="AV1152">
        <v>28.92</v>
      </c>
      <c r="AW1152" t="s">
        <v>72</v>
      </c>
      <c r="AX1152">
        <v>305</v>
      </c>
      <c r="AY1152" t="s">
        <v>71</v>
      </c>
      <c r="AZ1152">
        <v>20.41</v>
      </c>
      <c r="BA1152">
        <v>16.260000000000002</v>
      </c>
      <c r="BB1152" t="s">
        <v>73</v>
      </c>
    </row>
    <row r="1153" spans="1:54" x14ac:dyDescent="0.4">
      <c r="A1153">
        <v>1106823</v>
      </c>
      <c r="D1153" t="s">
        <v>54</v>
      </c>
      <c r="E1153" t="s">
        <v>104</v>
      </c>
      <c r="I1153" t="s">
        <v>57</v>
      </c>
      <c r="K1153" t="s">
        <v>355</v>
      </c>
      <c r="L1153" t="s">
        <v>1745</v>
      </c>
      <c r="M1153" t="s">
        <v>59</v>
      </c>
      <c r="P1153" t="s">
        <v>131</v>
      </c>
      <c r="R1153" t="s">
        <v>112</v>
      </c>
      <c r="S1153" t="s">
        <v>61</v>
      </c>
      <c r="T1153">
        <v>246.7</v>
      </c>
      <c r="U1153">
        <v>242</v>
      </c>
      <c r="V1153">
        <f>(T1153+U1153)/2</f>
        <v>244.35</v>
      </c>
      <c r="W1153">
        <f>T1153-U1153</f>
        <v>4.6999999999999886</v>
      </c>
      <c r="X1153">
        <v>17.628889000000001</v>
      </c>
      <c r="Y1153">
        <v>50.577778000000002</v>
      </c>
      <c r="Z1153" t="s">
        <v>268</v>
      </c>
      <c r="AA1153" t="s">
        <v>337</v>
      </c>
      <c r="AB1153" t="s">
        <v>1485</v>
      </c>
      <c r="AD1153" t="s">
        <v>1746</v>
      </c>
      <c r="AE1153" t="s">
        <v>463</v>
      </c>
      <c r="AH1153" t="s">
        <v>65</v>
      </c>
      <c r="AI1153" t="s">
        <v>335</v>
      </c>
      <c r="AJ1153">
        <v>1905</v>
      </c>
      <c r="AK1153" t="s">
        <v>1747</v>
      </c>
      <c r="AN1153" t="s">
        <v>94</v>
      </c>
      <c r="AO1153" t="s">
        <v>68</v>
      </c>
      <c r="AP1153" t="s">
        <v>95</v>
      </c>
      <c r="AQ1153" t="s">
        <v>1748</v>
      </c>
      <c r="AR1153" t="s">
        <v>70</v>
      </c>
      <c r="AS1153">
        <v>305</v>
      </c>
      <c r="AT1153" t="s">
        <v>71</v>
      </c>
      <c r="AU1153">
        <v>34.21</v>
      </c>
      <c r="AV1153">
        <v>30.53</v>
      </c>
      <c r="AW1153" t="s">
        <v>72</v>
      </c>
      <c r="AX1153">
        <v>305</v>
      </c>
      <c r="AY1153" t="s">
        <v>71</v>
      </c>
      <c r="AZ1153">
        <v>23.74</v>
      </c>
      <c r="BA1153">
        <v>18.48</v>
      </c>
      <c r="BB1153" t="s">
        <v>73</v>
      </c>
    </row>
    <row r="1154" spans="1:54" x14ac:dyDescent="0.4">
      <c r="A1154">
        <v>1134215</v>
      </c>
      <c r="D1154" t="s">
        <v>54</v>
      </c>
      <c r="G1154">
        <v>1</v>
      </c>
      <c r="H1154" t="s">
        <v>56</v>
      </c>
      <c r="I1154" t="s">
        <v>57</v>
      </c>
      <c r="K1154" t="s">
        <v>102</v>
      </c>
      <c r="L1154" t="s">
        <v>1767</v>
      </c>
      <c r="M1154" t="s">
        <v>59</v>
      </c>
      <c r="O1154" t="s">
        <v>107</v>
      </c>
      <c r="P1154" t="s">
        <v>131</v>
      </c>
      <c r="R1154" t="s">
        <v>112</v>
      </c>
      <c r="S1154" t="s">
        <v>61</v>
      </c>
      <c r="T1154">
        <v>246.7</v>
      </c>
      <c r="U1154">
        <v>242</v>
      </c>
      <c r="V1154">
        <f>(T1154+U1154)/2</f>
        <v>244.35</v>
      </c>
      <c r="W1154">
        <f>T1154-U1154</f>
        <v>4.6999999999999886</v>
      </c>
      <c r="X1154">
        <v>26.700001</v>
      </c>
      <c r="Y1154">
        <v>-30.683332</v>
      </c>
      <c r="Z1154" t="s">
        <v>99</v>
      </c>
      <c r="AA1154" t="s">
        <v>86</v>
      </c>
      <c r="AB1154" t="s">
        <v>87</v>
      </c>
      <c r="AC1154" t="s">
        <v>776</v>
      </c>
      <c r="AD1154" t="s">
        <v>777</v>
      </c>
      <c r="AE1154" t="s">
        <v>90</v>
      </c>
      <c r="AG1154" t="s">
        <v>1768</v>
      </c>
      <c r="AH1154" t="s">
        <v>65</v>
      </c>
      <c r="AI1154" t="s">
        <v>784</v>
      </c>
      <c r="AJ1154">
        <v>1995</v>
      </c>
      <c r="AK1154" t="s">
        <v>1769</v>
      </c>
      <c r="AN1154" t="s">
        <v>94</v>
      </c>
      <c r="AO1154" t="s">
        <v>106</v>
      </c>
      <c r="AP1154" t="s">
        <v>182</v>
      </c>
      <c r="AQ1154" t="s">
        <v>1770</v>
      </c>
      <c r="AR1154" t="s">
        <v>70</v>
      </c>
      <c r="AS1154">
        <v>701</v>
      </c>
      <c r="AT1154" t="s">
        <v>71</v>
      </c>
      <c r="AU1154">
        <v>-7.31</v>
      </c>
      <c r="AV1154">
        <v>-50.76</v>
      </c>
      <c r="AW1154" t="s">
        <v>72</v>
      </c>
      <c r="AX1154">
        <v>701</v>
      </c>
      <c r="AY1154" t="s">
        <v>71</v>
      </c>
      <c r="AZ1154">
        <v>-13.04</v>
      </c>
      <c r="BA1154">
        <v>-66.34</v>
      </c>
      <c r="BB1154" t="s">
        <v>73</v>
      </c>
    </row>
    <row r="1155" spans="1:54" x14ac:dyDescent="0.4">
      <c r="A1155">
        <v>1134215</v>
      </c>
      <c r="D1155" t="s">
        <v>54</v>
      </c>
      <c r="G1155">
        <v>1</v>
      </c>
      <c r="H1155" t="s">
        <v>56</v>
      </c>
      <c r="I1155" t="s">
        <v>57</v>
      </c>
      <c r="K1155" t="s">
        <v>102</v>
      </c>
      <c r="L1155" t="s">
        <v>1767</v>
      </c>
      <c r="M1155" t="s">
        <v>59</v>
      </c>
      <c r="O1155" t="s">
        <v>107</v>
      </c>
      <c r="P1155" t="s">
        <v>131</v>
      </c>
      <c r="R1155" t="s">
        <v>112</v>
      </c>
      <c r="S1155" t="s">
        <v>61</v>
      </c>
      <c r="T1155">
        <v>246.7</v>
      </c>
      <c r="U1155">
        <v>242</v>
      </c>
      <c r="V1155">
        <f>(T1155+U1155)/2</f>
        <v>244.35</v>
      </c>
      <c r="W1155">
        <f>T1155-U1155</f>
        <v>4.6999999999999886</v>
      </c>
      <c r="X1155">
        <v>26.700001</v>
      </c>
      <c r="Y1155">
        <v>-30.683332</v>
      </c>
      <c r="Z1155" t="s">
        <v>99</v>
      </c>
      <c r="AA1155" t="s">
        <v>86</v>
      </c>
      <c r="AB1155" t="s">
        <v>87</v>
      </c>
      <c r="AC1155" t="s">
        <v>776</v>
      </c>
      <c r="AD1155" t="s">
        <v>777</v>
      </c>
      <c r="AE1155" t="s">
        <v>90</v>
      </c>
      <c r="AG1155" t="s">
        <v>1768</v>
      </c>
      <c r="AH1155" t="s">
        <v>65</v>
      </c>
      <c r="AI1155" t="s">
        <v>784</v>
      </c>
      <c r="AJ1155">
        <v>1995</v>
      </c>
      <c r="AK1155" t="s">
        <v>1769</v>
      </c>
      <c r="AN1155" t="s">
        <v>94</v>
      </c>
      <c r="AO1155" t="s">
        <v>106</v>
      </c>
      <c r="AP1155" t="s">
        <v>182</v>
      </c>
      <c r="AQ1155" t="s">
        <v>1770</v>
      </c>
      <c r="AR1155" t="s">
        <v>70</v>
      </c>
      <c r="AS1155">
        <v>701</v>
      </c>
      <c r="AT1155" t="s">
        <v>71</v>
      </c>
      <c r="AU1155">
        <v>-7.31</v>
      </c>
      <c r="AV1155">
        <v>-50.76</v>
      </c>
      <c r="AW1155" t="s">
        <v>72</v>
      </c>
      <c r="AX1155">
        <v>701</v>
      </c>
      <c r="AY1155" t="s">
        <v>71</v>
      </c>
      <c r="AZ1155">
        <v>-13.04</v>
      </c>
      <c r="BA1155">
        <v>-66.34</v>
      </c>
      <c r="BB1155" t="s">
        <v>73</v>
      </c>
    </row>
    <row r="1156" spans="1:54" x14ac:dyDescent="0.4">
      <c r="A1156">
        <v>1134313</v>
      </c>
      <c r="D1156" t="s">
        <v>54</v>
      </c>
      <c r="E1156" t="s">
        <v>55</v>
      </c>
      <c r="G1156">
        <v>1</v>
      </c>
      <c r="H1156" t="s">
        <v>56</v>
      </c>
      <c r="I1156" t="s">
        <v>57</v>
      </c>
      <c r="K1156" t="s">
        <v>102</v>
      </c>
      <c r="L1156" t="s">
        <v>1771</v>
      </c>
      <c r="M1156" t="s">
        <v>59</v>
      </c>
      <c r="P1156" t="s">
        <v>131</v>
      </c>
      <c r="R1156" t="s">
        <v>112</v>
      </c>
      <c r="S1156" t="s">
        <v>61</v>
      </c>
      <c r="T1156">
        <v>246.7</v>
      </c>
      <c r="U1156">
        <v>242</v>
      </c>
      <c r="V1156">
        <f>(T1156+U1156)/2</f>
        <v>244.35</v>
      </c>
      <c r="W1156">
        <f>T1156-U1156</f>
        <v>4.6999999999999886</v>
      </c>
      <c r="X1156">
        <v>35.236111000000001</v>
      </c>
      <c r="Y1156">
        <v>-10.358333</v>
      </c>
      <c r="Z1156" t="s">
        <v>85</v>
      </c>
      <c r="AA1156" t="s">
        <v>455</v>
      </c>
      <c r="AB1156" t="s">
        <v>456</v>
      </c>
      <c r="AC1156" t="s">
        <v>457</v>
      </c>
      <c r="AD1156" t="s">
        <v>458</v>
      </c>
      <c r="AF1156" t="s">
        <v>459</v>
      </c>
      <c r="AG1156" t="s">
        <v>1772</v>
      </c>
      <c r="AH1156" t="s">
        <v>65</v>
      </c>
      <c r="AI1156" t="s">
        <v>413</v>
      </c>
      <c r="AJ1156">
        <v>2013</v>
      </c>
      <c r="AK1156" t="s">
        <v>1773</v>
      </c>
      <c r="AN1156" t="s">
        <v>121</v>
      </c>
      <c r="AO1156" t="s">
        <v>68</v>
      </c>
      <c r="AP1156" t="s">
        <v>69</v>
      </c>
      <c r="AQ1156" t="s">
        <v>1774</v>
      </c>
      <c r="AR1156" t="s">
        <v>70</v>
      </c>
      <c r="AS1156">
        <v>701</v>
      </c>
      <c r="AT1156" t="s">
        <v>71</v>
      </c>
      <c r="AU1156">
        <v>20.5</v>
      </c>
      <c r="AV1156">
        <v>-40.47</v>
      </c>
      <c r="AW1156" t="s">
        <v>72</v>
      </c>
      <c r="AX1156">
        <v>709</v>
      </c>
      <c r="AY1156" t="s">
        <v>71</v>
      </c>
      <c r="AZ1156">
        <v>22.49</v>
      </c>
      <c r="BA1156">
        <v>-53.48</v>
      </c>
      <c r="BB1156" t="s">
        <v>73</v>
      </c>
    </row>
    <row r="1157" spans="1:54" x14ac:dyDescent="0.4">
      <c r="A1157">
        <v>1163590</v>
      </c>
      <c r="D1157" t="s">
        <v>54</v>
      </c>
      <c r="G1157">
        <v>2</v>
      </c>
      <c r="H1157" t="s">
        <v>74</v>
      </c>
      <c r="I1157" t="s">
        <v>57</v>
      </c>
      <c r="K1157" t="s">
        <v>102</v>
      </c>
      <c r="L1157" t="s">
        <v>1789</v>
      </c>
      <c r="M1157" t="s">
        <v>59</v>
      </c>
      <c r="O1157" t="s">
        <v>76</v>
      </c>
      <c r="P1157" t="s">
        <v>131</v>
      </c>
      <c r="R1157" t="s">
        <v>112</v>
      </c>
      <c r="S1157" t="s">
        <v>61</v>
      </c>
      <c r="T1157">
        <v>246.7</v>
      </c>
      <c r="U1157">
        <v>242</v>
      </c>
      <c r="V1157">
        <f>(T1157+U1157)/2</f>
        <v>244.35</v>
      </c>
      <c r="W1157">
        <f>T1157-U1157</f>
        <v>4.6999999999999886</v>
      </c>
      <c r="X1157">
        <v>53.5</v>
      </c>
      <c r="Y1157">
        <v>52.533332999999999</v>
      </c>
      <c r="Z1157" t="s">
        <v>213</v>
      </c>
      <c r="AA1157" t="s">
        <v>139</v>
      </c>
      <c r="AB1157" t="s">
        <v>206</v>
      </c>
      <c r="AD1157" t="s">
        <v>1176</v>
      </c>
      <c r="AH1157" t="s">
        <v>65</v>
      </c>
      <c r="AI1157" t="s">
        <v>1790</v>
      </c>
      <c r="AJ1157">
        <v>1985</v>
      </c>
      <c r="AK1157" t="s">
        <v>1347</v>
      </c>
      <c r="AM1157" t="s">
        <v>1348</v>
      </c>
      <c r="AN1157" t="s">
        <v>121</v>
      </c>
      <c r="AO1157" t="s">
        <v>106</v>
      </c>
      <c r="AP1157" t="s">
        <v>69</v>
      </c>
      <c r="AQ1157" t="s">
        <v>1349</v>
      </c>
      <c r="AR1157" t="s">
        <v>70</v>
      </c>
      <c r="AS1157">
        <v>302</v>
      </c>
      <c r="AT1157" t="s">
        <v>71</v>
      </c>
      <c r="AU1157">
        <v>58.25</v>
      </c>
      <c r="AV1157">
        <v>41.34</v>
      </c>
      <c r="AW1157" t="s">
        <v>72</v>
      </c>
      <c r="AX1157">
        <v>301</v>
      </c>
      <c r="AY1157" t="s">
        <v>71</v>
      </c>
      <c r="AZ1157">
        <v>41.84</v>
      </c>
      <c r="BA1157">
        <v>33.630000000000003</v>
      </c>
      <c r="BB1157" t="s">
        <v>73</v>
      </c>
    </row>
    <row r="1158" spans="1:54" x14ac:dyDescent="0.4">
      <c r="A1158">
        <v>1242875</v>
      </c>
      <c r="D1158" t="s">
        <v>54</v>
      </c>
      <c r="G1158">
        <v>1</v>
      </c>
      <c r="H1158" t="s">
        <v>56</v>
      </c>
      <c r="I1158" t="s">
        <v>57</v>
      </c>
      <c r="K1158" t="s">
        <v>652</v>
      </c>
      <c r="L1158" t="s">
        <v>1006</v>
      </c>
      <c r="M1158" t="s">
        <v>59</v>
      </c>
      <c r="P1158" t="s">
        <v>131</v>
      </c>
      <c r="R1158" t="s">
        <v>112</v>
      </c>
      <c r="S1158" t="s">
        <v>61</v>
      </c>
      <c r="T1158">
        <v>246.7</v>
      </c>
      <c r="U1158">
        <v>242</v>
      </c>
      <c r="V1158">
        <f>(T1158+U1158)/2</f>
        <v>244.35</v>
      </c>
      <c r="W1158">
        <f>T1158-U1158</f>
        <v>4.6999999999999886</v>
      </c>
      <c r="X1158">
        <v>26.966667000000001</v>
      </c>
      <c r="Y1158">
        <v>-30.833331999999999</v>
      </c>
      <c r="Z1158" t="s">
        <v>99</v>
      </c>
      <c r="AA1158" t="s">
        <v>86</v>
      </c>
      <c r="AB1158" t="s">
        <v>87</v>
      </c>
      <c r="AE1158" t="s">
        <v>304</v>
      </c>
      <c r="AH1158" t="s">
        <v>65</v>
      </c>
      <c r="AI1158" t="s">
        <v>1002</v>
      </c>
      <c r="AJ1158">
        <v>1908</v>
      </c>
      <c r="AK1158" t="s">
        <v>1809</v>
      </c>
      <c r="AN1158" t="s">
        <v>375</v>
      </c>
      <c r="AO1158" t="s">
        <v>106</v>
      </c>
      <c r="AQ1158" t="s">
        <v>1810</v>
      </c>
      <c r="AR1158" t="s">
        <v>70</v>
      </c>
      <c r="AS1158">
        <v>701</v>
      </c>
      <c r="AT1158" t="s">
        <v>71</v>
      </c>
      <c r="AU1158">
        <v>-7.25</v>
      </c>
      <c r="AV1158">
        <v>-51.04</v>
      </c>
      <c r="AW1158" t="s">
        <v>72</v>
      </c>
      <c r="AX1158">
        <v>701</v>
      </c>
      <c r="AY1158" t="s">
        <v>71</v>
      </c>
      <c r="AZ1158">
        <v>-12.95</v>
      </c>
      <c r="BA1158">
        <v>-66.61</v>
      </c>
      <c r="BB1158" t="s">
        <v>73</v>
      </c>
    </row>
    <row r="1159" spans="1:54" x14ac:dyDescent="0.4">
      <c r="A1159">
        <v>1266936</v>
      </c>
      <c r="D1159" t="s">
        <v>54</v>
      </c>
      <c r="G1159">
        <v>1</v>
      </c>
      <c r="H1159" t="s">
        <v>56</v>
      </c>
      <c r="I1159" t="s">
        <v>57</v>
      </c>
      <c r="K1159" t="s">
        <v>102</v>
      </c>
      <c r="L1159" t="s">
        <v>1297</v>
      </c>
      <c r="M1159" t="s">
        <v>59</v>
      </c>
      <c r="P1159" t="s">
        <v>131</v>
      </c>
      <c r="R1159" t="s">
        <v>112</v>
      </c>
      <c r="S1159" t="s">
        <v>61</v>
      </c>
      <c r="T1159">
        <v>246.7</v>
      </c>
      <c r="U1159">
        <v>242</v>
      </c>
      <c r="V1159">
        <f>(T1159+U1159)/2</f>
        <v>244.35</v>
      </c>
      <c r="W1159">
        <f>T1159-U1159</f>
        <v>4.6999999999999886</v>
      </c>
      <c r="X1159">
        <v>26.700001</v>
      </c>
      <c r="Y1159">
        <v>-30.683332</v>
      </c>
      <c r="Z1159" t="s">
        <v>99</v>
      </c>
      <c r="AA1159" t="s">
        <v>86</v>
      </c>
      <c r="AB1159" t="s">
        <v>87</v>
      </c>
      <c r="AC1159" t="s">
        <v>776</v>
      </c>
      <c r="AD1159" t="s">
        <v>777</v>
      </c>
      <c r="AE1159" t="s">
        <v>90</v>
      </c>
      <c r="AG1159" t="s">
        <v>778</v>
      </c>
      <c r="AH1159" t="s">
        <v>65</v>
      </c>
      <c r="AI1159" t="s">
        <v>554</v>
      </c>
      <c r="AJ1159">
        <v>1999</v>
      </c>
      <c r="AK1159" t="s">
        <v>1811</v>
      </c>
      <c r="AN1159" t="s">
        <v>94</v>
      </c>
      <c r="AO1159" t="s">
        <v>106</v>
      </c>
      <c r="AP1159" t="s">
        <v>182</v>
      </c>
      <c r="AQ1159" t="s">
        <v>1812</v>
      </c>
      <c r="AR1159" t="s">
        <v>70</v>
      </c>
      <c r="AS1159">
        <v>701</v>
      </c>
      <c r="AT1159" t="s">
        <v>71</v>
      </c>
      <c r="AU1159">
        <v>-7.31</v>
      </c>
      <c r="AV1159">
        <v>-50.76</v>
      </c>
      <c r="AW1159" t="s">
        <v>72</v>
      </c>
      <c r="AX1159">
        <v>701</v>
      </c>
      <c r="AY1159" t="s">
        <v>71</v>
      </c>
      <c r="AZ1159">
        <v>-13.04</v>
      </c>
      <c r="BA1159">
        <v>-66.34</v>
      </c>
      <c r="BB1159" t="s">
        <v>73</v>
      </c>
    </row>
    <row r="1160" spans="1:54" x14ac:dyDescent="0.4">
      <c r="A1160">
        <v>1284944</v>
      </c>
      <c r="D1160" t="s">
        <v>54</v>
      </c>
      <c r="E1160" t="s">
        <v>104</v>
      </c>
      <c r="G1160">
        <v>1</v>
      </c>
      <c r="H1160" t="s">
        <v>56</v>
      </c>
      <c r="I1160" t="s">
        <v>57</v>
      </c>
      <c r="K1160" t="s">
        <v>102</v>
      </c>
      <c r="L1160" t="s">
        <v>1814</v>
      </c>
      <c r="M1160" t="s">
        <v>59</v>
      </c>
      <c r="O1160" t="s">
        <v>107</v>
      </c>
      <c r="P1160" t="s">
        <v>131</v>
      </c>
      <c r="R1160" t="s">
        <v>112</v>
      </c>
      <c r="S1160" t="s">
        <v>61</v>
      </c>
      <c r="T1160">
        <v>246.7</v>
      </c>
      <c r="U1160">
        <v>242</v>
      </c>
      <c r="V1160">
        <f>(T1160+U1160)/2</f>
        <v>244.35</v>
      </c>
      <c r="W1160">
        <f>T1160-U1160</f>
        <v>4.6999999999999886</v>
      </c>
      <c r="X1160">
        <v>26.623055999999998</v>
      </c>
      <c r="Y1160">
        <v>-30.612223</v>
      </c>
      <c r="Z1160" t="s">
        <v>99</v>
      </c>
      <c r="AA1160" t="s">
        <v>86</v>
      </c>
      <c r="AB1160" t="s">
        <v>546</v>
      </c>
      <c r="AD1160" t="s">
        <v>777</v>
      </c>
      <c r="AE1160" t="s">
        <v>90</v>
      </c>
      <c r="AH1160" t="s">
        <v>65</v>
      </c>
      <c r="AI1160" t="s">
        <v>472</v>
      </c>
      <c r="AJ1160">
        <v>2015</v>
      </c>
      <c r="AK1160" t="s">
        <v>1815</v>
      </c>
      <c r="AN1160" t="s">
        <v>67</v>
      </c>
      <c r="AO1160" t="s">
        <v>68</v>
      </c>
      <c r="AR1160" t="s">
        <v>70</v>
      </c>
      <c r="AS1160">
        <v>701</v>
      </c>
      <c r="AT1160" t="s">
        <v>71</v>
      </c>
      <c r="AU1160">
        <v>-7.29</v>
      </c>
      <c r="AV1160">
        <v>-50.67</v>
      </c>
      <c r="AW1160" t="s">
        <v>72</v>
      </c>
      <c r="AX1160">
        <v>701</v>
      </c>
      <c r="AY1160" t="s">
        <v>71</v>
      </c>
      <c r="AZ1160">
        <v>-13.01</v>
      </c>
      <c r="BA1160">
        <v>-66.25</v>
      </c>
      <c r="BB1160" t="s">
        <v>73</v>
      </c>
    </row>
    <row r="1161" spans="1:54" x14ac:dyDescent="0.4">
      <c r="A1161">
        <v>1284945</v>
      </c>
      <c r="D1161" t="s">
        <v>54</v>
      </c>
      <c r="E1161" t="s">
        <v>104</v>
      </c>
      <c r="I1161" t="s">
        <v>57</v>
      </c>
      <c r="K1161" t="s">
        <v>652</v>
      </c>
      <c r="L1161" t="s">
        <v>1006</v>
      </c>
      <c r="M1161" t="s">
        <v>59</v>
      </c>
      <c r="P1161" t="s">
        <v>131</v>
      </c>
      <c r="R1161" t="s">
        <v>112</v>
      </c>
      <c r="S1161" t="s">
        <v>61</v>
      </c>
      <c r="T1161">
        <v>246.7</v>
      </c>
      <c r="U1161">
        <v>242</v>
      </c>
      <c r="V1161">
        <f>(T1161+U1161)/2</f>
        <v>244.35</v>
      </c>
      <c r="W1161">
        <f>T1161-U1161</f>
        <v>4.6999999999999886</v>
      </c>
      <c r="X1161">
        <v>26.623055999999998</v>
      </c>
      <c r="Y1161">
        <v>-30.612223</v>
      </c>
      <c r="Z1161" t="s">
        <v>99</v>
      </c>
      <c r="AA1161" t="s">
        <v>86</v>
      </c>
      <c r="AB1161" t="s">
        <v>546</v>
      </c>
      <c r="AD1161" t="s">
        <v>777</v>
      </c>
      <c r="AE1161" t="s">
        <v>90</v>
      </c>
      <c r="AH1161" t="s">
        <v>65</v>
      </c>
      <c r="AI1161" t="s">
        <v>472</v>
      </c>
      <c r="AJ1161">
        <v>2015</v>
      </c>
      <c r="AK1161" t="s">
        <v>1815</v>
      </c>
      <c r="AN1161" t="s">
        <v>67</v>
      </c>
      <c r="AO1161" t="s">
        <v>68</v>
      </c>
      <c r="AR1161" t="s">
        <v>70</v>
      </c>
      <c r="AS1161">
        <v>701</v>
      </c>
      <c r="AT1161" t="s">
        <v>71</v>
      </c>
      <c r="AU1161">
        <v>-7.29</v>
      </c>
      <c r="AV1161">
        <v>-50.67</v>
      </c>
      <c r="AW1161" t="s">
        <v>72</v>
      </c>
      <c r="AX1161">
        <v>701</v>
      </c>
      <c r="AY1161" t="s">
        <v>71</v>
      </c>
      <c r="AZ1161">
        <v>-13.01</v>
      </c>
      <c r="BA1161">
        <v>-66.25</v>
      </c>
      <c r="BB1161" t="s">
        <v>73</v>
      </c>
    </row>
    <row r="1162" spans="1:54" x14ac:dyDescent="0.4">
      <c r="A1162">
        <v>1308749</v>
      </c>
      <c r="D1162" t="s">
        <v>54</v>
      </c>
      <c r="E1162" t="s">
        <v>55</v>
      </c>
      <c r="G1162">
        <v>1</v>
      </c>
      <c r="H1162" t="s">
        <v>56</v>
      </c>
      <c r="I1162" t="s">
        <v>57</v>
      </c>
      <c r="K1162" t="s">
        <v>652</v>
      </c>
      <c r="L1162" t="s">
        <v>1416</v>
      </c>
      <c r="M1162" t="s">
        <v>59</v>
      </c>
      <c r="P1162" t="s">
        <v>131</v>
      </c>
      <c r="R1162" t="s">
        <v>112</v>
      </c>
      <c r="S1162" t="s">
        <v>61</v>
      </c>
      <c r="T1162">
        <v>246.7</v>
      </c>
      <c r="U1162">
        <v>242</v>
      </c>
      <c r="V1162">
        <f>(T1162+U1162)/2</f>
        <v>244.35</v>
      </c>
      <c r="W1162">
        <f>T1162-U1162</f>
        <v>4.6999999999999886</v>
      </c>
      <c r="X1162">
        <v>110.44388600000001</v>
      </c>
      <c r="Y1162">
        <v>36.147221000000002</v>
      </c>
      <c r="Z1162" t="s">
        <v>99</v>
      </c>
      <c r="AA1162" t="s">
        <v>186</v>
      </c>
      <c r="AB1162" t="s">
        <v>503</v>
      </c>
      <c r="AD1162" t="s">
        <v>1053</v>
      </c>
      <c r="AF1162" t="s">
        <v>415</v>
      </c>
      <c r="AH1162" t="s">
        <v>65</v>
      </c>
      <c r="AI1162" t="s">
        <v>627</v>
      </c>
      <c r="AJ1162">
        <v>2013</v>
      </c>
      <c r="AK1162" t="s">
        <v>1876</v>
      </c>
      <c r="AN1162" t="s">
        <v>94</v>
      </c>
      <c r="AO1162" t="s">
        <v>68</v>
      </c>
      <c r="AP1162" t="s">
        <v>95</v>
      </c>
      <c r="AR1162" t="s">
        <v>70</v>
      </c>
      <c r="AS1162">
        <v>604</v>
      </c>
      <c r="AT1162" t="s">
        <v>71</v>
      </c>
      <c r="AU1162">
        <v>116.15</v>
      </c>
      <c r="AV1162">
        <v>14.19</v>
      </c>
      <c r="AW1162" t="s">
        <v>72</v>
      </c>
      <c r="AX1162">
        <v>604</v>
      </c>
      <c r="AY1162" t="s">
        <v>71</v>
      </c>
      <c r="AZ1162">
        <v>89.06</v>
      </c>
      <c r="BA1162">
        <v>36.19</v>
      </c>
      <c r="BB1162" t="s">
        <v>73</v>
      </c>
    </row>
    <row r="1163" spans="1:54" x14ac:dyDescent="0.4">
      <c r="A1163">
        <v>1332742</v>
      </c>
      <c r="D1163" t="s">
        <v>54</v>
      </c>
      <c r="I1163" t="s">
        <v>57</v>
      </c>
      <c r="K1163" t="s">
        <v>652</v>
      </c>
      <c r="L1163" t="s">
        <v>1006</v>
      </c>
      <c r="M1163" t="s">
        <v>59</v>
      </c>
      <c r="P1163" t="s">
        <v>131</v>
      </c>
      <c r="R1163" t="s">
        <v>112</v>
      </c>
      <c r="S1163" t="s">
        <v>61</v>
      </c>
      <c r="T1163">
        <v>246.7</v>
      </c>
      <c r="U1163">
        <v>242</v>
      </c>
      <c r="V1163">
        <f>(T1163+U1163)/2</f>
        <v>244.35</v>
      </c>
      <c r="W1163">
        <f>T1163-U1163</f>
        <v>4.6999999999999886</v>
      </c>
      <c r="X1163">
        <v>27.241112000000001</v>
      </c>
      <c r="Y1163">
        <v>-31.712499999999999</v>
      </c>
      <c r="Z1163" t="s">
        <v>99</v>
      </c>
      <c r="AA1163" t="s">
        <v>86</v>
      </c>
      <c r="AB1163" t="s">
        <v>87</v>
      </c>
      <c r="AD1163" t="s">
        <v>777</v>
      </c>
      <c r="AE1163" t="s">
        <v>90</v>
      </c>
      <c r="AG1163" t="s">
        <v>1911</v>
      </c>
      <c r="AH1163" t="s">
        <v>65</v>
      </c>
      <c r="AI1163" t="s">
        <v>1514</v>
      </c>
      <c r="AJ1163">
        <v>1977</v>
      </c>
      <c r="AK1163" t="s">
        <v>1912</v>
      </c>
      <c r="AN1163" t="s">
        <v>121</v>
      </c>
      <c r="AO1163" t="s">
        <v>68</v>
      </c>
      <c r="AP1163" t="s">
        <v>69</v>
      </c>
      <c r="AQ1163" t="s">
        <v>1913</v>
      </c>
      <c r="AR1163" t="s">
        <v>70</v>
      </c>
      <c r="AS1163">
        <v>701</v>
      </c>
      <c r="AT1163" t="s">
        <v>71</v>
      </c>
      <c r="AU1163">
        <v>-8.09</v>
      </c>
      <c r="AV1163">
        <v>-51.78</v>
      </c>
      <c r="AW1163" t="s">
        <v>72</v>
      </c>
      <c r="AX1163">
        <v>701</v>
      </c>
      <c r="AY1163" t="s">
        <v>71</v>
      </c>
      <c r="AZ1163">
        <v>-14.29</v>
      </c>
      <c r="BA1163">
        <v>-67.36</v>
      </c>
      <c r="BB1163" t="s">
        <v>73</v>
      </c>
    </row>
    <row r="1164" spans="1:54" x14ac:dyDescent="0.4">
      <c r="A1164">
        <v>1340356</v>
      </c>
      <c r="D1164" t="s">
        <v>54</v>
      </c>
      <c r="E1164" t="s">
        <v>55</v>
      </c>
      <c r="F1164" t="s">
        <v>434</v>
      </c>
      <c r="G1164">
        <v>3</v>
      </c>
      <c r="H1164" t="s">
        <v>74</v>
      </c>
      <c r="I1164" t="s">
        <v>57</v>
      </c>
      <c r="K1164" t="s">
        <v>109</v>
      </c>
      <c r="L1164" t="s">
        <v>1292</v>
      </c>
      <c r="M1164" t="s">
        <v>59</v>
      </c>
      <c r="N1164" t="s">
        <v>97</v>
      </c>
      <c r="P1164" t="s">
        <v>131</v>
      </c>
      <c r="R1164" t="s">
        <v>112</v>
      </c>
      <c r="S1164" t="s">
        <v>61</v>
      </c>
      <c r="T1164">
        <v>246.7</v>
      </c>
      <c r="U1164">
        <v>242</v>
      </c>
      <c r="V1164">
        <f>(T1164+U1164)/2</f>
        <v>244.35</v>
      </c>
      <c r="W1164">
        <f>T1164-U1164</f>
        <v>4.6999999999999886</v>
      </c>
      <c r="X1164">
        <v>35.133330999999998</v>
      </c>
      <c r="Y1164">
        <v>-10.3</v>
      </c>
      <c r="Z1164" t="s">
        <v>99</v>
      </c>
      <c r="AA1164" t="s">
        <v>455</v>
      </c>
      <c r="AB1164" t="s">
        <v>456</v>
      </c>
      <c r="AD1164" t="s">
        <v>458</v>
      </c>
      <c r="AF1164" t="s">
        <v>459</v>
      </c>
      <c r="AG1164" t="s">
        <v>460</v>
      </c>
      <c r="AH1164" t="s">
        <v>65</v>
      </c>
      <c r="AI1164" t="s">
        <v>1921</v>
      </c>
      <c r="AJ1164">
        <v>2016</v>
      </c>
      <c r="AK1164" t="s">
        <v>1922</v>
      </c>
      <c r="AN1164" t="s">
        <v>94</v>
      </c>
      <c r="AO1164" t="s">
        <v>106</v>
      </c>
      <c r="AP1164" t="s">
        <v>95</v>
      </c>
      <c r="AQ1164" t="s">
        <v>1923</v>
      </c>
      <c r="AR1164" t="s">
        <v>70</v>
      </c>
      <c r="AS1164">
        <v>701</v>
      </c>
      <c r="AT1164" t="s">
        <v>71</v>
      </c>
      <c r="AU1164">
        <v>20.43</v>
      </c>
      <c r="AV1164">
        <v>-40.369999999999997</v>
      </c>
      <c r="AW1164" t="s">
        <v>72</v>
      </c>
      <c r="AX1164">
        <v>709</v>
      </c>
      <c r="AY1164" t="s">
        <v>71</v>
      </c>
      <c r="AZ1164">
        <v>22.36</v>
      </c>
      <c r="BA1164">
        <v>-53.39</v>
      </c>
      <c r="BB1164" t="s">
        <v>73</v>
      </c>
    </row>
    <row r="1165" spans="1:54" x14ac:dyDescent="0.4">
      <c r="A1165">
        <v>1340357</v>
      </c>
      <c r="D1165" t="s">
        <v>54</v>
      </c>
      <c r="G1165">
        <v>1</v>
      </c>
      <c r="H1165" t="s">
        <v>74</v>
      </c>
      <c r="I1165" t="s">
        <v>57</v>
      </c>
      <c r="K1165" t="s">
        <v>109</v>
      </c>
      <c r="L1165" t="s">
        <v>1292</v>
      </c>
      <c r="M1165" t="s">
        <v>59</v>
      </c>
      <c r="N1165" t="s">
        <v>97</v>
      </c>
      <c r="P1165" t="s">
        <v>131</v>
      </c>
      <c r="R1165" t="s">
        <v>112</v>
      </c>
      <c r="S1165" t="s">
        <v>61</v>
      </c>
      <c r="T1165">
        <v>246.7</v>
      </c>
      <c r="U1165">
        <v>242</v>
      </c>
      <c r="V1165">
        <f>(T1165+U1165)/2</f>
        <v>244.35</v>
      </c>
      <c r="W1165">
        <f>T1165-U1165</f>
        <v>4.6999999999999886</v>
      </c>
      <c r="X1165">
        <v>35.133330999999998</v>
      </c>
      <c r="Y1165">
        <v>-10.3</v>
      </c>
      <c r="Z1165" t="s">
        <v>99</v>
      </c>
      <c r="AA1165" t="s">
        <v>455</v>
      </c>
      <c r="AB1165" t="s">
        <v>456</v>
      </c>
      <c r="AD1165" t="s">
        <v>458</v>
      </c>
      <c r="AF1165" t="s">
        <v>459</v>
      </c>
      <c r="AG1165" t="s">
        <v>460</v>
      </c>
      <c r="AH1165" t="s">
        <v>65</v>
      </c>
      <c r="AI1165" t="s">
        <v>1921</v>
      </c>
      <c r="AJ1165">
        <v>2016</v>
      </c>
      <c r="AK1165" t="s">
        <v>1924</v>
      </c>
      <c r="AN1165" t="s">
        <v>94</v>
      </c>
      <c r="AO1165" t="s">
        <v>106</v>
      </c>
      <c r="AP1165" t="s">
        <v>95</v>
      </c>
      <c r="AQ1165" t="s">
        <v>1923</v>
      </c>
      <c r="AR1165" t="s">
        <v>70</v>
      </c>
      <c r="AS1165">
        <v>701</v>
      </c>
      <c r="AT1165" t="s">
        <v>71</v>
      </c>
      <c r="AU1165">
        <v>20.43</v>
      </c>
      <c r="AV1165">
        <v>-40.369999999999997</v>
      </c>
      <c r="AW1165" t="s">
        <v>72</v>
      </c>
      <c r="AX1165">
        <v>709</v>
      </c>
      <c r="AY1165" t="s">
        <v>71</v>
      </c>
      <c r="AZ1165">
        <v>22.36</v>
      </c>
      <c r="BA1165">
        <v>-53.39</v>
      </c>
      <c r="BB1165" t="s">
        <v>73</v>
      </c>
    </row>
    <row r="1166" spans="1:54" x14ac:dyDescent="0.4">
      <c r="A1166">
        <v>1340358</v>
      </c>
      <c r="D1166" t="s">
        <v>54</v>
      </c>
      <c r="E1166" t="s">
        <v>55</v>
      </c>
      <c r="F1166" t="s">
        <v>434</v>
      </c>
      <c r="G1166">
        <v>1</v>
      </c>
      <c r="H1166" t="s">
        <v>56</v>
      </c>
      <c r="I1166" t="s">
        <v>57</v>
      </c>
      <c r="K1166" t="s">
        <v>109</v>
      </c>
      <c r="L1166" t="s">
        <v>1292</v>
      </c>
      <c r="M1166" t="s">
        <v>59</v>
      </c>
      <c r="N1166" t="s">
        <v>97</v>
      </c>
      <c r="P1166" t="s">
        <v>131</v>
      </c>
      <c r="R1166" t="s">
        <v>112</v>
      </c>
      <c r="S1166" t="s">
        <v>61</v>
      </c>
      <c r="T1166">
        <v>246.7</v>
      </c>
      <c r="U1166">
        <v>242</v>
      </c>
      <c r="V1166">
        <f>(T1166+U1166)/2</f>
        <v>244.35</v>
      </c>
      <c r="W1166">
        <f>T1166-U1166</f>
        <v>4.6999999999999886</v>
      </c>
      <c r="X1166">
        <v>35.341800999999997</v>
      </c>
      <c r="Y1166">
        <v>-10.128299999999999</v>
      </c>
      <c r="Z1166" t="s">
        <v>99</v>
      </c>
      <c r="AA1166" t="s">
        <v>455</v>
      </c>
      <c r="AB1166" t="s">
        <v>456</v>
      </c>
      <c r="AD1166" t="s">
        <v>458</v>
      </c>
      <c r="AF1166" t="s">
        <v>459</v>
      </c>
      <c r="AG1166" t="s">
        <v>460</v>
      </c>
      <c r="AH1166" t="s">
        <v>65</v>
      </c>
      <c r="AI1166" t="s">
        <v>1921</v>
      </c>
      <c r="AJ1166">
        <v>2016</v>
      </c>
      <c r="AK1166" t="s">
        <v>1925</v>
      </c>
      <c r="AN1166" t="s">
        <v>94</v>
      </c>
      <c r="AO1166">
        <v>4</v>
      </c>
      <c r="AP1166" t="s">
        <v>95</v>
      </c>
      <c r="AQ1166" t="s">
        <v>1926</v>
      </c>
      <c r="AR1166" t="s">
        <v>70</v>
      </c>
      <c r="AS1166">
        <v>701</v>
      </c>
      <c r="AT1166" t="s">
        <v>71</v>
      </c>
      <c r="AU1166">
        <v>20.77</v>
      </c>
      <c r="AV1166">
        <v>-40.33</v>
      </c>
      <c r="AW1166" t="s">
        <v>72</v>
      </c>
      <c r="AX1166">
        <v>709</v>
      </c>
      <c r="AY1166" t="s">
        <v>71</v>
      </c>
      <c r="AZ1166">
        <v>22.77</v>
      </c>
      <c r="BA1166">
        <v>-53.29</v>
      </c>
      <c r="BB1166" t="s">
        <v>73</v>
      </c>
    </row>
    <row r="1167" spans="1:54" x14ac:dyDescent="0.4">
      <c r="A1167">
        <v>1340358</v>
      </c>
      <c r="D1167" t="s">
        <v>54</v>
      </c>
      <c r="E1167" t="s">
        <v>55</v>
      </c>
      <c r="F1167" t="s">
        <v>434</v>
      </c>
      <c r="G1167">
        <v>1</v>
      </c>
      <c r="H1167" t="s">
        <v>56</v>
      </c>
      <c r="I1167" t="s">
        <v>57</v>
      </c>
      <c r="K1167" t="s">
        <v>109</v>
      </c>
      <c r="L1167" t="s">
        <v>1292</v>
      </c>
      <c r="M1167" t="s">
        <v>59</v>
      </c>
      <c r="N1167" t="s">
        <v>97</v>
      </c>
      <c r="P1167" t="s">
        <v>131</v>
      </c>
      <c r="R1167" t="s">
        <v>112</v>
      </c>
      <c r="S1167" t="s">
        <v>61</v>
      </c>
      <c r="T1167">
        <v>246.7</v>
      </c>
      <c r="U1167">
        <v>242</v>
      </c>
      <c r="V1167">
        <f>(T1167+U1167)/2</f>
        <v>244.35</v>
      </c>
      <c r="W1167">
        <f>T1167-U1167</f>
        <v>4.6999999999999886</v>
      </c>
      <c r="X1167">
        <v>35.341800999999997</v>
      </c>
      <c r="Y1167">
        <v>-10.128299999999999</v>
      </c>
      <c r="Z1167" t="s">
        <v>99</v>
      </c>
      <c r="AA1167" t="s">
        <v>455</v>
      </c>
      <c r="AB1167" t="s">
        <v>456</v>
      </c>
      <c r="AD1167" t="s">
        <v>458</v>
      </c>
      <c r="AF1167" t="s">
        <v>459</v>
      </c>
      <c r="AG1167" t="s">
        <v>460</v>
      </c>
      <c r="AH1167" t="s">
        <v>65</v>
      </c>
      <c r="AI1167" t="s">
        <v>1921</v>
      </c>
      <c r="AJ1167">
        <v>2016</v>
      </c>
      <c r="AK1167" t="s">
        <v>1925</v>
      </c>
      <c r="AN1167" t="s">
        <v>94</v>
      </c>
      <c r="AO1167">
        <v>4</v>
      </c>
      <c r="AP1167" t="s">
        <v>95</v>
      </c>
      <c r="AQ1167" t="s">
        <v>1926</v>
      </c>
      <c r="AR1167" t="s">
        <v>70</v>
      </c>
      <c r="AS1167">
        <v>701</v>
      </c>
      <c r="AT1167" t="s">
        <v>71</v>
      </c>
      <c r="AU1167">
        <v>20.77</v>
      </c>
      <c r="AV1167">
        <v>-40.33</v>
      </c>
      <c r="AW1167" t="s">
        <v>72</v>
      </c>
      <c r="AX1167">
        <v>709</v>
      </c>
      <c r="AY1167" t="s">
        <v>71</v>
      </c>
      <c r="AZ1167">
        <v>22.77</v>
      </c>
      <c r="BA1167">
        <v>-53.29</v>
      </c>
      <c r="BB1167" t="s">
        <v>73</v>
      </c>
    </row>
    <row r="1168" spans="1:54" x14ac:dyDescent="0.4">
      <c r="A1168">
        <v>1347585</v>
      </c>
      <c r="D1168" t="s">
        <v>54</v>
      </c>
      <c r="G1168">
        <v>1</v>
      </c>
      <c r="H1168" t="s">
        <v>74</v>
      </c>
      <c r="I1168" t="s">
        <v>57</v>
      </c>
      <c r="K1168" t="s">
        <v>355</v>
      </c>
      <c r="L1168" t="s">
        <v>1745</v>
      </c>
      <c r="M1168" t="s">
        <v>59</v>
      </c>
      <c r="P1168" t="s">
        <v>131</v>
      </c>
      <c r="R1168" t="s">
        <v>112</v>
      </c>
      <c r="S1168" t="s">
        <v>61</v>
      </c>
      <c r="T1168">
        <v>246.7</v>
      </c>
      <c r="U1168">
        <v>242</v>
      </c>
      <c r="V1168">
        <f>(T1168+U1168)/2</f>
        <v>244.35</v>
      </c>
      <c r="W1168">
        <f>T1168-U1168</f>
        <v>4.6999999999999886</v>
      </c>
      <c r="X1168">
        <v>8.3430560000000007</v>
      </c>
      <c r="Y1168">
        <v>47.819443</v>
      </c>
      <c r="Z1168" t="s">
        <v>268</v>
      </c>
      <c r="AA1168" t="s">
        <v>128</v>
      </c>
      <c r="AB1168" t="s">
        <v>129</v>
      </c>
      <c r="AE1168" t="s">
        <v>463</v>
      </c>
      <c r="AH1168" t="s">
        <v>65</v>
      </c>
      <c r="AI1168" t="s">
        <v>1932</v>
      </c>
      <c r="AJ1168">
        <v>1984</v>
      </c>
      <c r="AK1168" t="s">
        <v>1933</v>
      </c>
      <c r="AN1168" t="s">
        <v>94</v>
      </c>
      <c r="AO1168" t="s">
        <v>68</v>
      </c>
      <c r="AP1168" t="s">
        <v>95</v>
      </c>
      <c r="AR1168" t="s">
        <v>70</v>
      </c>
      <c r="AS1168">
        <v>305</v>
      </c>
      <c r="AT1168" t="s">
        <v>71</v>
      </c>
      <c r="AU1168">
        <v>28.32</v>
      </c>
      <c r="AV1168">
        <v>26.34</v>
      </c>
      <c r="AW1168" t="s">
        <v>72</v>
      </c>
      <c r="AX1168">
        <v>305</v>
      </c>
      <c r="AY1168" t="s">
        <v>71</v>
      </c>
      <c r="AZ1168">
        <v>19.21</v>
      </c>
      <c r="BA1168">
        <v>13.44</v>
      </c>
      <c r="BB1168" t="s">
        <v>73</v>
      </c>
    </row>
    <row r="1169" spans="1:54" x14ac:dyDescent="0.4">
      <c r="A1169">
        <v>1363319</v>
      </c>
      <c r="D1169" t="s">
        <v>54</v>
      </c>
      <c r="E1169" t="s">
        <v>55</v>
      </c>
      <c r="G1169">
        <v>1</v>
      </c>
      <c r="H1169" t="s">
        <v>56</v>
      </c>
      <c r="I1169" t="s">
        <v>57</v>
      </c>
      <c r="K1169" t="s">
        <v>102</v>
      </c>
      <c r="L1169" t="s">
        <v>1961</v>
      </c>
      <c r="M1169" t="s">
        <v>59</v>
      </c>
      <c r="P1169" t="s">
        <v>131</v>
      </c>
      <c r="R1169" t="s">
        <v>112</v>
      </c>
      <c r="S1169" t="s">
        <v>61</v>
      </c>
      <c r="T1169">
        <v>246.7</v>
      </c>
      <c r="U1169">
        <v>242</v>
      </c>
      <c r="V1169">
        <f>(T1169+U1169)/2</f>
        <v>244.35</v>
      </c>
      <c r="W1169">
        <f>T1169-U1169</f>
        <v>4.6999999999999886</v>
      </c>
      <c r="X1169">
        <v>34.914295000000003</v>
      </c>
      <c r="Y1169">
        <v>-10.35591</v>
      </c>
      <c r="Z1169" t="s">
        <v>113</v>
      </c>
      <c r="AA1169" t="s">
        <v>455</v>
      </c>
      <c r="AB1169" t="s">
        <v>456</v>
      </c>
      <c r="AD1169" t="s">
        <v>458</v>
      </c>
      <c r="AF1169" t="s">
        <v>459</v>
      </c>
      <c r="AG1169" t="s">
        <v>1962</v>
      </c>
      <c r="AH1169" t="s">
        <v>65</v>
      </c>
      <c r="AI1169" t="s">
        <v>1131</v>
      </c>
      <c r="AJ1169">
        <v>1967</v>
      </c>
      <c r="AK1169" t="s">
        <v>1963</v>
      </c>
      <c r="AN1169" t="s">
        <v>121</v>
      </c>
      <c r="AO1169">
        <v>5</v>
      </c>
      <c r="AP1169" t="s">
        <v>69</v>
      </c>
      <c r="AQ1169" t="s">
        <v>1964</v>
      </c>
      <c r="AR1169" t="s">
        <v>70</v>
      </c>
      <c r="AS1169">
        <v>701</v>
      </c>
      <c r="AT1169" t="s">
        <v>71</v>
      </c>
      <c r="AU1169">
        <v>20.149999999999999</v>
      </c>
      <c r="AV1169">
        <v>-40.299999999999997</v>
      </c>
      <c r="AW1169" t="s">
        <v>72</v>
      </c>
      <c r="AX1169">
        <v>709</v>
      </c>
      <c r="AY1169" t="s">
        <v>71</v>
      </c>
      <c r="AZ1169">
        <v>21.98</v>
      </c>
      <c r="BA1169">
        <v>-53.39</v>
      </c>
      <c r="BB1169" t="s">
        <v>73</v>
      </c>
    </row>
    <row r="1170" spans="1:54" x14ac:dyDescent="0.4">
      <c r="A1170">
        <v>1375740</v>
      </c>
      <c r="D1170" t="s">
        <v>54</v>
      </c>
      <c r="E1170" t="s">
        <v>55</v>
      </c>
      <c r="I1170" t="s">
        <v>57</v>
      </c>
      <c r="K1170" t="s">
        <v>102</v>
      </c>
      <c r="L1170" t="s">
        <v>1961</v>
      </c>
      <c r="M1170" t="s">
        <v>59</v>
      </c>
      <c r="P1170" t="s">
        <v>131</v>
      </c>
      <c r="R1170" t="s">
        <v>112</v>
      </c>
      <c r="S1170" t="s">
        <v>61</v>
      </c>
      <c r="T1170">
        <v>246.7</v>
      </c>
      <c r="U1170">
        <v>242</v>
      </c>
      <c r="V1170">
        <f>(T1170+U1170)/2</f>
        <v>244.35</v>
      </c>
      <c r="W1170">
        <f>T1170-U1170</f>
        <v>4.6999999999999886</v>
      </c>
      <c r="X1170">
        <v>34.914295000000003</v>
      </c>
      <c r="Y1170">
        <v>-10.35591</v>
      </c>
      <c r="Z1170" t="s">
        <v>113</v>
      </c>
      <c r="AA1170" t="s">
        <v>455</v>
      </c>
      <c r="AB1170" t="s">
        <v>456</v>
      </c>
      <c r="AD1170" t="s">
        <v>458</v>
      </c>
      <c r="AF1170" t="s">
        <v>459</v>
      </c>
      <c r="AG1170" t="s">
        <v>1962</v>
      </c>
      <c r="AH1170" t="s">
        <v>65</v>
      </c>
      <c r="AI1170" t="s">
        <v>413</v>
      </c>
      <c r="AJ1170">
        <v>2017</v>
      </c>
      <c r="AK1170" t="s">
        <v>1980</v>
      </c>
      <c r="AN1170" t="s">
        <v>121</v>
      </c>
      <c r="AO1170">
        <v>5</v>
      </c>
      <c r="AP1170" t="s">
        <v>69</v>
      </c>
      <c r="AQ1170" t="s">
        <v>1981</v>
      </c>
      <c r="AR1170" t="s">
        <v>70</v>
      </c>
      <c r="AS1170">
        <v>701</v>
      </c>
      <c r="AT1170" t="s">
        <v>71</v>
      </c>
      <c r="AU1170">
        <v>20.149999999999999</v>
      </c>
      <c r="AV1170">
        <v>-40.299999999999997</v>
      </c>
      <c r="AW1170" t="s">
        <v>72</v>
      </c>
      <c r="AX1170">
        <v>709</v>
      </c>
      <c r="AY1170" t="s">
        <v>71</v>
      </c>
      <c r="AZ1170">
        <v>21.98</v>
      </c>
      <c r="BA1170">
        <v>-53.39</v>
      </c>
      <c r="BB1170" t="s">
        <v>73</v>
      </c>
    </row>
    <row r="1171" spans="1:54" x14ac:dyDescent="0.4">
      <c r="A1171">
        <v>1383183</v>
      </c>
      <c r="D1171" t="s">
        <v>54</v>
      </c>
      <c r="I1171" t="s">
        <v>57</v>
      </c>
      <c r="K1171" t="s">
        <v>102</v>
      </c>
      <c r="L1171" t="s">
        <v>1340</v>
      </c>
      <c r="M1171" t="s">
        <v>59</v>
      </c>
      <c r="P1171" t="s">
        <v>131</v>
      </c>
      <c r="R1171" t="s">
        <v>112</v>
      </c>
      <c r="S1171" t="s">
        <v>61</v>
      </c>
      <c r="T1171">
        <v>246.7</v>
      </c>
      <c r="U1171">
        <v>242</v>
      </c>
      <c r="V1171">
        <f>(T1171+U1171)/2</f>
        <v>244.35</v>
      </c>
      <c r="W1171">
        <f>T1171-U1171</f>
        <v>4.6999999999999886</v>
      </c>
      <c r="X1171">
        <v>55.184165999999998</v>
      </c>
      <c r="Y1171">
        <v>51.461387999999999</v>
      </c>
      <c r="Z1171" t="s">
        <v>99</v>
      </c>
      <c r="AA1171" t="s">
        <v>139</v>
      </c>
      <c r="AB1171" t="s">
        <v>316</v>
      </c>
      <c r="AD1171" t="s">
        <v>1176</v>
      </c>
      <c r="AH1171" t="s">
        <v>65</v>
      </c>
      <c r="AI1171" t="s">
        <v>716</v>
      </c>
      <c r="AJ1171">
        <v>2003</v>
      </c>
      <c r="AK1171" t="s">
        <v>2010</v>
      </c>
      <c r="AM1171" t="s">
        <v>2011</v>
      </c>
      <c r="AN1171" t="s">
        <v>121</v>
      </c>
      <c r="AO1171" t="s">
        <v>68</v>
      </c>
      <c r="AP1171" t="s">
        <v>69</v>
      </c>
      <c r="AR1171" t="s">
        <v>70</v>
      </c>
      <c r="AS1171">
        <v>302</v>
      </c>
      <c r="AT1171" t="s">
        <v>71</v>
      </c>
      <c r="AU1171">
        <v>60.16</v>
      </c>
      <c r="AV1171">
        <v>40.950000000000003</v>
      </c>
      <c r="AW1171" t="s">
        <v>72</v>
      </c>
      <c r="AX1171">
        <v>301</v>
      </c>
      <c r="AY1171" t="s">
        <v>71</v>
      </c>
      <c r="AZ1171">
        <v>43.63</v>
      </c>
      <c r="BA1171">
        <v>33.69</v>
      </c>
      <c r="BB1171" t="s">
        <v>73</v>
      </c>
    </row>
    <row r="1172" spans="1:54" x14ac:dyDescent="0.4">
      <c r="A1172">
        <v>1397832</v>
      </c>
      <c r="D1172" t="s">
        <v>54</v>
      </c>
      <c r="F1172" t="s">
        <v>294</v>
      </c>
      <c r="G1172">
        <v>1</v>
      </c>
      <c r="H1172" t="s">
        <v>74</v>
      </c>
      <c r="I1172" t="s">
        <v>57</v>
      </c>
      <c r="K1172" t="s">
        <v>80</v>
      </c>
      <c r="L1172" t="s">
        <v>2020</v>
      </c>
      <c r="M1172" t="s">
        <v>59</v>
      </c>
      <c r="P1172" t="s">
        <v>131</v>
      </c>
      <c r="R1172" t="s">
        <v>112</v>
      </c>
      <c r="S1172" t="s">
        <v>61</v>
      </c>
      <c r="T1172">
        <v>246.7</v>
      </c>
      <c r="U1172">
        <v>242</v>
      </c>
      <c r="V1172">
        <f>(T1172+U1172)/2</f>
        <v>244.35</v>
      </c>
      <c r="W1172">
        <f>T1172-U1172</f>
        <v>4.6999999999999886</v>
      </c>
      <c r="X1172">
        <v>34.750557000000001</v>
      </c>
      <c r="Y1172">
        <v>-10.508333</v>
      </c>
      <c r="Z1172" t="s">
        <v>99</v>
      </c>
      <c r="AA1172" t="s">
        <v>455</v>
      </c>
      <c r="AB1172" t="s">
        <v>456</v>
      </c>
      <c r="AC1172" t="s">
        <v>457</v>
      </c>
      <c r="AD1172" t="s">
        <v>458</v>
      </c>
      <c r="AE1172" t="s">
        <v>457</v>
      </c>
      <c r="AF1172" t="s">
        <v>459</v>
      </c>
      <c r="AH1172" t="s">
        <v>65</v>
      </c>
      <c r="AI1172" t="s">
        <v>2021</v>
      </c>
      <c r="AJ1172">
        <v>2018</v>
      </c>
      <c r="AK1172" t="s">
        <v>2022</v>
      </c>
      <c r="AM1172" t="s">
        <v>2023</v>
      </c>
      <c r="AO1172" t="s">
        <v>68</v>
      </c>
      <c r="AR1172" t="s">
        <v>70</v>
      </c>
      <c r="AS1172">
        <v>701</v>
      </c>
      <c r="AT1172" t="s">
        <v>71</v>
      </c>
      <c r="AU1172">
        <v>19.86</v>
      </c>
      <c r="AV1172">
        <v>-40.340000000000003</v>
      </c>
      <c r="AW1172" t="s">
        <v>72</v>
      </c>
      <c r="AX1172">
        <v>709</v>
      </c>
      <c r="AY1172" t="s">
        <v>71</v>
      </c>
      <c r="AZ1172">
        <v>21.65</v>
      </c>
      <c r="BA1172">
        <v>-53.48</v>
      </c>
      <c r="BB1172" t="s">
        <v>73</v>
      </c>
    </row>
    <row r="1173" spans="1:54" x14ac:dyDescent="0.4">
      <c r="A1173">
        <v>1397833</v>
      </c>
      <c r="D1173" t="s">
        <v>54</v>
      </c>
      <c r="E1173" t="s">
        <v>153</v>
      </c>
      <c r="G1173">
        <v>25</v>
      </c>
      <c r="H1173" t="s">
        <v>74</v>
      </c>
      <c r="I1173" t="s">
        <v>57</v>
      </c>
      <c r="K1173" t="s">
        <v>102</v>
      </c>
      <c r="L1173" t="s">
        <v>1961</v>
      </c>
      <c r="M1173" t="s">
        <v>59</v>
      </c>
      <c r="P1173" t="s">
        <v>131</v>
      </c>
      <c r="R1173" t="s">
        <v>112</v>
      </c>
      <c r="S1173" t="s">
        <v>61</v>
      </c>
      <c r="T1173">
        <v>246.7</v>
      </c>
      <c r="U1173">
        <v>242</v>
      </c>
      <c r="V1173">
        <f>(T1173+U1173)/2</f>
        <v>244.35</v>
      </c>
      <c r="W1173">
        <f>T1173-U1173</f>
        <v>4.6999999999999886</v>
      </c>
      <c r="X1173">
        <v>35.248333000000002</v>
      </c>
      <c r="Y1173">
        <v>-10.296111</v>
      </c>
      <c r="Z1173" t="s">
        <v>99</v>
      </c>
      <c r="AA1173" t="s">
        <v>455</v>
      </c>
      <c r="AB1173" t="s">
        <v>456</v>
      </c>
      <c r="AC1173" t="s">
        <v>457</v>
      </c>
      <c r="AD1173" t="s">
        <v>458</v>
      </c>
      <c r="AE1173" t="s">
        <v>457</v>
      </c>
      <c r="AF1173" t="s">
        <v>459</v>
      </c>
      <c r="AH1173" t="s">
        <v>65</v>
      </c>
      <c r="AI1173" t="s">
        <v>2021</v>
      </c>
      <c r="AJ1173">
        <v>2018</v>
      </c>
      <c r="AK1173" t="s">
        <v>2024</v>
      </c>
      <c r="AM1173" t="s">
        <v>2025</v>
      </c>
      <c r="AN1173" t="s">
        <v>121</v>
      </c>
      <c r="AO1173" t="s">
        <v>68</v>
      </c>
      <c r="AP1173" t="s">
        <v>95</v>
      </c>
      <c r="AR1173" t="s">
        <v>70</v>
      </c>
      <c r="AS1173">
        <v>701</v>
      </c>
      <c r="AT1173" t="s">
        <v>71</v>
      </c>
      <c r="AU1173">
        <v>20.55</v>
      </c>
      <c r="AV1173">
        <v>-40.43</v>
      </c>
      <c r="AW1173" t="s">
        <v>72</v>
      </c>
      <c r="AX1173">
        <v>709</v>
      </c>
      <c r="AY1173" t="s">
        <v>71</v>
      </c>
      <c r="AZ1173">
        <v>22.54</v>
      </c>
      <c r="BA1173">
        <v>-53.42</v>
      </c>
      <c r="BB1173" t="s">
        <v>73</v>
      </c>
    </row>
    <row r="1174" spans="1:54" x14ac:dyDescent="0.4">
      <c r="A1174">
        <v>1405272</v>
      </c>
      <c r="D1174" t="s">
        <v>54</v>
      </c>
      <c r="G1174">
        <v>1</v>
      </c>
      <c r="H1174" t="s">
        <v>56</v>
      </c>
      <c r="I1174" t="s">
        <v>57</v>
      </c>
      <c r="K1174" t="s">
        <v>431</v>
      </c>
      <c r="L1174" t="s">
        <v>2026</v>
      </c>
      <c r="M1174" t="s">
        <v>59</v>
      </c>
      <c r="P1174" t="s">
        <v>131</v>
      </c>
      <c r="R1174" t="s">
        <v>112</v>
      </c>
      <c r="S1174" t="s">
        <v>61</v>
      </c>
      <c r="T1174">
        <v>246.7</v>
      </c>
      <c r="U1174">
        <v>242</v>
      </c>
      <c r="V1174">
        <f>(T1174+U1174)/2</f>
        <v>244.35</v>
      </c>
      <c r="W1174">
        <f>T1174-U1174</f>
        <v>4.6999999999999886</v>
      </c>
      <c r="X1174">
        <v>78.481589999999997</v>
      </c>
      <c r="Y1174">
        <v>22.616426000000001</v>
      </c>
      <c r="Z1174" t="s">
        <v>85</v>
      </c>
      <c r="AA1174" t="s">
        <v>417</v>
      </c>
      <c r="AB1174" t="s">
        <v>1296</v>
      </c>
      <c r="AC1174" t="s">
        <v>2027</v>
      </c>
      <c r="AD1174" t="s">
        <v>2028</v>
      </c>
      <c r="AH1174" t="s">
        <v>65</v>
      </c>
      <c r="AI1174" t="s">
        <v>2029</v>
      </c>
      <c r="AJ1174">
        <v>2017</v>
      </c>
      <c r="AK1174" t="s">
        <v>2030</v>
      </c>
      <c r="AN1174" t="s">
        <v>94</v>
      </c>
      <c r="AO1174">
        <v>6</v>
      </c>
      <c r="AP1174" t="s">
        <v>95</v>
      </c>
      <c r="AQ1174" t="s">
        <v>2031</v>
      </c>
      <c r="AR1174" t="s">
        <v>70</v>
      </c>
      <c r="AS1174">
        <v>501</v>
      </c>
      <c r="AT1174" t="s">
        <v>71</v>
      </c>
      <c r="AU1174">
        <v>43.75</v>
      </c>
      <c r="AV1174">
        <v>-40.56</v>
      </c>
      <c r="AW1174" t="s">
        <v>72</v>
      </c>
      <c r="AX1174">
        <v>501</v>
      </c>
      <c r="AY1174" t="s">
        <v>71</v>
      </c>
      <c r="AZ1174">
        <v>51.87</v>
      </c>
      <c r="BA1174">
        <v>-48.41</v>
      </c>
      <c r="BB1174" t="s">
        <v>73</v>
      </c>
    </row>
    <row r="1175" spans="1:54" x14ac:dyDescent="0.4">
      <c r="A1175">
        <v>1405272</v>
      </c>
      <c r="D1175" t="s">
        <v>54</v>
      </c>
      <c r="G1175">
        <v>1</v>
      </c>
      <c r="H1175" t="s">
        <v>56</v>
      </c>
      <c r="I1175" t="s">
        <v>57</v>
      </c>
      <c r="K1175" t="s">
        <v>431</v>
      </c>
      <c r="L1175" t="s">
        <v>2026</v>
      </c>
      <c r="M1175" t="s">
        <v>59</v>
      </c>
      <c r="P1175" t="s">
        <v>131</v>
      </c>
      <c r="R1175" t="s">
        <v>112</v>
      </c>
      <c r="S1175" t="s">
        <v>61</v>
      </c>
      <c r="T1175">
        <v>246.7</v>
      </c>
      <c r="U1175">
        <v>242</v>
      </c>
      <c r="V1175">
        <f>(T1175+U1175)/2</f>
        <v>244.35</v>
      </c>
      <c r="W1175">
        <f>T1175-U1175</f>
        <v>4.6999999999999886</v>
      </c>
      <c r="X1175">
        <v>78.481589999999997</v>
      </c>
      <c r="Y1175">
        <v>22.616426000000001</v>
      </c>
      <c r="Z1175" t="s">
        <v>85</v>
      </c>
      <c r="AA1175" t="s">
        <v>417</v>
      </c>
      <c r="AB1175" t="s">
        <v>1296</v>
      </c>
      <c r="AC1175" t="s">
        <v>2027</v>
      </c>
      <c r="AD1175" t="s">
        <v>2028</v>
      </c>
      <c r="AH1175" t="s">
        <v>65</v>
      </c>
      <c r="AI1175" t="s">
        <v>2029</v>
      </c>
      <c r="AJ1175">
        <v>2017</v>
      </c>
      <c r="AK1175" t="s">
        <v>2030</v>
      </c>
      <c r="AN1175" t="s">
        <v>94</v>
      </c>
      <c r="AO1175">
        <v>6</v>
      </c>
      <c r="AP1175" t="s">
        <v>95</v>
      </c>
      <c r="AQ1175" t="s">
        <v>2031</v>
      </c>
      <c r="AR1175" t="s">
        <v>70</v>
      </c>
      <c r="AS1175">
        <v>501</v>
      </c>
      <c r="AT1175" t="s">
        <v>71</v>
      </c>
      <c r="AU1175">
        <v>43.75</v>
      </c>
      <c r="AV1175">
        <v>-40.56</v>
      </c>
      <c r="AW1175" t="s">
        <v>72</v>
      </c>
      <c r="AX1175">
        <v>501</v>
      </c>
      <c r="AY1175" t="s">
        <v>71</v>
      </c>
      <c r="AZ1175">
        <v>51.87</v>
      </c>
      <c r="BA1175">
        <v>-48.41</v>
      </c>
      <c r="BB1175" t="s">
        <v>73</v>
      </c>
    </row>
    <row r="1176" spans="1:54" x14ac:dyDescent="0.4">
      <c r="A1176">
        <v>1405272</v>
      </c>
      <c r="D1176" t="s">
        <v>54</v>
      </c>
      <c r="G1176">
        <v>1</v>
      </c>
      <c r="H1176" t="s">
        <v>56</v>
      </c>
      <c r="I1176" t="s">
        <v>57</v>
      </c>
      <c r="K1176" t="s">
        <v>431</v>
      </c>
      <c r="L1176" t="s">
        <v>2026</v>
      </c>
      <c r="M1176" t="s">
        <v>59</v>
      </c>
      <c r="P1176" t="s">
        <v>131</v>
      </c>
      <c r="R1176" t="s">
        <v>112</v>
      </c>
      <c r="S1176" t="s">
        <v>61</v>
      </c>
      <c r="T1176">
        <v>246.7</v>
      </c>
      <c r="U1176">
        <v>242</v>
      </c>
      <c r="V1176">
        <f>(T1176+U1176)/2</f>
        <v>244.35</v>
      </c>
      <c r="W1176">
        <f>T1176-U1176</f>
        <v>4.6999999999999886</v>
      </c>
      <c r="X1176">
        <v>78.481589999999997</v>
      </c>
      <c r="Y1176">
        <v>22.616426000000001</v>
      </c>
      <c r="Z1176" t="s">
        <v>85</v>
      </c>
      <c r="AA1176" t="s">
        <v>417</v>
      </c>
      <c r="AB1176" t="s">
        <v>1296</v>
      </c>
      <c r="AC1176" t="s">
        <v>2027</v>
      </c>
      <c r="AD1176" t="s">
        <v>2028</v>
      </c>
      <c r="AH1176" t="s">
        <v>65</v>
      </c>
      <c r="AI1176" t="s">
        <v>2029</v>
      </c>
      <c r="AJ1176">
        <v>2017</v>
      </c>
      <c r="AK1176" t="s">
        <v>2030</v>
      </c>
      <c r="AN1176" t="s">
        <v>94</v>
      </c>
      <c r="AO1176">
        <v>6</v>
      </c>
      <c r="AP1176" t="s">
        <v>95</v>
      </c>
      <c r="AQ1176" t="s">
        <v>2031</v>
      </c>
      <c r="AR1176" t="s">
        <v>70</v>
      </c>
      <c r="AS1176">
        <v>501</v>
      </c>
      <c r="AT1176" t="s">
        <v>71</v>
      </c>
      <c r="AU1176">
        <v>43.75</v>
      </c>
      <c r="AV1176">
        <v>-40.56</v>
      </c>
      <c r="AW1176" t="s">
        <v>72</v>
      </c>
      <c r="AX1176">
        <v>501</v>
      </c>
      <c r="AY1176" t="s">
        <v>71</v>
      </c>
      <c r="AZ1176">
        <v>51.87</v>
      </c>
      <c r="BA1176">
        <v>-48.41</v>
      </c>
      <c r="BB1176" t="s">
        <v>73</v>
      </c>
    </row>
    <row r="1177" spans="1:54" x14ac:dyDescent="0.4">
      <c r="A1177">
        <v>1405272</v>
      </c>
      <c r="D1177" t="s">
        <v>54</v>
      </c>
      <c r="G1177">
        <v>1</v>
      </c>
      <c r="H1177" t="s">
        <v>56</v>
      </c>
      <c r="I1177" t="s">
        <v>57</v>
      </c>
      <c r="K1177" t="s">
        <v>431</v>
      </c>
      <c r="L1177" t="s">
        <v>2026</v>
      </c>
      <c r="M1177" t="s">
        <v>59</v>
      </c>
      <c r="P1177" t="s">
        <v>131</v>
      </c>
      <c r="R1177" t="s">
        <v>112</v>
      </c>
      <c r="S1177" t="s">
        <v>61</v>
      </c>
      <c r="T1177">
        <v>246.7</v>
      </c>
      <c r="U1177">
        <v>242</v>
      </c>
      <c r="V1177">
        <f>(T1177+U1177)/2</f>
        <v>244.35</v>
      </c>
      <c r="W1177">
        <f>T1177-U1177</f>
        <v>4.6999999999999886</v>
      </c>
      <c r="X1177">
        <v>78.481589999999997</v>
      </c>
      <c r="Y1177">
        <v>22.616426000000001</v>
      </c>
      <c r="Z1177" t="s">
        <v>85</v>
      </c>
      <c r="AA1177" t="s">
        <v>417</v>
      </c>
      <c r="AB1177" t="s">
        <v>1296</v>
      </c>
      <c r="AC1177" t="s">
        <v>2027</v>
      </c>
      <c r="AD1177" t="s">
        <v>2028</v>
      </c>
      <c r="AH1177" t="s">
        <v>65</v>
      </c>
      <c r="AI1177" t="s">
        <v>2029</v>
      </c>
      <c r="AJ1177">
        <v>2017</v>
      </c>
      <c r="AK1177" t="s">
        <v>2030</v>
      </c>
      <c r="AN1177" t="s">
        <v>94</v>
      </c>
      <c r="AO1177">
        <v>6</v>
      </c>
      <c r="AP1177" t="s">
        <v>95</v>
      </c>
      <c r="AQ1177" t="s">
        <v>2031</v>
      </c>
      <c r="AR1177" t="s">
        <v>70</v>
      </c>
      <c r="AS1177">
        <v>501</v>
      </c>
      <c r="AT1177" t="s">
        <v>71</v>
      </c>
      <c r="AU1177">
        <v>43.75</v>
      </c>
      <c r="AV1177">
        <v>-40.56</v>
      </c>
      <c r="AW1177" t="s">
        <v>72</v>
      </c>
      <c r="AX1177">
        <v>501</v>
      </c>
      <c r="AY1177" t="s">
        <v>71</v>
      </c>
      <c r="AZ1177">
        <v>51.87</v>
      </c>
      <c r="BA1177">
        <v>-48.41</v>
      </c>
      <c r="BB1177" t="s">
        <v>73</v>
      </c>
    </row>
    <row r="1178" spans="1:54" x14ac:dyDescent="0.4">
      <c r="A1178">
        <v>1405272</v>
      </c>
      <c r="D1178" t="s">
        <v>54</v>
      </c>
      <c r="G1178">
        <v>1</v>
      </c>
      <c r="H1178" t="s">
        <v>56</v>
      </c>
      <c r="I1178" t="s">
        <v>57</v>
      </c>
      <c r="K1178" t="s">
        <v>431</v>
      </c>
      <c r="L1178" t="s">
        <v>2026</v>
      </c>
      <c r="M1178" t="s">
        <v>59</v>
      </c>
      <c r="P1178" t="s">
        <v>131</v>
      </c>
      <c r="R1178" t="s">
        <v>112</v>
      </c>
      <c r="S1178" t="s">
        <v>61</v>
      </c>
      <c r="T1178">
        <v>246.7</v>
      </c>
      <c r="U1178">
        <v>242</v>
      </c>
      <c r="V1178">
        <f>(T1178+U1178)/2</f>
        <v>244.35</v>
      </c>
      <c r="W1178">
        <f>T1178-U1178</f>
        <v>4.6999999999999886</v>
      </c>
      <c r="X1178">
        <v>78.481589999999997</v>
      </c>
      <c r="Y1178">
        <v>22.616426000000001</v>
      </c>
      <c r="Z1178" t="s">
        <v>85</v>
      </c>
      <c r="AA1178" t="s">
        <v>417</v>
      </c>
      <c r="AB1178" t="s">
        <v>1296</v>
      </c>
      <c r="AC1178" t="s">
        <v>2027</v>
      </c>
      <c r="AD1178" t="s">
        <v>2028</v>
      </c>
      <c r="AH1178" t="s">
        <v>65</v>
      </c>
      <c r="AI1178" t="s">
        <v>2029</v>
      </c>
      <c r="AJ1178">
        <v>2017</v>
      </c>
      <c r="AK1178" t="s">
        <v>2030</v>
      </c>
      <c r="AN1178" t="s">
        <v>94</v>
      </c>
      <c r="AO1178">
        <v>6</v>
      </c>
      <c r="AP1178" t="s">
        <v>95</v>
      </c>
      <c r="AQ1178" t="s">
        <v>2031</v>
      </c>
      <c r="AR1178" t="s">
        <v>70</v>
      </c>
      <c r="AS1178">
        <v>501</v>
      </c>
      <c r="AT1178" t="s">
        <v>71</v>
      </c>
      <c r="AU1178">
        <v>43.75</v>
      </c>
      <c r="AV1178">
        <v>-40.56</v>
      </c>
      <c r="AW1178" t="s">
        <v>72</v>
      </c>
      <c r="AX1178">
        <v>501</v>
      </c>
      <c r="AY1178" t="s">
        <v>71</v>
      </c>
      <c r="AZ1178">
        <v>51.87</v>
      </c>
      <c r="BA1178">
        <v>-48.41</v>
      </c>
      <c r="BB1178" t="s">
        <v>73</v>
      </c>
    </row>
    <row r="1179" spans="1:54" x14ac:dyDescent="0.4">
      <c r="A1179">
        <v>1405272</v>
      </c>
      <c r="D1179" t="s">
        <v>54</v>
      </c>
      <c r="G1179">
        <v>1</v>
      </c>
      <c r="H1179" t="s">
        <v>56</v>
      </c>
      <c r="I1179" t="s">
        <v>57</v>
      </c>
      <c r="K1179" t="s">
        <v>431</v>
      </c>
      <c r="L1179" t="s">
        <v>2026</v>
      </c>
      <c r="M1179" t="s">
        <v>59</v>
      </c>
      <c r="P1179" t="s">
        <v>131</v>
      </c>
      <c r="R1179" t="s">
        <v>112</v>
      </c>
      <c r="S1179" t="s">
        <v>61</v>
      </c>
      <c r="T1179">
        <v>246.7</v>
      </c>
      <c r="U1179">
        <v>242</v>
      </c>
      <c r="V1179">
        <f>(T1179+U1179)/2</f>
        <v>244.35</v>
      </c>
      <c r="W1179">
        <f>T1179-U1179</f>
        <v>4.6999999999999886</v>
      </c>
      <c r="X1179">
        <v>78.481589999999997</v>
      </c>
      <c r="Y1179">
        <v>22.616426000000001</v>
      </c>
      <c r="Z1179" t="s">
        <v>85</v>
      </c>
      <c r="AA1179" t="s">
        <v>417</v>
      </c>
      <c r="AB1179" t="s">
        <v>1296</v>
      </c>
      <c r="AC1179" t="s">
        <v>2027</v>
      </c>
      <c r="AD1179" t="s">
        <v>2028</v>
      </c>
      <c r="AH1179" t="s">
        <v>65</v>
      </c>
      <c r="AI1179" t="s">
        <v>2029</v>
      </c>
      <c r="AJ1179">
        <v>2017</v>
      </c>
      <c r="AK1179" t="s">
        <v>2030</v>
      </c>
      <c r="AN1179" t="s">
        <v>94</v>
      </c>
      <c r="AO1179">
        <v>6</v>
      </c>
      <c r="AP1179" t="s">
        <v>95</v>
      </c>
      <c r="AQ1179" t="s">
        <v>2031</v>
      </c>
      <c r="AR1179" t="s">
        <v>70</v>
      </c>
      <c r="AS1179">
        <v>501</v>
      </c>
      <c r="AT1179" t="s">
        <v>71</v>
      </c>
      <c r="AU1179">
        <v>43.75</v>
      </c>
      <c r="AV1179">
        <v>-40.56</v>
      </c>
      <c r="AW1179" t="s">
        <v>72</v>
      </c>
      <c r="AX1179">
        <v>501</v>
      </c>
      <c r="AY1179" t="s">
        <v>71</v>
      </c>
      <c r="AZ1179">
        <v>51.87</v>
      </c>
      <c r="BA1179">
        <v>-48.41</v>
      </c>
      <c r="BB1179" t="s">
        <v>73</v>
      </c>
    </row>
    <row r="1180" spans="1:54" x14ac:dyDescent="0.4">
      <c r="A1180">
        <v>1405272</v>
      </c>
      <c r="D1180" t="s">
        <v>54</v>
      </c>
      <c r="G1180">
        <v>1</v>
      </c>
      <c r="H1180" t="s">
        <v>56</v>
      </c>
      <c r="I1180" t="s">
        <v>57</v>
      </c>
      <c r="K1180" t="s">
        <v>431</v>
      </c>
      <c r="L1180" t="s">
        <v>2026</v>
      </c>
      <c r="M1180" t="s">
        <v>59</v>
      </c>
      <c r="P1180" t="s">
        <v>131</v>
      </c>
      <c r="R1180" t="s">
        <v>112</v>
      </c>
      <c r="S1180" t="s">
        <v>61</v>
      </c>
      <c r="T1180">
        <v>246.7</v>
      </c>
      <c r="U1180">
        <v>242</v>
      </c>
      <c r="V1180">
        <f>(T1180+U1180)/2</f>
        <v>244.35</v>
      </c>
      <c r="W1180">
        <f>T1180-U1180</f>
        <v>4.6999999999999886</v>
      </c>
      <c r="X1180">
        <v>78.481589999999997</v>
      </c>
      <c r="Y1180">
        <v>22.616426000000001</v>
      </c>
      <c r="Z1180" t="s">
        <v>85</v>
      </c>
      <c r="AA1180" t="s">
        <v>417</v>
      </c>
      <c r="AB1180" t="s">
        <v>1296</v>
      </c>
      <c r="AC1180" t="s">
        <v>2027</v>
      </c>
      <c r="AD1180" t="s">
        <v>2028</v>
      </c>
      <c r="AH1180" t="s">
        <v>65</v>
      </c>
      <c r="AI1180" t="s">
        <v>2029</v>
      </c>
      <c r="AJ1180">
        <v>2017</v>
      </c>
      <c r="AK1180" t="s">
        <v>2030</v>
      </c>
      <c r="AN1180" t="s">
        <v>94</v>
      </c>
      <c r="AO1180">
        <v>6</v>
      </c>
      <c r="AP1180" t="s">
        <v>95</v>
      </c>
      <c r="AQ1180" t="s">
        <v>2031</v>
      </c>
      <c r="AR1180" t="s">
        <v>70</v>
      </c>
      <c r="AS1180">
        <v>501</v>
      </c>
      <c r="AT1180" t="s">
        <v>71</v>
      </c>
      <c r="AU1180">
        <v>43.75</v>
      </c>
      <c r="AV1180">
        <v>-40.56</v>
      </c>
      <c r="AW1180" t="s">
        <v>72</v>
      </c>
      <c r="AX1180">
        <v>501</v>
      </c>
      <c r="AY1180" t="s">
        <v>71</v>
      </c>
      <c r="AZ1180">
        <v>51.87</v>
      </c>
      <c r="BA1180">
        <v>-48.41</v>
      </c>
      <c r="BB1180" t="s">
        <v>73</v>
      </c>
    </row>
    <row r="1181" spans="1:54" x14ac:dyDescent="0.4">
      <c r="A1181">
        <v>1406763</v>
      </c>
      <c r="D1181" t="s">
        <v>54</v>
      </c>
      <c r="G1181">
        <v>1</v>
      </c>
      <c r="H1181" t="s">
        <v>56</v>
      </c>
      <c r="I1181" t="s">
        <v>57</v>
      </c>
      <c r="K1181" t="s">
        <v>102</v>
      </c>
      <c r="L1181" t="s">
        <v>2032</v>
      </c>
      <c r="M1181" t="s">
        <v>59</v>
      </c>
      <c r="O1181" t="s">
        <v>76</v>
      </c>
      <c r="P1181" t="s">
        <v>131</v>
      </c>
      <c r="R1181" t="s">
        <v>112</v>
      </c>
      <c r="S1181" t="s">
        <v>61</v>
      </c>
      <c r="T1181">
        <v>246.7</v>
      </c>
      <c r="U1181">
        <v>242</v>
      </c>
      <c r="V1181">
        <f>(T1181+U1181)/2</f>
        <v>244.35</v>
      </c>
      <c r="W1181">
        <f>T1181-U1181</f>
        <v>4.6999999999999886</v>
      </c>
      <c r="X1181">
        <v>35.314444999999999</v>
      </c>
      <c r="Y1181">
        <v>-10.302222</v>
      </c>
      <c r="Z1181" t="s">
        <v>113</v>
      </c>
      <c r="AA1181" t="s">
        <v>455</v>
      </c>
      <c r="AB1181" t="s">
        <v>456</v>
      </c>
      <c r="AD1181" t="s">
        <v>458</v>
      </c>
      <c r="AF1181" t="s">
        <v>459</v>
      </c>
      <c r="AG1181" t="s">
        <v>1725</v>
      </c>
      <c r="AH1181" t="s">
        <v>65</v>
      </c>
      <c r="AI1181" t="s">
        <v>1131</v>
      </c>
      <c r="AJ1181">
        <v>1967</v>
      </c>
      <c r="AK1181" t="s">
        <v>2033</v>
      </c>
      <c r="AN1181" t="s">
        <v>121</v>
      </c>
      <c r="AO1181" t="s">
        <v>68</v>
      </c>
      <c r="AP1181" t="s">
        <v>69</v>
      </c>
      <c r="AQ1181" t="s">
        <v>2034</v>
      </c>
      <c r="AR1181" t="s">
        <v>70</v>
      </c>
      <c r="AS1181">
        <v>701</v>
      </c>
      <c r="AT1181" t="s">
        <v>71</v>
      </c>
      <c r="AU1181">
        <v>20.62</v>
      </c>
      <c r="AV1181">
        <v>-40.47</v>
      </c>
      <c r="AW1181" t="s">
        <v>72</v>
      </c>
      <c r="AX1181">
        <v>709</v>
      </c>
      <c r="AY1181" t="s">
        <v>71</v>
      </c>
      <c r="AZ1181">
        <v>22.64</v>
      </c>
      <c r="BA1181">
        <v>-53.45</v>
      </c>
      <c r="BB1181" t="s">
        <v>73</v>
      </c>
    </row>
    <row r="1182" spans="1:54" x14ac:dyDescent="0.4">
      <c r="A1182">
        <v>1406763</v>
      </c>
      <c r="D1182" t="s">
        <v>54</v>
      </c>
      <c r="G1182">
        <v>1</v>
      </c>
      <c r="H1182" t="s">
        <v>56</v>
      </c>
      <c r="I1182" t="s">
        <v>57</v>
      </c>
      <c r="K1182" t="s">
        <v>102</v>
      </c>
      <c r="L1182" t="s">
        <v>2032</v>
      </c>
      <c r="M1182" t="s">
        <v>59</v>
      </c>
      <c r="O1182" t="s">
        <v>76</v>
      </c>
      <c r="P1182" t="s">
        <v>131</v>
      </c>
      <c r="R1182" t="s">
        <v>112</v>
      </c>
      <c r="S1182" t="s">
        <v>61</v>
      </c>
      <c r="T1182">
        <v>246.7</v>
      </c>
      <c r="U1182">
        <v>242</v>
      </c>
      <c r="V1182">
        <f>(T1182+U1182)/2</f>
        <v>244.35</v>
      </c>
      <c r="W1182">
        <f>T1182-U1182</f>
        <v>4.6999999999999886</v>
      </c>
      <c r="X1182">
        <v>35.314444999999999</v>
      </c>
      <c r="Y1182">
        <v>-10.302222</v>
      </c>
      <c r="Z1182" t="s">
        <v>113</v>
      </c>
      <c r="AA1182" t="s">
        <v>455</v>
      </c>
      <c r="AB1182" t="s">
        <v>456</v>
      </c>
      <c r="AD1182" t="s">
        <v>458</v>
      </c>
      <c r="AF1182" t="s">
        <v>459</v>
      </c>
      <c r="AG1182" t="s">
        <v>1725</v>
      </c>
      <c r="AH1182" t="s">
        <v>65</v>
      </c>
      <c r="AI1182" t="s">
        <v>1131</v>
      </c>
      <c r="AJ1182">
        <v>1967</v>
      </c>
      <c r="AK1182" t="s">
        <v>2033</v>
      </c>
      <c r="AN1182" t="s">
        <v>121</v>
      </c>
      <c r="AO1182" t="s">
        <v>68</v>
      </c>
      <c r="AP1182" t="s">
        <v>69</v>
      </c>
      <c r="AQ1182" t="s">
        <v>2034</v>
      </c>
      <c r="AR1182" t="s">
        <v>70</v>
      </c>
      <c r="AS1182">
        <v>701</v>
      </c>
      <c r="AT1182" t="s">
        <v>71</v>
      </c>
      <c r="AU1182">
        <v>20.62</v>
      </c>
      <c r="AV1182">
        <v>-40.47</v>
      </c>
      <c r="AW1182" t="s">
        <v>72</v>
      </c>
      <c r="AX1182">
        <v>709</v>
      </c>
      <c r="AY1182" t="s">
        <v>71</v>
      </c>
      <c r="AZ1182">
        <v>22.64</v>
      </c>
      <c r="BA1182">
        <v>-53.45</v>
      </c>
      <c r="BB1182" t="s">
        <v>73</v>
      </c>
    </row>
    <row r="1183" spans="1:54" x14ac:dyDescent="0.4">
      <c r="A1183">
        <v>1406766</v>
      </c>
      <c r="D1183" t="s">
        <v>54</v>
      </c>
      <c r="I1183" t="s">
        <v>57</v>
      </c>
      <c r="K1183" t="s">
        <v>373</v>
      </c>
      <c r="L1183" t="s">
        <v>1491</v>
      </c>
      <c r="M1183" t="s">
        <v>59</v>
      </c>
      <c r="O1183" t="s">
        <v>107</v>
      </c>
      <c r="P1183" t="s">
        <v>131</v>
      </c>
      <c r="R1183" t="s">
        <v>112</v>
      </c>
      <c r="S1183" t="s">
        <v>61</v>
      </c>
      <c r="T1183">
        <v>246.7</v>
      </c>
      <c r="U1183">
        <v>242</v>
      </c>
      <c r="V1183">
        <f>(T1183+U1183)/2</f>
        <v>244.35</v>
      </c>
      <c r="W1183">
        <f>T1183-U1183</f>
        <v>4.6999999999999886</v>
      </c>
      <c r="X1183">
        <v>35.314444999999999</v>
      </c>
      <c r="Y1183">
        <v>-10.302222</v>
      </c>
      <c r="Z1183" t="s">
        <v>113</v>
      </c>
      <c r="AA1183" t="s">
        <v>455</v>
      </c>
      <c r="AB1183" t="s">
        <v>456</v>
      </c>
      <c r="AD1183" t="s">
        <v>458</v>
      </c>
      <c r="AF1183" t="s">
        <v>459</v>
      </c>
      <c r="AG1183" t="s">
        <v>1725</v>
      </c>
      <c r="AH1183" t="s">
        <v>11</v>
      </c>
      <c r="AI1183" t="s">
        <v>472</v>
      </c>
      <c r="AJ1183">
        <v>2018</v>
      </c>
      <c r="AK1183" t="s">
        <v>2033</v>
      </c>
      <c r="AN1183" t="s">
        <v>121</v>
      </c>
      <c r="AO1183" t="s">
        <v>68</v>
      </c>
      <c r="AP1183" t="s">
        <v>69</v>
      </c>
      <c r="AQ1183" t="s">
        <v>2034</v>
      </c>
      <c r="AR1183" t="s">
        <v>70</v>
      </c>
      <c r="AS1183">
        <v>701</v>
      </c>
      <c r="AT1183" t="s">
        <v>71</v>
      </c>
      <c r="AU1183">
        <v>20.62</v>
      </c>
      <c r="AV1183">
        <v>-40.47</v>
      </c>
      <c r="AW1183" t="s">
        <v>72</v>
      </c>
      <c r="AX1183">
        <v>709</v>
      </c>
      <c r="AY1183" t="s">
        <v>71</v>
      </c>
      <c r="AZ1183">
        <v>22.64</v>
      </c>
      <c r="BA1183">
        <v>-53.45</v>
      </c>
      <c r="BB1183" t="s">
        <v>73</v>
      </c>
    </row>
    <row r="1184" spans="1:54" x14ac:dyDescent="0.4">
      <c r="A1184">
        <v>1406767</v>
      </c>
      <c r="D1184" t="s">
        <v>54</v>
      </c>
      <c r="G1184">
        <v>1</v>
      </c>
      <c r="H1184" t="s">
        <v>56</v>
      </c>
      <c r="I1184" t="s">
        <v>57</v>
      </c>
      <c r="K1184" t="s">
        <v>102</v>
      </c>
      <c r="L1184" t="s">
        <v>2032</v>
      </c>
      <c r="M1184" t="s">
        <v>59</v>
      </c>
      <c r="O1184" t="s">
        <v>76</v>
      </c>
      <c r="P1184" t="s">
        <v>131</v>
      </c>
      <c r="R1184" t="s">
        <v>112</v>
      </c>
      <c r="S1184" t="s">
        <v>61</v>
      </c>
      <c r="T1184">
        <v>246.7</v>
      </c>
      <c r="U1184">
        <v>242</v>
      </c>
      <c r="V1184">
        <f>(T1184+U1184)/2</f>
        <v>244.35</v>
      </c>
      <c r="W1184">
        <f>T1184-U1184</f>
        <v>4.6999999999999886</v>
      </c>
      <c r="X1184">
        <v>35.266666000000001</v>
      </c>
      <c r="Y1184">
        <v>-10.383333</v>
      </c>
      <c r="Z1184" t="s">
        <v>113</v>
      </c>
      <c r="AA1184" t="s">
        <v>455</v>
      </c>
      <c r="AB1184" t="s">
        <v>456</v>
      </c>
      <c r="AD1184" t="s">
        <v>458</v>
      </c>
      <c r="AF1184" t="s">
        <v>459</v>
      </c>
      <c r="AG1184" t="s">
        <v>460</v>
      </c>
      <c r="AH1184" t="s">
        <v>65</v>
      </c>
      <c r="AI1184" t="s">
        <v>472</v>
      </c>
      <c r="AJ1184">
        <v>2018</v>
      </c>
      <c r="AK1184" t="s">
        <v>2035</v>
      </c>
      <c r="AN1184" t="s">
        <v>94</v>
      </c>
      <c r="AO1184" t="s">
        <v>106</v>
      </c>
      <c r="AP1184" t="s">
        <v>69</v>
      </c>
      <c r="AQ1184" t="s">
        <v>1494</v>
      </c>
      <c r="AR1184" t="s">
        <v>70</v>
      </c>
      <c r="AS1184">
        <v>701</v>
      </c>
      <c r="AT1184" t="s">
        <v>71</v>
      </c>
      <c r="AU1184">
        <v>20.51</v>
      </c>
      <c r="AV1184">
        <v>-40.51</v>
      </c>
      <c r="AW1184" t="s">
        <v>72</v>
      </c>
      <c r="AX1184">
        <v>709</v>
      </c>
      <c r="AY1184" t="s">
        <v>71</v>
      </c>
      <c r="AZ1184">
        <v>22.53</v>
      </c>
      <c r="BA1184">
        <v>-53.51</v>
      </c>
      <c r="BB1184" t="s">
        <v>73</v>
      </c>
    </row>
    <row r="1185" spans="1:54" x14ac:dyDescent="0.4">
      <c r="A1185">
        <v>1406768</v>
      </c>
      <c r="D1185" t="s">
        <v>54</v>
      </c>
      <c r="E1185" t="s">
        <v>55</v>
      </c>
      <c r="G1185">
        <v>1</v>
      </c>
      <c r="H1185" t="s">
        <v>56</v>
      </c>
      <c r="I1185" t="s">
        <v>57</v>
      </c>
      <c r="K1185" t="s">
        <v>102</v>
      </c>
      <c r="L1185" t="s">
        <v>2032</v>
      </c>
      <c r="M1185" t="s">
        <v>59</v>
      </c>
      <c r="O1185" t="s">
        <v>76</v>
      </c>
      <c r="P1185" t="s">
        <v>131</v>
      </c>
      <c r="R1185" t="s">
        <v>112</v>
      </c>
      <c r="S1185" t="s">
        <v>61</v>
      </c>
      <c r="T1185">
        <v>246.7</v>
      </c>
      <c r="U1185">
        <v>242</v>
      </c>
      <c r="V1185">
        <f>(T1185+U1185)/2</f>
        <v>244.35</v>
      </c>
      <c r="W1185">
        <f>T1185-U1185</f>
        <v>4.6999999999999886</v>
      </c>
      <c r="X1185">
        <v>34.843887000000002</v>
      </c>
      <c r="Y1185">
        <v>-10.350277999999999</v>
      </c>
      <c r="Z1185" t="s">
        <v>113</v>
      </c>
      <c r="AA1185" t="s">
        <v>455</v>
      </c>
      <c r="AB1185" t="s">
        <v>456</v>
      </c>
      <c r="AD1185" t="s">
        <v>458</v>
      </c>
      <c r="AF1185" t="s">
        <v>459</v>
      </c>
      <c r="AG1185" t="s">
        <v>1962</v>
      </c>
      <c r="AH1185" t="s">
        <v>65</v>
      </c>
      <c r="AI1185" t="s">
        <v>472</v>
      </c>
      <c r="AJ1185">
        <v>2018</v>
      </c>
      <c r="AK1185" t="s">
        <v>2036</v>
      </c>
      <c r="AN1185" t="s">
        <v>121</v>
      </c>
      <c r="AO1185" t="s">
        <v>68</v>
      </c>
      <c r="AP1185" t="s">
        <v>69</v>
      </c>
      <c r="AR1185" t="s">
        <v>70</v>
      </c>
      <c r="AS1185">
        <v>701</v>
      </c>
      <c r="AT1185" t="s">
        <v>71</v>
      </c>
      <c r="AU1185">
        <v>20.079999999999998</v>
      </c>
      <c r="AV1185">
        <v>-40.26</v>
      </c>
      <c r="AW1185" t="s">
        <v>72</v>
      </c>
      <c r="AX1185">
        <v>709</v>
      </c>
      <c r="AY1185" t="s">
        <v>71</v>
      </c>
      <c r="AZ1185">
        <v>21.87</v>
      </c>
      <c r="BA1185">
        <v>-53.36</v>
      </c>
      <c r="BB1185" t="s">
        <v>73</v>
      </c>
    </row>
    <row r="1186" spans="1:54" x14ac:dyDescent="0.4">
      <c r="A1186">
        <v>1407310</v>
      </c>
      <c r="D1186" t="s">
        <v>54</v>
      </c>
      <c r="E1186" t="s">
        <v>55</v>
      </c>
      <c r="G1186">
        <v>1</v>
      </c>
      <c r="H1186" t="s">
        <v>74</v>
      </c>
      <c r="I1186" t="s">
        <v>57</v>
      </c>
      <c r="K1186" t="s">
        <v>102</v>
      </c>
      <c r="L1186" t="s">
        <v>2048</v>
      </c>
      <c r="M1186" t="s">
        <v>59</v>
      </c>
      <c r="O1186" t="s">
        <v>76</v>
      </c>
      <c r="P1186" t="s">
        <v>131</v>
      </c>
      <c r="R1186" t="s">
        <v>112</v>
      </c>
      <c r="S1186" t="s">
        <v>61</v>
      </c>
      <c r="T1186">
        <v>246.7</v>
      </c>
      <c r="U1186">
        <v>242</v>
      </c>
      <c r="V1186">
        <f>(T1186+U1186)/2</f>
        <v>244.35</v>
      </c>
      <c r="W1186">
        <f>T1186-U1186</f>
        <v>4.6999999999999886</v>
      </c>
      <c r="X1186">
        <v>35.216667000000001</v>
      </c>
      <c r="Y1186">
        <v>-10.336111000000001</v>
      </c>
      <c r="Z1186" t="s">
        <v>113</v>
      </c>
      <c r="AA1186" t="s">
        <v>455</v>
      </c>
      <c r="AB1186" t="s">
        <v>456</v>
      </c>
      <c r="AD1186" t="s">
        <v>458</v>
      </c>
      <c r="AF1186" t="s">
        <v>459</v>
      </c>
      <c r="AG1186" t="s">
        <v>460</v>
      </c>
      <c r="AH1186" t="s">
        <v>65</v>
      </c>
      <c r="AI1186" t="s">
        <v>413</v>
      </c>
      <c r="AJ1186">
        <v>2014</v>
      </c>
      <c r="AK1186" t="s">
        <v>2049</v>
      </c>
      <c r="AM1186" t="s">
        <v>2050</v>
      </c>
      <c r="AO1186" t="s">
        <v>68</v>
      </c>
      <c r="AP1186" t="s">
        <v>95</v>
      </c>
      <c r="AQ1186" t="s">
        <v>2051</v>
      </c>
      <c r="AR1186" t="s">
        <v>70</v>
      </c>
      <c r="AS1186">
        <v>701</v>
      </c>
      <c r="AT1186" t="s">
        <v>71</v>
      </c>
      <c r="AU1186">
        <v>20.49</v>
      </c>
      <c r="AV1186">
        <v>-40.44</v>
      </c>
      <c r="AW1186" t="s">
        <v>72</v>
      </c>
      <c r="AX1186">
        <v>709</v>
      </c>
      <c r="AY1186" t="s">
        <v>71</v>
      </c>
      <c r="AZ1186">
        <v>22.47</v>
      </c>
      <c r="BA1186">
        <v>-53.45</v>
      </c>
      <c r="BB1186" t="s">
        <v>73</v>
      </c>
    </row>
    <row r="1187" spans="1:54" x14ac:dyDescent="0.4">
      <c r="A1187">
        <v>1415292</v>
      </c>
      <c r="D1187" t="s">
        <v>54</v>
      </c>
      <c r="I1187" t="s">
        <v>57</v>
      </c>
      <c r="K1187" t="s">
        <v>1604</v>
      </c>
      <c r="L1187" t="s">
        <v>2061</v>
      </c>
      <c r="M1187" t="s">
        <v>59</v>
      </c>
      <c r="P1187" t="s">
        <v>131</v>
      </c>
      <c r="R1187" t="s">
        <v>112</v>
      </c>
      <c r="S1187" t="s">
        <v>61</v>
      </c>
      <c r="T1187">
        <v>246.7</v>
      </c>
      <c r="U1187">
        <v>242</v>
      </c>
      <c r="V1187">
        <f>(T1187+U1187)/2</f>
        <v>244.35</v>
      </c>
      <c r="W1187">
        <f>T1187-U1187</f>
        <v>4.6999999999999886</v>
      </c>
      <c r="X1187">
        <v>18.966667000000001</v>
      </c>
      <c r="Y1187">
        <v>50.299999</v>
      </c>
      <c r="Z1187" t="s">
        <v>398</v>
      </c>
      <c r="AA1187" t="s">
        <v>337</v>
      </c>
      <c r="AD1187" t="s">
        <v>997</v>
      </c>
      <c r="AF1187" t="s">
        <v>998</v>
      </c>
      <c r="AH1187" t="s">
        <v>65</v>
      </c>
      <c r="AI1187" t="s">
        <v>2060</v>
      </c>
      <c r="AJ1187">
        <v>2016</v>
      </c>
      <c r="AK1187" t="s">
        <v>999</v>
      </c>
      <c r="AN1187" t="s">
        <v>94</v>
      </c>
      <c r="AO1187" t="s">
        <v>106</v>
      </c>
      <c r="AP1187" t="s">
        <v>69</v>
      </c>
      <c r="AQ1187" t="s">
        <v>1000</v>
      </c>
      <c r="AR1187" t="s">
        <v>70</v>
      </c>
      <c r="AS1187">
        <v>305</v>
      </c>
      <c r="AT1187" t="s">
        <v>71</v>
      </c>
      <c r="AU1187">
        <v>35.25</v>
      </c>
      <c r="AV1187">
        <v>30.52</v>
      </c>
      <c r="AW1187" t="s">
        <v>72</v>
      </c>
      <c r="AX1187">
        <v>305</v>
      </c>
      <c r="AY1187" t="s">
        <v>71</v>
      </c>
      <c r="AZ1187">
        <v>24.67</v>
      </c>
      <c r="BA1187">
        <v>18.64</v>
      </c>
      <c r="BB1187" t="s">
        <v>73</v>
      </c>
    </row>
    <row r="1188" spans="1:54" x14ac:dyDescent="0.4">
      <c r="A1188">
        <v>1415293</v>
      </c>
      <c r="D1188" t="s">
        <v>54</v>
      </c>
      <c r="I1188" t="s">
        <v>57</v>
      </c>
      <c r="K1188" t="s">
        <v>1604</v>
      </c>
      <c r="L1188" t="s">
        <v>2061</v>
      </c>
      <c r="M1188" t="s">
        <v>59</v>
      </c>
      <c r="P1188" t="s">
        <v>131</v>
      </c>
      <c r="R1188" t="s">
        <v>112</v>
      </c>
      <c r="S1188" t="s">
        <v>61</v>
      </c>
      <c r="T1188">
        <v>246.7</v>
      </c>
      <c r="U1188">
        <v>242</v>
      </c>
      <c r="V1188">
        <f>(T1188+U1188)/2</f>
        <v>244.35</v>
      </c>
      <c r="W1188">
        <f>T1188-U1188</f>
        <v>4.6999999999999886</v>
      </c>
      <c r="X1188">
        <v>18.075831999999998</v>
      </c>
      <c r="Y1188">
        <v>50.483333999999999</v>
      </c>
      <c r="Z1188" t="s">
        <v>268</v>
      </c>
      <c r="AA1188" t="s">
        <v>337</v>
      </c>
      <c r="AD1188" t="s">
        <v>1486</v>
      </c>
      <c r="AH1188" t="s">
        <v>65</v>
      </c>
      <c r="AI1188" t="s">
        <v>2060</v>
      </c>
      <c r="AJ1188">
        <v>2016</v>
      </c>
      <c r="AK1188" t="s">
        <v>1737</v>
      </c>
      <c r="AM1188" t="s">
        <v>1738</v>
      </c>
      <c r="AN1188" t="s">
        <v>94</v>
      </c>
      <c r="AO1188" t="s">
        <v>68</v>
      </c>
      <c r="AP1188" t="s">
        <v>95</v>
      </c>
      <c r="AR1188" t="s">
        <v>70</v>
      </c>
      <c r="AS1188">
        <v>305</v>
      </c>
      <c r="AT1188" t="s">
        <v>71</v>
      </c>
      <c r="AU1188">
        <v>34.549999999999997</v>
      </c>
      <c r="AV1188">
        <v>30.52</v>
      </c>
      <c r="AW1188" t="s">
        <v>72</v>
      </c>
      <c r="AX1188">
        <v>305</v>
      </c>
      <c r="AY1188" t="s">
        <v>71</v>
      </c>
      <c r="AZ1188">
        <v>24.05</v>
      </c>
      <c r="BA1188">
        <v>18.53</v>
      </c>
      <c r="BB1188" t="s">
        <v>73</v>
      </c>
    </row>
    <row r="1189" spans="1:54" x14ac:dyDescent="0.4">
      <c r="A1189">
        <v>1415294</v>
      </c>
      <c r="D1189" t="s">
        <v>54</v>
      </c>
      <c r="E1189" t="s">
        <v>104</v>
      </c>
      <c r="I1189" t="s">
        <v>57</v>
      </c>
      <c r="K1189" t="s">
        <v>1604</v>
      </c>
      <c r="L1189" t="s">
        <v>2061</v>
      </c>
      <c r="M1189" t="s">
        <v>59</v>
      </c>
      <c r="P1189" t="s">
        <v>131</v>
      </c>
      <c r="R1189" t="s">
        <v>112</v>
      </c>
      <c r="S1189" t="s">
        <v>61</v>
      </c>
      <c r="T1189">
        <v>246.7</v>
      </c>
      <c r="U1189">
        <v>242</v>
      </c>
      <c r="V1189">
        <f>(T1189+U1189)/2</f>
        <v>244.35</v>
      </c>
      <c r="W1189">
        <f>T1189-U1189</f>
        <v>4.6999999999999886</v>
      </c>
      <c r="X1189">
        <v>17.628889000000001</v>
      </c>
      <c r="Y1189">
        <v>50.577778000000002</v>
      </c>
      <c r="Z1189" t="s">
        <v>268</v>
      </c>
      <c r="AA1189" t="s">
        <v>337</v>
      </c>
      <c r="AB1189" t="s">
        <v>1485</v>
      </c>
      <c r="AD1189" t="s">
        <v>1746</v>
      </c>
      <c r="AE1189" t="s">
        <v>463</v>
      </c>
      <c r="AH1189" t="s">
        <v>65</v>
      </c>
      <c r="AI1189" t="s">
        <v>2060</v>
      </c>
      <c r="AJ1189">
        <v>2016</v>
      </c>
      <c r="AK1189" t="s">
        <v>1747</v>
      </c>
      <c r="AN1189" t="s">
        <v>94</v>
      </c>
      <c r="AO1189" t="s">
        <v>68</v>
      </c>
      <c r="AP1189" t="s">
        <v>95</v>
      </c>
      <c r="AQ1189" t="s">
        <v>1748</v>
      </c>
      <c r="AR1189" t="s">
        <v>70</v>
      </c>
      <c r="AS1189">
        <v>305</v>
      </c>
      <c r="AT1189" t="s">
        <v>71</v>
      </c>
      <c r="AU1189">
        <v>34.21</v>
      </c>
      <c r="AV1189">
        <v>30.53</v>
      </c>
      <c r="AW1189" t="s">
        <v>72</v>
      </c>
      <c r="AX1189">
        <v>305</v>
      </c>
      <c r="AY1189" t="s">
        <v>71</v>
      </c>
      <c r="AZ1189">
        <v>23.74</v>
      </c>
      <c r="BA1189">
        <v>18.48</v>
      </c>
      <c r="BB1189" t="s">
        <v>73</v>
      </c>
    </row>
    <row r="1190" spans="1:54" x14ac:dyDescent="0.4">
      <c r="A1190">
        <v>1415297</v>
      </c>
      <c r="D1190" t="s">
        <v>54</v>
      </c>
      <c r="I1190" t="s">
        <v>57</v>
      </c>
      <c r="K1190" t="s">
        <v>1604</v>
      </c>
      <c r="L1190" t="s">
        <v>2061</v>
      </c>
      <c r="M1190" t="s">
        <v>59</v>
      </c>
      <c r="P1190" t="s">
        <v>131</v>
      </c>
      <c r="R1190" t="s">
        <v>112</v>
      </c>
      <c r="S1190" t="s">
        <v>61</v>
      </c>
      <c r="T1190">
        <v>246.7</v>
      </c>
      <c r="U1190">
        <v>242</v>
      </c>
      <c r="V1190">
        <f>(T1190+U1190)/2</f>
        <v>244.35</v>
      </c>
      <c r="W1190">
        <f>T1190-U1190</f>
        <v>4.6999999999999886</v>
      </c>
      <c r="X1190">
        <v>18.947779000000001</v>
      </c>
      <c r="Y1190">
        <v>50.486941999999999</v>
      </c>
      <c r="Z1190" t="s">
        <v>268</v>
      </c>
      <c r="AA1190" t="s">
        <v>337</v>
      </c>
      <c r="AB1190" t="s">
        <v>2062</v>
      </c>
      <c r="AE1190" t="s">
        <v>463</v>
      </c>
      <c r="AH1190" t="s">
        <v>65</v>
      </c>
      <c r="AI1190" t="s">
        <v>2060</v>
      </c>
      <c r="AJ1190">
        <v>2016</v>
      </c>
      <c r="AK1190" t="s">
        <v>2065</v>
      </c>
      <c r="AN1190" t="s">
        <v>94</v>
      </c>
      <c r="AO1190" t="s">
        <v>68</v>
      </c>
      <c r="AQ1190" t="s">
        <v>2066</v>
      </c>
      <c r="AR1190" t="s">
        <v>70</v>
      </c>
      <c r="AS1190">
        <v>305</v>
      </c>
      <c r="AT1190" t="s">
        <v>71</v>
      </c>
      <c r="AU1190">
        <v>35.17</v>
      </c>
      <c r="AV1190">
        <v>30.69</v>
      </c>
      <c r="AW1190" t="s">
        <v>72</v>
      </c>
      <c r="AX1190">
        <v>305</v>
      </c>
      <c r="AY1190" t="s">
        <v>71</v>
      </c>
      <c r="AZ1190">
        <v>24.56</v>
      </c>
      <c r="BA1190">
        <v>18.8</v>
      </c>
      <c r="BB1190" t="s">
        <v>73</v>
      </c>
    </row>
    <row r="1191" spans="1:54" x14ac:dyDescent="0.4">
      <c r="A1191">
        <v>1419692</v>
      </c>
      <c r="D1191" t="s">
        <v>54</v>
      </c>
      <c r="I1191" t="s">
        <v>57</v>
      </c>
      <c r="K1191" t="s">
        <v>355</v>
      </c>
      <c r="L1191" t="s">
        <v>451</v>
      </c>
      <c r="M1191" t="s">
        <v>59</v>
      </c>
      <c r="N1191" t="s">
        <v>97</v>
      </c>
      <c r="O1191" t="s">
        <v>179</v>
      </c>
      <c r="P1191" t="s">
        <v>131</v>
      </c>
      <c r="R1191" t="s">
        <v>112</v>
      </c>
      <c r="S1191" t="s">
        <v>61</v>
      </c>
      <c r="T1191">
        <v>246.7</v>
      </c>
      <c r="U1191">
        <v>242</v>
      </c>
      <c r="V1191">
        <f>(T1191+U1191)/2</f>
        <v>244.35</v>
      </c>
      <c r="W1191">
        <f>T1191-U1191</f>
        <v>4.6999999999999886</v>
      </c>
      <c r="X1191">
        <v>22.350279</v>
      </c>
      <c r="Y1191">
        <v>47.104720999999998</v>
      </c>
      <c r="Z1191" t="s">
        <v>268</v>
      </c>
      <c r="AA1191" t="s">
        <v>2160</v>
      </c>
      <c r="AB1191" t="s">
        <v>2161</v>
      </c>
      <c r="AH1191" t="s">
        <v>65</v>
      </c>
      <c r="AI1191" t="s">
        <v>2162</v>
      </c>
      <c r="AJ1191">
        <v>1975</v>
      </c>
      <c r="AK1191" t="s">
        <v>2163</v>
      </c>
      <c r="AN1191" t="s">
        <v>67</v>
      </c>
      <c r="AO1191" t="s">
        <v>68</v>
      </c>
      <c r="AP1191" t="s">
        <v>95</v>
      </c>
      <c r="AR1191" t="s">
        <v>70</v>
      </c>
      <c r="AS1191">
        <v>308</v>
      </c>
      <c r="AT1191" t="s">
        <v>71</v>
      </c>
      <c r="AU1191">
        <v>39.94</v>
      </c>
      <c r="AV1191">
        <v>9.2100000000000009</v>
      </c>
      <c r="AW1191" t="s">
        <v>72</v>
      </c>
      <c r="AX1191" t="s">
        <v>270</v>
      </c>
      <c r="AY1191" t="s">
        <v>71</v>
      </c>
      <c r="BB1191" t="s">
        <v>73</v>
      </c>
    </row>
    <row r="1192" spans="1:54" x14ac:dyDescent="0.4">
      <c r="A1192">
        <v>1425292</v>
      </c>
      <c r="D1192" t="s">
        <v>54</v>
      </c>
      <c r="F1192" t="s">
        <v>1012</v>
      </c>
      <c r="G1192">
        <v>1</v>
      </c>
      <c r="H1192" t="s">
        <v>74</v>
      </c>
      <c r="I1192" t="s">
        <v>57</v>
      </c>
      <c r="K1192" t="s">
        <v>102</v>
      </c>
      <c r="L1192" t="s">
        <v>2173</v>
      </c>
      <c r="M1192" t="s">
        <v>59</v>
      </c>
      <c r="N1192" t="s">
        <v>97</v>
      </c>
      <c r="O1192" t="s">
        <v>76</v>
      </c>
      <c r="P1192" t="s">
        <v>131</v>
      </c>
      <c r="R1192" t="s">
        <v>112</v>
      </c>
      <c r="S1192" t="s">
        <v>61</v>
      </c>
      <c r="T1192">
        <v>246.7</v>
      </c>
      <c r="U1192">
        <v>242</v>
      </c>
      <c r="V1192">
        <f>(T1192+U1192)/2</f>
        <v>244.35</v>
      </c>
      <c r="W1192">
        <f>T1192-U1192</f>
        <v>4.6999999999999886</v>
      </c>
      <c r="X1192">
        <v>104.327904</v>
      </c>
      <c r="Y1192">
        <v>24.779699000000001</v>
      </c>
      <c r="Z1192" t="s">
        <v>268</v>
      </c>
      <c r="AA1192" t="s">
        <v>186</v>
      </c>
      <c r="AB1192" t="s">
        <v>371</v>
      </c>
      <c r="AC1192" t="s">
        <v>1602</v>
      </c>
      <c r="AD1192" t="s">
        <v>878</v>
      </c>
      <c r="AF1192">
        <v>2</v>
      </c>
      <c r="AG1192" t="s">
        <v>1415</v>
      </c>
      <c r="AH1192" t="s">
        <v>65</v>
      </c>
      <c r="AI1192" t="s">
        <v>626</v>
      </c>
      <c r="AJ1192">
        <v>2017</v>
      </c>
      <c r="AK1192" t="s">
        <v>2056</v>
      </c>
      <c r="AM1192" t="s">
        <v>2057</v>
      </c>
      <c r="AN1192" t="s">
        <v>67</v>
      </c>
      <c r="AO1192">
        <v>4</v>
      </c>
      <c r="AP1192" t="s">
        <v>95</v>
      </c>
      <c r="AQ1192" t="s">
        <v>1603</v>
      </c>
      <c r="AR1192" t="s">
        <v>70</v>
      </c>
      <c r="AS1192">
        <v>611</v>
      </c>
      <c r="AT1192" t="s">
        <v>71</v>
      </c>
      <c r="AU1192">
        <v>106.84</v>
      </c>
      <c r="AV1192">
        <v>-11.35</v>
      </c>
      <c r="AW1192" t="s">
        <v>72</v>
      </c>
      <c r="AX1192">
        <v>611</v>
      </c>
      <c r="AY1192" t="s">
        <v>71</v>
      </c>
      <c r="AZ1192">
        <v>95.25</v>
      </c>
      <c r="BA1192">
        <v>10.7</v>
      </c>
      <c r="BB1192" t="s">
        <v>73</v>
      </c>
    </row>
    <row r="1193" spans="1:54" x14ac:dyDescent="0.4">
      <c r="A1193">
        <v>1428360</v>
      </c>
      <c r="D1193" t="s">
        <v>54</v>
      </c>
      <c r="E1193" t="s">
        <v>104</v>
      </c>
      <c r="G1193">
        <v>1</v>
      </c>
      <c r="H1193" t="s">
        <v>74</v>
      </c>
      <c r="I1193" t="s">
        <v>57</v>
      </c>
      <c r="K1193" t="s">
        <v>102</v>
      </c>
      <c r="L1193" t="s">
        <v>1495</v>
      </c>
      <c r="M1193" t="s">
        <v>59</v>
      </c>
      <c r="O1193" t="s">
        <v>76</v>
      </c>
      <c r="P1193" t="s">
        <v>131</v>
      </c>
      <c r="R1193" t="s">
        <v>112</v>
      </c>
      <c r="S1193" t="s">
        <v>61</v>
      </c>
      <c r="T1193">
        <v>246.7</v>
      </c>
      <c r="U1193">
        <v>242</v>
      </c>
      <c r="V1193">
        <f>(T1193+U1193)/2</f>
        <v>244.35</v>
      </c>
      <c r="W1193">
        <f>T1193-U1193</f>
        <v>4.6999999999999886</v>
      </c>
      <c r="X1193">
        <v>35.266666000000001</v>
      </c>
      <c r="Y1193">
        <v>-10.383333</v>
      </c>
      <c r="Z1193" t="s">
        <v>454</v>
      </c>
      <c r="AA1193" t="s">
        <v>455</v>
      </c>
      <c r="AB1193" t="s">
        <v>1492</v>
      </c>
      <c r="AD1193" t="s">
        <v>458</v>
      </c>
      <c r="AF1193" t="s">
        <v>459</v>
      </c>
      <c r="AG1193" t="s">
        <v>460</v>
      </c>
      <c r="AH1193" t="s">
        <v>65</v>
      </c>
      <c r="AI1193" t="s">
        <v>1959</v>
      </c>
      <c r="AJ1193">
        <v>1953</v>
      </c>
      <c r="AK1193" t="s">
        <v>1493</v>
      </c>
      <c r="AN1193" t="s">
        <v>94</v>
      </c>
      <c r="AO1193" t="s">
        <v>106</v>
      </c>
      <c r="AP1193" t="s">
        <v>69</v>
      </c>
      <c r="AQ1193" t="s">
        <v>1494</v>
      </c>
      <c r="AR1193" t="s">
        <v>70</v>
      </c>
      <c r="AS1193">
        <v>701</v>
      </c>
      <c r="AT1193" t="s">
        <v>71</v>
      </c>
      <c r="AU1193">
        <v>20.51</v>
      </c>
      <c r="AV1193">
        <v>-40.51</v>
      </c>
      <c r="AW1193" t="s">
        <v>72</v>
      </c>
      <c r="AX1193">
        <v>709</v>
      </c>
      <c r="AY1193" t="s">
        <v>71</v>
      </c>
      <c r="AZ1193">
        <v>22.53</v>
      </c>
      <c r="BA1193">
        <v>-53.51</v>
      </c>
      <c r="BB1193" t="s">
        <v>73</v>
      </c>
    </row>
    <row r="1194" spans="1:54" x14ac:dyDescent="0.4">
      <c r="A1194">
        <v>1530023</v>
      </c>
      <c r="D1194" t="s">
        <v>54</v>
      </c>
      <c r="E1194" t="s">
        <v>104</v>
      </c>
      <c r="G1194">
        <v>1</v>
      </c>
      <c r="H1194" t="s">
        <v>56</v>
      </c>
      <c r="I1194" t="s">
        <v>57</v>
      </c>
      <c r="K1194" t="s">
        <v>102</v>
      </c>
      <c r="L1194" t="s">
        <v>2210</v>
      </c>
      <c r="M1194" t="s">
        <v>59</v>
      </c>
      <c r="P1194" t="s">
        <v>131</v>
      </c>
      <c r="R1194" t="s">
        <v>112</v>
      </c>
      <c r="S1194" t="s">
        <v>61</v>
      </c>
      <c r="T1194">
        <v>246.7</v>
      </c>
      <c r="U1194">
        <v>242</v>
      </c>
      <c r="V1194">
        <f>(T1194+U1194)/2</f>
        <v>244.35</v>
      </c>
      <c r="W1194">
        <f>T1194-U1194</f>
        <v>4.6999999999999886</v>
      </c>
      <c r="X1194">
        <v>-3.2647219999999999</v>
      </c>
      <c r="Y1194">
        <v>50.670833999999999</v>
      </c>
      <c r="Z1194" t="s">
        <v>113</v>
      </c>
      <c r="AA1194" t="s">
        <v>78</v>
      </c>
      <c r="AB1194" t="s">
        <v>79</v>
      </c>
      <c r="AC1194" t="s">
        <v>909</v>
      </c>
      <c r="AD1194" t="s">
        <v>2211</v>
      </c>
      <c r="AE1194" t="s">
        <v>422</v>
      </c>
      <c r="AF1194" t="s">
        <v>2212</v>
      </c>
      <c r="AH1194" t="s">
        <v>65</v>
      </c>
      <c r="AI1194" t="s">
        <v>2213</v>
      </c>
      <c r="AJ1194">
        <v>2020</v>
      </c>
      <c r="AK1194" t="s">
        <v>2214</v>
      </c>
      <c r="AN1194" t="s">
        <v>67</v>
      </c>
      <c r="AO1194" t="s">
        <v>68</v>
      </c>
      <c r="AP1194" t="s">
        <v>95</v>
      </c>
      <c r="AQ1194" t="s">
        <v>2215</v>
      </c>
      <c r="AR1194" t="s">
        <v>70</v>
      </c>
      <c r="AS1194">
        <v>315</v>
      </c>
      <c r="AT1194" t="s">
        <v>71</v>
      </c>
      <c r="AU1194">
        <v>19.39</v>
      </c>
      <c r="AV1194">
        <v>27.8</v>
      </c>
      <c r="AW1194" t="s">
        <v>72</v>
      </c>
      <c r="AX1194">
        <v>315</v>
      </c>
      <c r="AY1194" t="s">
        <v>71</v>
      </c>
      <c r="AZ1194">
        <v>10.89</v>
      </c>
      <c r="BA1194">
        <v>13.75</v>
      </c>
      <c r="BB1194" t="s">
        <v>73</v>
      </c>
    </row>
    <row r="1195" spans="1:54" x14ac:dyDescent="0.4">
      <c r="A1195">
        <v>1574347</v>
      </c>
      <c r="D1195" t="s">
        <v>54</v>
      </c>
      <c r="G1195">
        <v>1</v>
      </c>
      <c r="H1195" t="s">
        <v>74</v>
      </c>
      <c r="I1195" t="s">
        <v>57</v>
      </c>
      <c r="K1195" t="s">
        <v>2222</v>
      </c>
      <c r="L1195" t="s">
        <v>2223</v>
      </c>
      <c r="M1195" t="s">
        <v>59</v>
      </c>
      <c r="O1195" t="s">
        <v>76</v>
      </c>
      <c r="P1195" t="s">
        <v>131</v>
      </c>
      <c r="R1195" t="s">
        <v>112</v>
      </c>
      <c r="S1195" t="s">
        <v>61</v>
      </c>
      <c r="T1195">
        <v>246.7</v>
      </c>
      <c r="U1195">
        <v>242</v>
      </c>
      <c r="V1195">
        <f>(T1195+U1195)/2</f>
        <v>244.35</v>
      </c>
      <c r="W1195">
        <f>T1195-U1195</f>
        <v>4.6999999999999886</v>
      </c>
      <c r="X1195">
        <v>18.966667000000001</v>
      </c>
      <c r="Y1195">
        <v>50.299999</v>
      </c>
      <c r="Z1195" t="s">
        <v>398</v>
      </c>
      <c r="AA1195" t="s">
        <v>337</v>
      </c>
      <c r="AD1195" t="s">
        <v>997</v>
      </c>
      <c r="AF1195" t="s">
        <v>998</v>
      </c>
      <c r="AH1195" t="s">
        <v>11</v>
      </c>
      <c r="AI1195" t="s">
        <v>974</v>
      </c>
      <c r="AJ1195">
        <v>1884</v>
      </c>
      <c r="AK1195" t="s">
        <v>999</v>
      </c>
      <c r="AN1195" t="s">
        <v>94</v>
      </c>
      <c r="AO1195" t="s">
        <v>106</v>
      </c>
      <c r="AP1195" t="s">
        <v>69</v>
      </c>
      <c r="AQ1195" t="s">
        <v>1000</v>
      </c>
      <c r="AR1195" t="s">
        <v>70</v>
      </c>
      <c r="AS1195">
        <v>305</v>
      </c>
      <c r="AT1195" t="s">
        <v>71</v>
      </c>
      <c r="AU1195">
        <v>35.25</v>
      </c>
      <c r="AV1195">
        <v>30.52</v>
      </c>
      <c r="AW1195" t="s">
        <v>72</v>
      </c>
      <c r="AX1195">
        <v>305</v>
      </c>
      <c r="AY1195" t="s">
        <v>71</v>
      </c>
      <c r="AZ1195">
        <v>24.67</v>
      </c>
      <c r="BA1195">
        <v>18.64</v>
      </c>
      <c r="BB1195" t="s">
        <v>73</v>
      </c>
    </row>
    <row r="1196" spans="1:54" x14ac:dyDescent="0.4">
      <c r="A1196">
        <v>1583200</v>
      </c>
      <c r="D1196" t="s">
        <v>54</v>
      </c>
      <c r="G1196">
        <v>1</v>
      </c>
      <c r="H1196" t="s">
        <v>74</v>
      </c>
      <c r="I1196" t="s">
        <v>57</v>
      </c>
      <c r="K1196" t="s">
        <v>102</v>
      </c>
      <c r="L1196" t="s">
        <v>2224</v>
      </c>
      <c r="M1196" t="s">
        <v>59</v>
      </c>
      <c r="P1196" t="s">
        <v>131</v>
      </c>
      <c r="R1196" t="s">
        <v>112</v>
      </c>
      <c r="S1196" t="s">
        <v>61</v>
      </c>
      <c r="T1196">
        <v>246.7</v>
      </c>
      <c r="U1196">
        <v>242</v>
      </c>
      <c r="V1196">
        <f>(T1196+U1196)/2</f>
        <v>244.35</v>
      </c>
      <c r="W1196">
        <f>T1196-U1196</f>
        <v>4.6999999999999886</v>
      </c>
      <c r="X1196">
        <v>13.199593999999999</v>
      </c>
      <c r="Y1196">
        <v>46.490940000000002</v>
      </c>
      <c r="Z1196" t="s">
        <v>99</v>
      </c>
      <c r="AA1196" t="s">
        <v>291</v>
      </c>
      <c r="AB1196" t="s">
        <v>292</v>
      </c>
      <c r="AD1196" t="s">
        <v>2225</v>
      </c>
      <c r="AH1196" t="s">
        <v>65</v>
      </c>
      <c r="AI1196" t="s">
        <v>587</v>
      </c>
      <c r="AJ1196">
        <v>2021</v>
      </c>
      <c r="AK1196" t="s">
        <v>2226</v>
      </c>
      <c r="AM1196" t="s">
        <v>2227</v>
      </c>
      <c r="AN1196" t="s">
        <v>94</v>
      </c>
      <c r="AO1196">
        <v>6</v>
      </c>
      <c r="AP1196" t="s">
        <v>95</v>
      </c>
      <c r="AQ1196" t="s">
        <v>2228</v>
      </c>
      <c r="AR1196" t="s">
        <v>70</v>
      </c>
      <c r="AS1196">
        <v>307</v>
      </c>
      <c r="AT1196" t="s">
        <v>71</v>
      </c>
      <c r="AU1196">
        <v>36.17</v>
      </c>
      <c r="AV1196">
        <v>14.31</v>
      </c>
      <c r="AW1196" t="s">
        <v>72</v>
      </c>
      <c r="AX1196">
        <v>307</v>
      </c>
      <c r="AY1196" t="s">
        <v>71</v>
      </c>
      <c r="AZ1196">
        <v>24.74</v>
      </c>
      <c r="BA1196">
        <v>5.8</v>
      </c>
      <c r="BB1196" t="s">
        <v>73</v>
      </c>
    </row>
    <row r="1197" spans="1:54" x14ac:dyDescent="0.4">
      <c r="A1197">
        <v>1587701</v>
      </c>
      <c r="D1197" t="s">
        <v>54</v>
      </c>
      <c r="G1197">
        <v>1</v>
      </c>
      <c r="H1197" t="s">
        <v>56</v>
      </c>
      <c r="I1197" t="s">
        <v>57</v>
      </c>
      <c r="K1197" t="s">
        <v>102</v>
      </c>
      <c r="L1197" t="s">
        <v>2229</v>
      </c>
      <c r="M1197" t="s">
        <v>59</v>
      </c>
      <c r="O1197" t="s">
        <v>76</v>
      </c>
      <c r="P1197" t="s">
        <v>131</v>
      </c>
      <c r="R1197" t="s">
        <v>112</v>
      </c>
      <c r="S1197" t="s">
        <v>61</v>
      </c>
      <c r="T1197">
        <v>246.7</v>
      </c>
      <c r="U1197">
        <v>242</v>
      </c>
      <c r="V1197">
        <f>(T1197+U1197)/2</f>
        <v>244.35</v>
      </c>
      <c r="W1197">
        <f>T1197-U1197</f>
        <v>4.6999999999999886</v>
      </c>
      <c r="X1197">
        <v>35.496943999999999</v>
      </c>
      <c r="Y1197">
        <v>-10.471944000000001</v>
      </c>
      <c r="Z1197" t="s">
        <v>85</v>
      </c>
      <c r="AA1197" t="s">
        <v>455</v>
      </c>
      <c r="AB1197" t="s">
        <v>456</v>
      </c>
      <c r="AC1197" t="s">
        <v>457</v>
      </c>
      <c r="AD1197" t="s">
        <v>458</v>
      </c>
      <c r="AF1197" t="s">
        <v>459</v>
      </c>
      <c r="AG1197" t="s">
        <v>1772</v>
      </c>
      <c r="AH1197" t="s">
        <v>65</v>
      </c>
      <c r="AI1197" t="s">
        <v>472</v>
      </c>
      <c r="AJ1197">
        <v>2022</v>
      </c>
      <c r="AK1197" t="s">
        <v>2230</v>
      </c>
      <c r="AM1197" t="s">
        <v>2231</v>
      </c>
      <c r="AN1197" t="s">
        <v>121</v>
      </c>
      <c r="AO1197" t="s">
        <v>68</v>
      </c>
      <c r="AP1197" t="s">
        <v>69</v>
      </c>
      <c r="AQ1197" t="s">
        <v>2232</v>
      </c>
      <c r="AR1197" t="s">
        <v>70</v>
      </c>
      <c r="AS1197">
        <v>701</v>
      </c>
      <c r="AT1197" t="s">
        <v>71</v>
      </c>
      <c r="AU1197">
        <v>20.7</v>
      </c>
      <c r="AV1197">
        <v>-40.71</v>
      </c>
      <c r="AW1197" t="s">
        <v>72</v>
      </c>
      <c r="AX1197">
        <v>709</v>
      </c>
      <c r="AY1197" t="s">
        <v>71</v>
      </c>
      <c r="AZ1197">
        <v>22.85</v>
      </c>
      <c r="BA1197">
        <v>-53.66</v>
      </c>
      <c r="BB1197" t="s">
        <v>73</v>
      </c>
    </row>
    <row r="1198" spans="1:54" x14ac:dyDescent="0.4">
      <c r="A1198">
        <v>1611415</v>
      </c>
      <c r="D1198" t="s">
        <v>381</v>
      </c>
      <c r="I1198" t="s">
        <v>57</v>
      </c>
      <c r="K1198" t="s">
        <v>80</v>
      </c>
      <c r="L1198" t="s">
        <v>755</v>
      </c>
      <c r="M1198" t="s">
        <v>59</v>
      </c>
      <c r="O1198" t="s">
        <v>107</v>
      </c>
      <c r="P1198" t="s">
        <v>131</v>
      </c>
      <c r="R1198" t="s">
        <v>112</v>
      </c>
      <c r="S1198" t="s">
        <v>61</v>
      </c>
      <c r="T1198">
        <v>246.7</v>
      </c>
      <c r="U1198">
        <v>242</v>
      </c>
      <c r="V1198">
        <f>(T1198+U1198)/2</f>
        <v>244.35</v>
      </c>
      <c r="W1198">
        <f>T1198-U1198</f>
        <v>4.6999999999999886</v>
      </c>
      <c r="X1198">
        <v>-63.957802000000001</v>
      </c>
      <c r="Y1198">
        <v>45.396701999999998</v>
      </c>
      <c r="Z1198" t="s">
        <v>469</v>
      </c>
      <c r="AA1198" t="s">
        <v>470</v>
      </c>
      <c r="AB1198" t="s">
        <v>471</v>
      </c>
      <c r="AD1198" t="s">
        <v>545</v>
      </c>
      <c r="AE1198" t="s">
        <v>64</v>
      </c>
      <c r="AH1198" t="s">
        <v>11</v>
      </c>
      <c r="AI1198" t="s">
        <v>446</v>
      </c>
      <c r="AJ1198">
        <v>1989</v>
      </c>
      <c r="AK1198" t="s">
        <v>2246</v>
      </c>
      <c r="AM1198" t="s">
        <v>2247</v>
      </c>
      <c r="AN1198" t="s">
        <v>121</v>
      </c>
      <c r="AO1198">
        <v>4</v>
      </c>
      <c r="AP1198" t="s">
        <v>69</v>
      </c>
      <c r="AQ1198" t="s">
        <v>2248</v>
      </c>
      <c r="AR1198" t="s">
        <v>70</v>
      </c>
      <c r="AS1198">
        <v>108</v>
      </c>
      <c r="AT1198" t="s">
        <v>71</v>
      </c>
      <c r="AU1198">
        <v>4.32</v>
      </c>
      <c r="AV1198">
        <v>21.21</v>
      </c>
      <c r="AW1198" t="s">
        <v>72</v>
      </c>
      <c r="AX1198">
        <v>108</v>
      </c>
      <c r="AY1198" t="s">
        <v>71</v>
      </c>
      <c r="AZ1198">
        <v>-2.36</v>
      </c>
      <c r="BA1198">
        <v>5.94</v>
      </c>
      <c r="BB1198" t="s">
        <v>73</v>
      </c>
    </row>
    <row r="1199" spans="1:54" x14ac:dyDescent="0.4">
      <c r="A1199">
        <v>1611416</v>
      </c>
      <c r="D1199" t="s">
        <v>381</v>
      </c>
      <c r="I1199" t="s">
        <v>57</v>
      </c>
      <c r="K1199" t="s">
        <v>80</v>
      </c>
      <c r="L1199" t="s">
        <v>794</v>
      </c>
      <c r="M1199" t="s">
        <v>59</v>
      </c>
      <c r="P1199" t="s">
        <v>131</v>
      </c>
      <c r="R1199" t="s">
        <v>112</v>
      </c>
      <c r="S1199" t="s">
        <v>61</v>
      </c>
      <c r="T1199">
        <v>246.7</v>
      </c>
      <c r="U1199">
        <v>242</v>
      </c>
      <c r="V1199">
        <f>(T1199+U1199)/2</f>
        <v>244.35</v>
      </c>
      <c r="W1199">
        <f>T1199-U1199</f>
        <v>4.6999999999999886</v>
      </c>
      <c r="X1199">
        <v>-63.957802000000001</v>
      </c>
      <c r="Y1199">
        <v>45.396701999999998</v>
      </c>
      <c r="Z1199" t="s">
        <v>469</v>
      </c>
      <c r="AA1199" t="s">
        <v>470</v>
      </c>
      <c r="AB1199" t="s">
        <v>471</v>
      </c>
      <c r="AD1199" t="s">
        <v>545</v>
      </c>
      <c r="AE1199" t="s">
        <v>64</v>
      </c>
      <c r="AH1199" t="s">
        <v>11</v>
      </c>
      <c r="AI1199" t="s">
        <v>446</v>
      </c>
      <c r="AJ1199">
        <v>1989</v>
      </c>
      <c r="AK1199" t="s">
        <v>2246</v>
      </c>
      <c r="AM1199" t="s">
        <v>2247</v>
      </c>
      <c r="AN1199" t="s">
        <v>121</v>
      </c>
      <c r="AO1199">
        <v>4</v>
      </c>
      <c r="AP1199" t="s">
        <v>69</v>
      </c>
      <c r="AQ1199" t="s">
        <v>2248</v>
      </c>
      <c r="AR1199" t="s">
        <v>70</v>
      </c>
      <c r="AS1199">
        <v>108</v>
      </c>
      <c r="AT1199" t="s">
        <v>71</v>
      </c>
      <c r="AU1199">
        <v>4.32</v>
      </c>
      <c r="AV1199">
        <v>21.21</v>
      </c>
      <c r="AW1199" t="s">
        <v>72</v>
      </c>
      <c r="AX1199">
        <v>108</v>
      </c>
      <c r="AY1199" t="s">
        <v>71</v>
      </c>
      <c r="AZ1199">
        <v>-2.36</v>
      </c>
      <c r="BA1199">
        <v>5.94</v>
      </c>
      <c r="BB1199" t="s">
        <v>73</v>
      </c>
    </row>
    <row r="1200" spans="1:54" x14ac:dyDescent="0.4">
      <c r="A1200">
        <v>1611419</v>
      </c>
      <c r="D1200" t="s">
        <v>381</v>
      </c>
      <c r="I1200" t="s">
        <v>57</v>
      </c>
      <c r="K1200" t="s">
        <v>355</v>
      </c>
      <c r="L1200" t="s">
        <v>451</v>
      </c>
      <c r="M1200" t="s">
        <v>59</v>
      </c>
      <c r="N1200" t="s">
        <v>97</v>
      </c>
      <c r="O1200" t="s">
        <v>179</v>
      </c>
      <c r="P1200" t="s">
        <v>131</v>
      </c>
      <c r="R1200" t="s">
        <v>112</v>
      </c>
      <c r="S1200" t="s">
        <v>61</v>
      </c>
      <c r="T1200">
        <v>246.7</v>
      </c>
      <c r="U1200">
        <v>242</v>
      </c>
      <c r="V1200">
        <f>(T1200+U1200)/2</f>
        <v>244.35</v>
      </c>
      <c r="W1200">
        <f>T1200-U1200</f>
        <v>4.6999999999999886</v>
      </c>
      <c r="X1200">
        <v>-63.957802000000001</v>
      </c>
      <c r="Y1200">
        <v>45.396701999999998</v>
      </c>
      <c r="Z1200" t="s">
        <v>469</v>
      </c>
      <c r="AA1200" t="s">
        <v>470</v>
      </c>
      <c r="AB1200" t="s">
        <v>471</v>
      </c>
      <c r="AD1200" t="s">
        <v>545</v>
      </c>
      <c r="AE1200" t="s">
        <v>64</v>
      </c>
      <c r="AH1200" t="s">
        <v>11</v>
      </c>
      <c r="AI1200" t="s">
        <v>446</v>
      </c>
      <c r="AJ1200">
        <v>1989</v>
      </c>
      <c r="AK1200" t="s">
        <v>2246</v>
      </c>
      <c r="AM1200" t="s">
        <v>2247</v>
      </c>
      <c r="AN1200" t="s">
        <v>121</v>
      </c>
      <c r="AO1200">
        <v>4</v>
      </c>
      <c r="AP1200" t="s">
        <v>69</v>
      </c>
      <c r="AQ1200" t="s">
        <v>2248</v>
      </c>
      <c r="AR1200" t="s">
        <v>70</v>
      </c>
      <c r="AS1200">
        <v>108</v>
      </c>
      <c r="AT1200" t="s">
        <v>71</v>
      </c>
      <c r="AU1200">
        <v>4.32</v>
      </c>
      <c r="AV1200">
        <v>21.21</v>
      </c>
      <c r="AW1200" t="s">
        <v>72</v>
      </c>
      <c r="AX1200">
        <v>108</v>
      </c>
      <c r="AY1200" t="s">
        <v>71</v>
      </c>
      <c r="AZ1200">
        <v>-2.36</v>
      </c>
      <c r="BA1200">
        <v>5.94</v>
      </c>
      <c r="BB1200" t="s">
        <v>73</v>
      </c>
    </row>
    <row r="1201" spans="1:54" x14ac:dyDescent="0.4">
      <c r="A1201">
        <v>1658965</v>
      </c>
      <c r="D1201" t="s">
        <v>54</v>
      </c>
      <c r="I1201" t="s">
        <v>57</v>
      </c>
      <c r="K1201" t="s">
        <v>102</v>
      </c>
      <c r="L1201" t="s">
        <v>2272</v>
      </c>
      <c r="M1201" t="s">
        <v>59</v>
      </c>
      <c r="O1201" t="s">
        <v>76</v>
      </c>
      <c r="P1201" t="s">
        <v>131</v>
      </c>
      <c r="R1201" t="s">
        <v>112</v>
      </c>
      <c r="S1201" t="s">
        <v>61</v>
      </c>
      <c r="T1201">
        <v>246.7</v>
      </c>
      <c r="U1201">
        <v>242</v>
      </c>
      <c r="V1201">
        <f>(T1201+U1201)/2</f>
        <v>244.35</v>
      </c>
      <c r="W1201">
        <f>T1201-U1201</f>
        <v>4.6999999999999886</v>
      </c>
      <c r="X1201">
        <v>-117.580833</v>
      </c>
      <c r="Y1201">
        <v>40.066386999999999</v>
      </c>
      <c r="Z1201" t="s">
        <v>428</v>
      </c>
      <c r="AA1201" t="s">
        <v>63</v>
      </c>
      <c r="AB1201" t="s">
        <v>271</v>
      </c>
      <c r="AC1201" t="s">
        <v>272</v>
      </c>
      <c r="AD1201" t="s">
        <v>1379</v>
      </c>
      <c r="AF1201" t="s">
        <v>1380</v>
      </c>
      <c r="AG1201" t="s">
        <v>2273</v>
      </c>
      <c r="AH1201" t="s">
        <v>65</v>
      </c>
      <c r="AI1201" t="s">
        <v>2274</v>
      </c>
      <c r="AJ1201">
        <v>2024</v>
      </c>
      <c r="AK1201" t="s">
        <v>2275</v>
      </c>
      <c r="AM1201" t="s">
        <v>2276</v>
      </c>
      <c r="AN1201" t="s">
        <v>94</v>
      </c>
      <c r="AO1201" t="s">
        <v>68</v>
      </c>
      <c r="AP1201" t="s">
        <v>69</v>
      </c>
      <c r="AQ1201" t="s">
        <v>2277</v>
      </c>
      <c r="AR1201" t="s">
        <v>70</v>
      </c>
      <c r="AS1201">
        <v>101</v>
      </c>
      <c r="AT1201" t="s">
        <v>71</v>
      </c>
      <c r="AU1201">
        <v>-38.04</v>
      </c>
      <c r="AV1201">
        <v>24.63</v>
      </c>
      <c r="AW1201" t="s">
        <v>72</v>
      </c>
      <c r="AX1201">
        <v>131</v>
      </c>
      <c r="AY1201" t="s">
        <v>71</v>
      </c>
      <c r="AZ1201">
        <v>-43.1</v>
      </c>
      <c r="BA1201">
        <v>9.18</v>
      </c>
      <c r="BB1201" t="s">
        <v>73</v>
      </c>
    </row>
    <row r="1202" spans="1:54" x14ac:dyDescent="0.4">
      <c r="A1202">
        <v>1600124</v>
      </c>
      <c r="D1202" t="s">
        <v>376</v>
      </c>
      <c r="I1202" t="s">
        <v>57</v>
      </c>
      <c r="K1202" t="s">
        <v>355</v>
      </c>
      <c r="L1202" t="s">
        <v>826</v>
      </c>
      <c r="M1202" t="s">
        <v>59</v>
      </c>
      <c r="P1202" t="s">
        <v>131</v>
      </c>
      <c r="Q1202" t="s">
        <v>111</v>
      </c>
      <c r="R1202" t="s">
        <v>112</v>
      </c>
      <c r="S1202" t="s">
        <v>61</v>
      </c>
      <c r="T1202">
        <v>246.7</v>
      </c>
      <c r="U1202">
        <v>239.7</v>
      </c>
      <c r="V1202">
        <f>(T1202+U1202)/2</f>
        <v>243.2</v>
      </c>
      <c r="W1202">
        <f>T1202-U1202</f>
        <v>7</v>
      </c>
      <c r="X1202">
        <v>8.9450000000000003</v>
      </c>
      <c r="Y1202">
        <v>45.914000999999999</v>
      </c>
      <c r="Z1202" t="s">
        <v>465</v>
      </c>
      <c r="AA1202" t="s">
        <v>133</v>
      </c>
      <c r="AD1202" t="s">
        <v>829</v>
      </c>
      <c r="AF1202" t="s">
        <v>1381</v>
      </c>
      <c r="AH1202" t="s">
        <v>65</v>
      </c>
      <c r="AI1202" t="s">
        <v>769</v>
      </c>
      <c r="AJ1202">
        <v>1989</v>
      </c>
      <c r="AK1202" t="s">
        <v>2235</v>
      </c>
      <c r="AM1202" t="s">
        <v>2236</v>
      </c>
      <c r="AN1202" t="s">
        <v>121</v>
      </c>
      <c r="AO1202">
        <v>3</v>
      </c>
      <c r="AP1202" t="s">
        <v>69</v>
      </c>
      <c r="AQ1202" t="s">
        <v>2237</v>
      </c>
      <c r="AR1202" t="s">
        <v>70</v>
      </c>
      <c r="AS1202">
        <v>307</v>
      </c>
      <c r="AT1202" t="s">
        <v>71</v>
      </c>
      <c r="AU1202">
        <v>33.770000000000003</v>
      </c>
      <c r="AV1202">
        <v>17.760000000000002</v>
      </c>
      <c r="AW1202" t="s">
        <v>72</v>
      </c>
      <c r="AX1202">
        <v>307</v>
      </c>
      <c r="AY1202" t="s">
        <v>71</v>
      </c>
      <c r="AZ1202">
        <v>20.9</v>
      </c>
      <c r="BA1202">
        <v>7.81</v>
      </c>
      <c r="BB1202" t="s">
        <v>73</v>
      </c>
    </row>
    <row r="1203" spans="1:54" x14ac:dyDescent="0.4">
      <c r="A1203">
        <v>1600125</v>
      </c>
      <c r="D1203" t="s">
        <v>376</v>
      </c>
      <c r="I1203" t="s">
        <v>57</v>
      </c>
      <c r="K1203" t="s">
        <v>355</v>
      </c>
      <c r="L1203" t="s">
        <v>826</v>
      </c>
      <c r="M1203" t="s">
        <v>59</v>
      </c>
      <c r="P1203" t="s">
        <v>131</v>
      </c>
      <c r="Q1203" t="s">
        <v>111</v>
      </c>
      <c r="R1203" t="s">
        <v>112</v>
      </c>
      <c r="S1203" t="s">
        <v>61</v>
      </c>
      <c r="T1203">
        <v>246.7</v>
      </c>
      <c r="U1203">
        <v>239.7</v>
      </c>
      <c r="V1203">
        <f>(T1203+U1203)/2</f>
        <v>243.2</v>
      </c>
      <c r="W1203">
        <f>T1203-U1203</f>
        <v>7</v>
      </c>
      <c r="X1203">
        <v>8.9450000000000003</v>
      </c>
      <c r="Y1203">
        <v>45.914000999999999</v>
      </c>
      <c r="Z1203" t="s">
        <v>465</v>
      </c>
      <c r="AA1203" t="s">
        <v>133</v>
      </c>
      <c r="AD1203" t="s">
        <v>829</v>
      </c>
      <c r="AF1203" t="s">
        <v>1381</v>
      </c>
      <c r="AH1203" t="s">
        <v>65</v>
      </c>
      <c r="AI1203" t="s">
        <v>2238</v>
      </c>
      <c r="AJ1203">
        <v>2017</v>
      </c>
      <c r="AK1203" t="s">
        <v>2235</v>
      </c>
      <c r="AM1203" t="s">
        <v>2236</v>
      </c>
      <c r="AN1203" t="s">
        <v>121</v>
      </c>
      <c r="AO1203">
        <v>3</v>
      </c>
      <c r="AP1203" t="s">
        <v>69</v>
      </c>
      <c r="AQ1203" t="s">
        <v>2237</v>
      </c>
      <c r="AR1203" t="s">
        <v>70</v>
      </c>
      <c r="AS1203">
        <v>307</v>
      </c>
      <c r="AT1203" t="s">
        <v>71</v>
      </c>
      <c r="AU1203">
        <v>33.770000000000003</v>
      </c>
      <c r="AV1203">
        <v>17.760000000000002</v>
      </c>
      <c r="AW1203" t="s">
        <v>72</v>
      </c>
      <c r="AX1203">
        <v>307</v>
      </c>
      <c r="AY1203" t="s">
        <v>71</v>
      </c>
      <c r="AZ1203">
        <v>20.9</v>
      </c>
      <c r="BA1203">
        <v>7.81</v>
      </c>
      <c r="BB1203" t="s">
        <v>73</v>
      </c>
    </row>
    <row r="1204" spans="1:54" x14ac:dyDescent="0.4">
      <c r="A1204">
        <v>1600128</v>
      </c>
      <c r="D1204" t="s">
        <v>376</v>
      </c>
      <c r="G1204">
        <v>3</v>
      </c>
      <c r="H1204" t="s">
        <v>74</v>
      </c>
      <c r="I1204" t="s">
        <v>57</v>
      </c>
      <c r="K1204" t="s">
        <v>1320</v>
      </c>
      <c r="L1204" t="s">
        <v>2198</v>
      </c>
      <c r="M1204" t="s">
        <v>59</v>
      </c>
      <c r="P1204" t="s">
        <v>131</v>
      </c>
      <c r="Q1204" t="s">
        <v>111</v>
      </c>
      <c r="R1204" t="s">
        <v>112</v>
      </c>
      <c r="S1204" t="s">
        <v>61</v>
      </c>
      <c r="T1204">
        <v>246.7</v>
      </c>
      <c r="U1204">
        <v>239.7</v>
      </c>
      <c r="V1204">
        <f>(T1204+U1204)/2</f>
        <v>243.2</v>
      </c>
      <c r="W1204">
        <f>T1204-U1204</f>
        <v>7</v>
      </c>
      <c r="X1204">
        <v>8.9450000000000003</v>
      </c>
      <c r="Y1204">
        <v>45.914000999999999</v>
      </c>
      <c r="Z1204" t="s">
        <v>465</v>
      </c>
      <c r="AA1204" t="s">
        <v>133</v>
      </c>
      <c r="AD1204" t="s">
        <v>829</v>
      </c>
      <c r="AF1204" t="s">
        <v>1381</v>
      </c>
      <c r="AH1204" t="s">
        <v>65</v>
      </c>
      <c r="AI1204" t="s">
        <v>769</v>
      </c>
      <c r="AJ1204">
        <v>1989</v>
      </c>
      <c r="AK1204" t="s">
        <v>2235</v>
      </c>
      <c r="AM1204" t="s">
        <v>2236</v>
      </c>
      <c r="AN1204" t="s">
        <v>121</v>
      </c>
      <c r="AO1204">
        <v>3</v>
      </c>
      <c r="AP1204" t="s">
        <v>69</v>
      </c>
      <c r="AQ1204" t="s">
        <v>2237</v>
      </c>
      <c r="AR1204" t="s">
        <v>70</v>
      </c>
      <c r="AS1204">
        <v>307</v>
      </c>
      <c r="AT1204" t="s">
        <v>71</v>
      </c>
      <c r="AU1204">
        <v>33.770000000000003</v>
      </c>
      <c r="AV1204">
        <v>17.760000000000002</v>
      </c>
      <c r="AW1204" t="s">
        <v>72</v>
      </c>
      <c r="AX1204">
        <v>307</v>
      </c>
      <c r="AY1204" t="s">
        <v>71</v>
      </c>
      <c r="AZ1204">
        <v>20.9</v>
      </c>
      <c r="BA1204">
        <v>7.81</v>
      </c>
      <c r="BB1204" t="s">
        <v>73</v>
      </c>
    </row>
    <row r="1205" spans="1:54" x14ac:dyDescent="0.4">
      <c r="A1205">
        <v>1406769</v>
      </c>
      <c r="D1205" t="s">
        <v>54</v>
      </c>
      <c r="E1205" t="s">
        <v>55</v>
      </c>
      <c r="G1205">
        <v>1</v>
      </c>
      <c r="H1205" t="s">
        <v>56</v>
      </c>
      <c r="I1205" t="s">
        <v>57</v>
      </c>
      <c r="K1205" t="s">
        <v>102</v>
      </c>
      <c r="L1205" t="s">
        <v>2037</v>
      </c>
      <c r="M1205" t="s">
        <v>59</v>
      </c>
      <c r="P1205" t="s">
        <v>131</v>
      </c>
      <c r="Q1205" t="s">
        <v>2038</v>
      </c>
      <c r="R1205" t="s">
        <v>112</v>
      </c>
      <c r="S1205" t="s">
        <v>61</v>
      </c>
      <c r="T1205">
        <v>246.7</v>
      </c>
      <c r="U1205">
        <v>242</v>
      </c>
      <c r="V1205">
        <f>(T1205+U1205)/2</f>
        <v>244.35</v>
      </c>
      <c r="W1205">
        <f>T1205-U1205</f>
        <v>4.6999999999999886</v>
      </c>
      <c r="X1205">
        <v>12.116389</v>
      </c>
      <c r="Y1205">
        <v>46.735832000000002</v>
      </c>
      <c r="Z1205" t="s">
        <v>398</v>
      </c>
      <c r="AA1205" t="s">
        <v>291</v>
      </c>
      <c r="AB1205" t="s">
        <v>2039</v>
      </c>
      <c r="AD1205" t="s">
        <v>2040</v>
      </c>
      <c r="AH1205" t="s">
        <v>65</v>
      </c>
      <c r="AI1205" t="s">
        <v>2041</v>
      </c>
      <c r="AJ1205">
        <v>2003</v>
      </c>
      <c r="AK1205" t="s">
        <v>2042</v>
      </c>
      <c r="AN1205" t="s">
        <v>121</v>
      </c>
      <c r="AO1205" t="s">
        <v>68</v>
      </c>
      <c r="AP1205" t="s">
        <v>95</v>
      </c>
      <c r="AQ1205" t="s">
        <v>2043</v>
      </c>
      <c r="AR1205" t="s">
        <v>70</v>
      </c>
      <c r="AS1205">
        <v>307</v>
      </c>
      <c r="AT1205" t="s">
        <v>71</v>
      </c>
      <c r="AU1205">
        <v>36.049999999999997</v>
      </c>
      <c r="AV1205">
        <v>15.08</v>
      </c>
      <c r="AW1205" t="s">
        <v>72</v>
      </c>
      <c r="AX1205">
        <v>307</v>
      </c>
      <c r="AY1205" t="s">
        <v>71</v>
      </c>
      <c r="AZ1205">
        <v>24.3</v>
      </c>
      <c r="BA1205">
        <v>6.45</v>
      </c>
      <c r="BB1205" t="s">
        <v>73</v>
      </c>
    </row>
    <row r="1206" spans="1:54" x14ac:dyDescent="0.4">
      <c r="A1206">
        <v>368798</v>
      </c>
      <c r="D1206" t="s">
        <v>278</v>
      </c>
      <c r="G1206">
        <v>6</v>
      </c>
      <c r="H1206" t="s">
        <v>74</v>
      </c>
      <c r="I1206" t="s">
        <v>57</v>
      </c>
      <c r="K1206" t="s">
        <v>279</v>
      </c>
      <c r="L1206" t="s">
        <v>280</v>
      </c>
      <c r="M1206" t="s">
        <v>59</v>
      </c>
      <c r="O1206" t="s">
        <v>76</v>
      </c>
      <c r="P1206" t="s">
        <v>131</v>
      </c>
      <c r="R1206" t="s">
        <v>112</v>
      </c>
      <c r="S1206" t="s">
        <v>61</v>
      </c>
      <c r="T1206">
        <v>246.7</v>
      </c>
      <c r="U1206">
        <v>244.7</v>
      </c>
      <c r="V1206">
        <f>(T1206+U1206)/2</f>
        <v>245.7</v>
      </c>
      <c r="W1206">
        <f>T1206-U1206</f>
        <v>2</v>
      </c>
      <c r="X1206">
        <v>-110.260834</v>
      </c>
      <c r="Y1206">
        <v>34.915000999999997</v>
      </c>
      <c r="Z1206" t="s">
        <v>281</v>
      </c>
      <c r="AA1206" t="s">
        <v>63</v>
      </c>
      <c r="AB1206" t="s">
        <v>282</v>
      </c>
      <c r="AC1206" t="s">
        <v>283</v>
      </c>
      <c r="AD1206" t="s">
        <v>284</v>
      </c>
      <c r="AF1206" t="s">
        <v>285</v>
      </c>
      <c r="AH1206" t="s">
        <v>65</v>
      </c>
      <c r="AI1206" t="s">
        <v>286</v>
      </c>
      <c r="AJ1206">
        <v>1947</v>
      </c>
      <c r="AK1206" t="s">
        <v>287</v>
      </c>
      <c r="AM1206" t="s">
        <v>288</v>
      </c>
      <c r="AN1206" t="s">
        <v>67</v>
      </c>
      <c r="AO1206" t="s">
        <v>68</v>
      </c>
      <c r="AP1206" t="s">
        <v>69</v>
      </c>
      <c r="AQ1206" t="s">
        <v>289</v>
      </c>
      <c r="AR1206" t="s">
        <v>70</v>
      </c>
      <c r="AS1206">
        <v>101</v>
      </c>
      <c r="AT1206" t="s">
        <v>71</v>
      </c>
      <c r="AU1206">
        <v>-34.17</v>
      </c>
      <c r="AV1206">
        <v>17.760000000000002</v>
      </c>
      <c r="AW1206" t="s">
        <v>72</v>
      </c>
      <c r="AX1206">
        <v>133</v>
      </c>
      <c r="AY1206" t="s">
        <v>71</v>
      </c>
      <c r="AZ1206">
        <v>-42.5</v>
      </c>
      <c r="BA1206">
        <v>4.91</v>
      </c>
      <c r="BB1206" t="s">
        <v>73</v>
      </c>
    </row>
    <row r="1207" spans="1:54" x14ac:dyDescent="0.4">
      <c r="A1207">
        <v>368799</v>
      </c>
      <c r="D1207" t="s">
        <v>278</v>
      </c>
      <c r="G1207">
        <v>1</v>
      </c>
      <c r="H1207" t="s">
        <v>74</v>
      </c>
      <c r="I1207" t="s">
        <v>57</v>
      </c>
      <c r="K1207" t="s">
        <v>102</v>
      </c>
      <c r="L1207" t="s">
        <v>290</v>
      </c>
      <c r="M1207" t="s">
        <v>59</v>
      </c>
      <c r="P1207" t="s">
        <v>131</v>
      </c>
      <c r="R1207" t="s">
        <v>112</v>
      </c>
      <c r="S1207" t="s">
        <v>61</v>
      </c>
      <c r="T1207">
        <v>246.7</v>
      </c>
      <c r="U1207">
        <v>244.7</v>
      </c>
      <c r="V1207">
        <f>(T1207+U1207)/2</f>
        <v>245.7</v>
      </c>
      <c r="W1207">
        <f>T1207-U1207</f>
        <v>2</v>
      </c>
      <c r="X1207">
        <v>-110.260834</v>
      </c>
      <c r="Y1207">
        <v>34.915000999999997</v>
      </c>
      <c r="Z1207" t="s">
        <v>281</v>
      </c>
      <c r="AA1207" t="s">
        <v>63</v>
      </c>
      <c r="AB1207" t="s">
        <v>282</v>
      </c>
      <c r="AC1207" t="s">
        <v>283</v>
      </c>
      <c r="AD1207" t="s">
        <v>284</v>
      </c>
      <c r="AF1207" t="s">
        <v>285</v>
      </c>
      <c r="AH1207" t="s">
        <v>65</v>
      </c>
      <c r="AI1207" t="s">
        <v>286</v>
      </c>
      <c r="AJ1207">
        <v>1947</v>
      </c>
      <c r="AK1207" t="s">
        <v>287</v>
      </c>
      <c r="AM1207" t="s">
        <v>288</v>
      </c>
      <c r="AN1207" t="s">
        <v>67</v>
      </c>
      <c r="AO1207" t="s">
        <v>68</v>
      </c>
      <c r="AP1207" t="s">
        <v>69</v>
      </c>
      <c r="AQ1207" t="s">
        <v>289</v>
      </c>
      <c r="AR1207" t="s">
        <v>70</v>
      </c>
      <c r="AS1207">
        <v>101</v>
      </c>
      <c r="AT1207" t="s">
        <v>71</v>
      </c>
      <c r="AU1207">
        <v>-34.17</v>
      </c>
      <c r="AV1207">
        <v>17.760000000000002</v>
      </c>
      <c r="AW1207" t="s">
        <v>72</v>
      </c>
      <c r="AX1207">
        <v>133</v>
      </c>
      <c r="AY1207" t="s">
        <v>71</v>
      </c>
      <c r="AZ1207">
        <v>-42.5</v>
      </c>
      <c r="BA1207">
        <v>4.91</v>
      </c>
      <c r="BB1207" t="s">
        <v>73</v>
      </c>
    </row>
    <row r="1208" spans="1:54" x14ac:dyDescent="0.4">
      <c r="A1208">
        <v>493537</v>
      </c>
      <c r="D1208" t="s">
        <v>54</v>
      </c>
      <c r="E1208" t="s">
        <v>55</v>
      </c>
      <c r="G1208">
        <v>1</v>
      </c>
      <c r="H1208" t="s">
        <v>74</v>
      </c>
      <c r="I1208" t="s">
        <v>57</v>
      </c>
      <c r="K1208" t="s">
        <v>373</v>
      </c>
      <c r="L1208" t="s">
        <v>399</v>
      </c>
      <c r="M1208" t="s">
        <v>59</v>
      </c>
      <c r="O1208" t="s">
        <v>107</v>
      </c>
      <c r="P1208" t="s">
        <v>131</v>
      </c>
      <c r="R1208" t="s">
        <v>112</v>
      </c>
      <c r="S1208" t="s">
        <v>61</v>
      </c>
      <c r="T1208">
        <v>246.7</v>
      </c>
      <c r="U1208">
        <v>244.7</v>
      </c>
      <c r="V1208">
        <f>(T1208+U1208)/2</f>
        <v>245.7</v>
      </c>
      <c r="W1208">
        <f>T1208-U1208</f>
        <v>2</v>
      </c>
      <c r="X1208">
        <v>-110.042778</v>
      </c>
      <c r="Y1208">
        <v>34.781387000000002</v>
      </c>
      <c r="Z1208" t="s">
        <v>99</v>
      </c>
      <c r="AA1208" t="s">
        <v>63</v>
      </c>
      <c r="AB1208" t="s">
        <v>282</v>
      </c>
      <c r="AC1208" t="s">
        <v>283</v>
      </c>
      <c r="AD1208" t="s">
        <v>284</v>
      </c>
      <c r="AF1208" t="s">
        <v>285</v>
      </c>
      <c r="AH1208" t="s">
        <v>65</v>
      </c>
      <c r="AI1208" t="s">
        <v>400</v>
      </c>
      <c r="AJ1208">
        <v>2004</v>
      </c>
      <c r="AK1208" t="s">
        <v>401</v>
      </c>
      <c r="AM1208" t="s">
        <v>402</v>
      </c>
      <c r="AN1208" t="s">
        <v>94</v>
      </c>
      <c r="AO1208" t="s">
        <v>68</v>
      </c>
      <c r="AP1208" t="s">
        <v>95</v>
      </c>
      <c r="AQ1208" t="s">
        <v>403</v>
      </c>
      <c r="AR1208" t="s">
        <v>70</v>
      </c>
      <c r="AS1208">
        <v>101</v>
      </c>
      <c r="AT1208" t="s">
        <v>71</v>
      </c>
      <c r="AU1208">
        <v>-34.04</v>
      </c>
      <c r="AV1208">
        <v>17.57</v>
      </c>
      <c r="AW1208" t="s">
        <v>72</v>
      </c>
      <c r="AX1208">
        <v>133</v>
      </c>
      <c r="AY1208" t="s">
        <v>71</v>
      </c>
      <c r="AZ1208">
        <v>-42.4</v>
      </c>
      <c r="BA1208">
        <v>4.7</v>
      </c>
      <c r="BB1208" t="s">
        <v>73</v>
      </c>
    </row>
    <row r="1209" spans="1:54" x14ac:dyDescent="0.4">
      <c r="A1209">
        <v>493538</v>
      </c>
      <c r="D1209" t="s">
        <v>54</v>
      </c>
      <c r="E1209" t="s">
        <v>55</v>
      </c>
      <c r="G1209">
        <v>1</v>
      </c>
      <c r="H1209" t="s">
        <v>74</v>
      </c>
      <c r="I1209" t="s">
        <v>57</v>
      </c>
      <c r="K1209" t="s">
        <v>373</v>
      </c>
      <c r="L1209" t="s">
        <v>399</v>
      </c>
      <c r="M1209" t="s">
        <v>59</v>
      </c>
      <c r="O1209" t="s">
        <v>107</v>
      </c>
      <c r="P1209" t="s">
        <v>131</v>
      </c>
      <c r="R1209" t="s">
        <v>112</v>
      </c>
      <c r="S1209" t="s">
        <v>61</v>
      </c>
      <c r="T1209">
        <v>246.7</v>
      </c>
      <c r="U1209">
        <v>244.7</v>
      </c>
      <c r="V1209">
        <f>(T1209+U1209)/2</f>
        <v>245.7</v>
      </c>
      <c r="W1209">
        <f>T1209-U1209</f>
        <v>2</v>
      </c>
      <c r="X1209">
        <v>-110.08000199999999</v>
      </c>
      <c r="Y1209">
        <v>35.024166000000001</v>
      </c>
      <c r="Z1209" t="s">
        <v>99</v>
      </c>
      <c r="AA1209" t="s">
        <v>63</v>
      </c>
      <c r="AB1209" t="s">
        <v>282</v>
      </c>
      <c r="AC1209" t="s">
        <v>283</v>
      </c>
      <c r="AD1209" t="s">
        <v>284</v>
      </c>
      <c r="AF1209" t="s">
        <v>285</v>
      </c>
      <c r="AH1209" t="s">
        <v>65</v>
      </c>
      <c r="AI1209" t="s">
        <v>400</v>
      </c>
      <c r="AJ1209">
        <v>2004</v>
      </c>
      <c r="AK1209" t="s">
        <v>404</v>
      </c>
      <c r="AM1209" t="s">
        <v>284</v>
      </c>
      <c r="AN1209" t="s">
        <v>94</v>
      </c>
      <c r="AO1209" t="s">
        <v>68</v>
      </c>
      <c r="AP1209" t="s">
        <v>95</v>
      </c>
      <c r="AQ1209" t="s">
        <v>405</v>
      </c>
      <c r="AR1209" t="s">
        <v>70</v>
      </c>
      <c r="AS1209">
        <v>101</v>
      </c>
      <c r="AT1209" t="s">
        <v>71</v>
      </c>
      <c r="AU1209">
        <v>-33.979999999999997</v>
      </c>
      <c r="AV1209">
        <v>17.809999999999999</v>
      </c>
      <c r="AW1209" t="s">
        <v>72</v>
      </c>
      <c r="AX1209">
        <v>133</v>
      </c>
      <c r="AY1209" t="s">
        <v>71</v>
      </c>
      <c r="AZ1209">
        <v>-42.32</v>
      </c>
      <c r="BA1209">
        <v>4.93</v>
      </c>
      <c r="BB1209" t="s">
        <v>73</v>
      </c>
    </row>
    <row r="1210" spans="1:54" x14ac:dyDescent="0.4">
      <c r="A1210">
        <v>493539</v>
      </c>
      <c r="D1210" t="s">
        <v>54</v>
      </c>
      <c r="E1210" t="s">
        <v>55</v>
      </c>
      <c r="G1210">
        <v>1</v>
      </c>
      <c r="H1210" t="s">
        <v>74</v>
      </c>
      <c r="I1210" t="s">
        <v>57</v>
      </c>
      <c r="K1210" t="s">
        <v>373</v>
      </c>
      <c r="L1210" t="s">
        <v>399</v>
      </c>
      <c r="M1210" t="s">
        <v>59</v>
      </c>
      <c r="O1210" t="s">
        <v>107</v>
      </c>
      <c r="P1210" t="s">
        <v>131</v>
      </c>
      <c r="R1210" t="s">
        <v>112</v>
      </c>
      <c r="S1210" t="s">
        <v>61</v>
      </c>
      <c r="T1210">
        <v>246.7</v>
      </c>
      <c r="U1210">
        <v>244.7</v>
      </c>
      <c r="V1210">
        <f>(T1210+U1210)/2</f>
        <v>245.7</v>
      </c>
      <c r="W1210">
        <f>T1210-U1210</f>
        <v>2</v>
      </c>
      <c r="X1210">
        <v>-110.69667099999999</v>
      </c>
      <c r="Y1210">
        <v>35.024166000000001</v>
      </c>
      <c r="Z1210" t="s">
        <v>99</v>
      </c>
      <c r="AA1210" t="s">
        <v>63</v>
      </c>
      <c r="AB1210" t="s">
        <v>282</v>
      </c>
      <c r="AC1210" t="s">
        <v>283</v>
      </c>
      <c r="AD1210" t="s">
        <v>284</v>
      </c>
      <c r="AF1210" t="s">
        <v>285</v>
      </c>
      <c r="AH1210" t="s">
        <v>65</v>
      </c>
      <c r="AI1210" t="s">
        <v>400</v>
      </c>
      <c r="AJ1210">
        <v>2004</v>
      </c>
      <c r="AK1210" t="s">
        <v>406</v>
      </c>
      <c r="AM1210" t="s">
        <v>284</v>
      </c>
      <c r="AN1210" t="s">
        <v>94</v>
      </c>
      <c r="AO1210" t="s">
        <v>68</v>
      </c>
      <c r="AP1210" t="s">
        <v>95</v>
      </c>
      <c r="AQ1210" t="s">
        <v>407</v>
      </c>
      <c r="AR1210" t="s">
        <v>70</v>
      </c>
      <c r="AS1210">
        <v>101</v>
      </c>
      <c r="AT1210" t="s">
        <v>71</v>
      </c>
      <c r="AU1210">
        <v>-34.479999999999997</v>
      </c>
      <c r="AV1210">
        <v>17.98</v>
      </c>
      <c r="AW1210" t="s">
        <v>72</v>
      </c>
      <c r="AX1210">
        <v>133</v>
      </c>
      <c r="AY1210" t="s">
        <v>71</v>
      </c>
      <c r="AZ1210">
        <v>-42.77</v>
      </c>
      <c r="BA1210">
        <v>5.17</v>
      </c>
      <c r="BB1210" t="s">
        <v>73</v>
      </c>
    </row>
    <row r="1211" spans="1:54" x14ac:dyDescent="0.4">
      <c r="A1211">
        <v>493540</v>
      </c>
      <c r="D1211" t="s">
        <v>54</v>
      </c>
      <c r="E1211" t="s">
        <v>55</v>
      </c>
      <c r="G1211">
        <v>1</v>
      </c>
      <c r="H1211" t="s">
        <v>74</v>
      </c>
      <c r="I1211" t="s">
        <v>57</v>
      </c>
      <c r="K1211" t="s">
        <v>373</v>
      </c>
      <c r="L1211" t="s">
        <v>399</v>
      </c>
      <c r="M1211" t="s">
        <v>59</v>
      </c>
      <c r="O1211" t="s">
        <v>107</v>
      </c>
      <c r="P1211" t="s">
        <v>131</v>
      </c>
      <c r="R1211" t="s">
        <v>112</v>
      </c>
      <c r="S1211" t="s">
        <v>61</v>
      </c>
      <c r="T1211">
        <v>246.7</v>
      </c>
      <c r="U1211">
        <v>244.7</v>
      </c>
      <c r="V1211">
        <f>(T1211+U1211)/2</f>
        <v>245.7</v>
      </c>
      <c r="W1211">
        <f>T1211-U1211</f>
        <v>2</v>
      </c>
      <c r="X1211">
        <v>-110.69667099999999</v>
      </c>
      <c r="Y1211">
        <v>35.024166000000001</v>
      </c>
      <c r="Z1211" t="s">
        <v>99</v>
      </c>
      <c r="AA1211" t="s">
        <v>63</v>
      </c>
      <c r="AB1211" t="s">
        <v>282</v>
      </c>
      <c r="AC1211" t="s">
        <v>283</v>
      </c>
      <c r="AD1211" t="s">
        <v>284</v>
      </c>
      <c r="AF1211" t="s">
        <v>285</v>
      </c>
      <c r="AH1211" t="s">
        <v>65</v>
      </c>
      <c r="AI1211" t="s">
        <v>400</v>
      </c>
      <c r="AJ1211">
        <v>2004</v>
      </c>
      <c r="AK1211" t="s">
        <v>408</v>
      </c>
      <c r="AM1211" t="s">
        <v>284</v>
      </c>
      <c r="AN1211" t="s">
        <v>121</v>
      </c>
      <c r="AO1211" t="s">
        <v>68</v>
      </c>
      <c r="AP1211" t="s">
        <v>95</v>
      </c>
      <c r="AQ1211" t="s">
        <v>409</v>
      </c>
      <c r="AR1211" t="s">
        <v>70</v>
      </c>
      <c r="AS1211">
        <v>101</v>
      </c>
      <c r="AT1211" t="s">
        <v>71</v>
      </c>
      <c r="AU1211">
        <v>-34.479999999999997</v>
      </c>
      <c r="AV1211">
        <v>17.98</v>
      </c>
      <c r="AW1211" t="s">
        <v>72</v>
      </c>
      <c r="AX1211">
        <v>133</v>
      </c>
      <c r="AY1211" t="s">
        <v>71</v>
      </c>
      <c r="AZ1211">
        <v>-42.77</v>
      </c>
      <c r="BA1211">
        <v>5.17</v>
      </c>
      <c r="BB1211" t="s">
        <v>73</v>
      </c>
    </row>
    <row r="1212" spans="1:54" x14ac:dyDescent="0.4">
      <c r="A1212">
        <v>792528</v>
      </c>
      <c r="D1212" t="s">
        <v>54</v>
      </c>
      <c r="E1212" t="s">
        <v>55</v>
      </c>
      <c r="G1212">
        <v>1</v>
      </c>
      <c r="H1212" t="s">
        <v>56</v>
      </c>
      <c r="I1212" t="s">
        <v>57</v>
      </c>
      <c r="K1212" t="s">
        <v>80</v>
      </c>
      <c r="L1212" t="s">
        <v>755</v>
      </c>
      <c r="M1212" t="s">
        <v>59</v>
      </c>
      <c r="O1212" t="s">
        <v>107</v>
      </c>
      <c r="P1212" t="s">
        <v>131</v>
      </c>
      <c r="R1212" t="s">
        <v>112</v>
      </c>
      <c r="S1212" t="s">
        <v>61</v>
      </c>
      <c r="T1212">
        <v>246.7</v>
      </c>
      <c r="U1212">
        <v>244.7</v>
      </c>
      <c r="V1212">
        <f>(T1212+U1212)/2</f>
        <v>245.7</v>
      </c>
      <c r="W1212">
        <f>T1212-U1212</f>
        <v>2</v>
      </c>
      <c r="X1212">
        <v>7.7725</v>
      </c>
      <c r="Y1212">
        <v>47.557220000000001</v>
      </c>
      <c r="Z1212" t="s">
        <v>113</v>
      </c>
      <c r="AA1212" t="s">
        <v>128</v>
      </c>
      <c r="AB1212" t="s">
        <v>129</v>
      </c>
      <c r="AC1212" t="s">
        <v>756</v>
      </c>
      <c r="AD1212" t="s">
        <v>757</v>
      </c>
      <c r="AE1212" t="s">
        <v>758</v>
      </c>
      <c r="AH1212" t="s">
        <v>65</v>
      </c>
      <c r="AI1212" t="s">
        <v>759</v>
      </c>
      <c r="AJ1212">
        <v>2008</v>
      </c>
      <c r="AK1212" t="s">
        <v>760</v>
      </c>
      <c r="AM1212" t="s">
        <v>761</v>
      </c>
      <c r="AN1212" t="s">
        <v>121</v>
      </c>
      <c r="AO1212" t="s">
        <v>68</v>
      </c>
      <c r="AP1212" t="s">
        <v>314</v>
      </c>
      <c r="AQ1212" t="s">
        <v>762</v>
      </c>
      <c r="AR1212" t="s">
        <v>70</v>
      </c>
      <c r="AS1212">
        <v>305</v>
      </c>
      <c r="AT1212" t="s">
        <v>71</v>
      </c>
      <c r="AU1212">
        <v>27.97</v>
      </c>
      <c r="AV1212">
        <v>26</v>
      </c>
      <c r="AW1212" t="s">
        <v>72</v>
      </c>
      <c r="AX1212">
        <v>305</v>
      </c>
      <c r="AY1212" t="s">
        <v>71</v>
      </c>
      <c r="AZ1212">
        <v>18.940000000000001</v>
      </c>
      <c r="BA1212">
        <v>13.06</v>
      </c>
      <c r="BB1212" t="s">
        <v>73</v>
      </c>
    </row>
    <row r="1213" spans="1:54" x14ac:dyDescent="0.4">
      <c r="A1213">
        <v>792529</v>
      </c>
      <c r="D1213" t="s">
        <v>763</v>
      </c>
      <c r="E1213" t="s">
        <v>55</v>
      </c>
      <c r="G1213">
        <v>1</v>
      </c>
      <c r="H1213" t="s">
        <v>56</v>
      </c>
      <c r="I1213" t="s">
        <v>57</v>
      </c>
      <c r="K1213" t="s">
        <v>80</v>
      </c>
      <c r="L1213" t="s">
        <v>755</v>
      </c>
      <c r="M1213" t="s">
        <v>59</v>
      </c>
      <c r="O1213" t="s">
        <v>107</v>
      </c>
      <c r="P1213" t="s">
        <v>131</v>
      </c>
      <c r="R1213" t="s">
        <v>112</v>
      </c>
      <c r="S1213" t="s">
        <v>61</v>
      </c>
      <c r="T1213">
        <v>246.7</v>
      </c>
      <c r="U1213">
        <v>244.7</v>
      </c>
      <c r="V1213">
        <f>(T1213+U1213)/2</f>
        <v>245.7</v>
      </c>
      <c r="W1213">
        <f>T1213-U1213</f>
        <v>2</v>
      </c>
      <c r="X1213">
        <v>7.6491670000000003</v>
      </c>
      <c r="Y1213">
        <v>47.580554999999997</v>
      </c>
      <c r="Z1213" t="s">
        <v>99</v>
      </c>
      <c r="AA1213" t="s">
        <v>133</v>
      </c>
      <c r="AB1213" t="s">
        <v>764</v>
      </c>
      <c r="AD1213" t="s">
        <v>765</v>
      </c>
      <c r="AE1213" t="s">
        <v>758</v>
      </c>
      <c r="AH1213" t="s">
        <v>65</v>
      </c>
      <c r="AI1213" t="s">
        <v>759</v>
      </c>
      <c r="AJ1213">
        <v>2008</v>
      </c>
      <c r="AK1213" t="s">
        <v>766</v>
      </c>
      <c r="AM1213" t="s">
        <v>767</v>
      </c>
      <c r="AN1213" t="s">
        <v>94</v>
      </c>
      <c r="AO1213" t="s">
        <v>68</v>
      </c>
      <c r="AP1213" t="s">
        <v>314</v>
      </c>
      <c r="AQ1213" t="s">
        <v>768</v>
      </c>
      <c r="AR1213" t="s">
        <v>70</v>
      </c>
      <c r="AS1213">
        <v>305</v>
      </c>
      <c r="AT1213" t="s">
        <v>71</v>
      </c>
      <c r="AU1213">
        <v>27.87</v>
      </c>
      <c r="AV1213">
        <v>26</v>
      </c>
      <c r="AW1213" t="s">
        <v>72</v>
      </c>
      <c r="AX1213">
        <v>305</v>
      </c>
      <c r="AY1213" t="s">
        <v>71</v>
      </c>
      <c r="AZ1213">
        <v>18.850000000000001</v>
      </c>
      <c r="BA1213">
        <v>13.05</v>
      </c>
      <c r="BB1213" t="s">
        <v>73</v>
      </c>
    </row>
    <row r="1214" spans="1:54" x14ac:dyDescent="0.4">
      <c r="A1214">
        <v>855747</v>
      </c>
      <c r="D1214" t="s">
        <v>54</v>
      </c>
      <c r="E1214" t="s">
        <v>104</v>
      </c>
      <c r="F1214" t="s">
        <v>1299</v>
      </c>
      <c r="I1214" t="s">
        <v>57</v>
      </c>
      <c r="K1214" t="s">
        <v>279</v>
      </c>
      <c r="L1214" t="s">
        <v>280</v>
      </c>
      <c r="M1214" t="s">
        <v>59</v>
      </c>
      <c r="O1214" t="s">
        <v>76</v>
      </c>
      <c r="P1214" t="s">
        <v>131</v>
      </c>
      <c r="R1214" t="s">
        <v>112</v>
      </c>
      <c r="S1214" t="s">
        <v>61</v>
      </c>
      <c r="T1214">
        <v>246.7</v>
      </c>
      <c r="U1214">
        <v>244.7</v>
      </c>
      <c r="V1214">
        <f>(T1214+U1214)/2</f>
        <v>245.7</v>
      </c>
      <c r="W1214">
        <f>T1214-U1214</f>
        <v>2</v>
      </c>
      <c r="X1214">
        <v>-110.300003</v>
      </c>
      <c r="Y1214">
        <v>34.940277000000002</v>
      </c>
      <c r="Z1214" t="s">
        <v>239</v>
      </c>
      <c r="AA1214" t="s">
        <v>63</v>
      </c>
      <c r="AB1214" t="s">
        <v>282</v>
      </c>
      <c r="AC1214" t="s">
        <v>283</v>
      </c>
      <c r="AD1214" t="s">
        <v>284</v>
      </c>
      <c r="AF1214" t="s">
        <v>285</v>
      </c>
      <c r="AH1214" t="s">
        <v>65</v>
      </c>
      <c r="AI1214" t="s">
        <v>1300</v>
      </c>
      <c r="AJ1214">
        <v>2005</v>
      </c>
      <c r="AK1214" t="s">
        <v>1301</v>
      </c>
      <c r="AM1214" t="s">
        <v>1302</v>
      </c>
      <c r="AN1214" t="s">
        <v>94</v>
      </c>
      <c r="AO1214" t="s">
        <v>68</v>
      </c>
      <c r="AP1214" t="s">
        <v>182</v>
      </c>
      <c r="AQ1214" t="s">
        <v>1303</v>
      </c>
      <c r="AR1214" t="s">
        <v>70</v>
      </c>
      <c r="AS1214">
        <v>101</v>
      </c>
      <c r="AT1214" t="s">
        <v>71</v>
      </c>
      <c r="AU1214">
        <v>-34.19</v>
      </c>
      <c r="AV1214">
        <v>17.79</v>
      </c>
      <c r="AW1214" t="s">
        <v>72</v>
      </c>
      <c r="AX1214">
        <v>133</v>
      </c>
      <c r="AY1214" t="s">
        <v>71</v>
      </c>
      <c r="AZ1214">
        <v>-42.52</v>
      </c>
      <c r="BA1214">
        <v>4.9400000000000004</v>
      </c>
      <c r="BB1214" t="s">
        <v>73</v>
      </c>
    </row>
    <row r="1215" spans="1:54" x14ac:dyDescent="0.4">
      <c r="A1215">
        <v>855754</v>
      </c>
      <c r="D1215" t="s">
        <v>54</v>
      </c>
      <c r="E1215" t="s">
        <v>55</v>
      </c>
      <c r="G1215">
        <v>1</v>
      </c>
      <c r="H1215" t="s">
        <v>56</v>
      </c>
      <c r="I1215" t="s">
        <v>57</v>
      </c>
      <c r="K1215" t="s">
        <v>279</v>
      </c>
      <c r="L1215" t="s">
        <v>280</v>
      </c>
      <c r="M1215" t="s">
        <v>59</v>
      </c>
      <c r="O1215" t="s">
        <v>76</v>
      </c>
      <c r="P1215" t="s">
        <v>131</v>
      </c>
      <c r="R1215" t="s">
        <v>112</v>
      </c>
      <c r="S1215" t="s">
        <v>61</v>
      </c>
      <c r="T1215">
        <v>246.7</v>
      </c>
      <c r="U1215">
        <v>244.7</v>
      </c>
      <c r="V1215">
        <f>(T1215+U1215)/2</f>
        <v>245.7</v>
      </c>
      <c r="W1215">
        <f>T1215-U1215</f>
        <v>2</v>
      </c>
      <c r="X1215">
        <v>-110.5</v>
      </c>
      <c r="Y1215">
        <v>35</v>
      </c>
      <c r="Z1215" t="s">
        <v>239</v>
      </c>
      <c r="AA1215" t="s">
        <v>63</v>
      </c>
      <c r="AB1215" t="s">
        <v>282</v>
      </c>
      <c r="AC1215" t="s">
        <v>283</v>
      </c>
      <c r="AD1215" t="s">
        <v>284</v>
      </c>
      <c r="AF1215" t="s">
        <v>285</v>
      </c>
      <c r="AH1215" t="s">
        <v>65</v>
      </c>
      <c r="AI1215" t="s">
        <v>1300</v>
      </c>
      <c r="AJ1215">
        <v>2003</v>
      </c>
      <c r="AK1215" t="s">
        <v>1304</v>
      </c>
      <c r="AN1215" t="s">
        <v>121</v>
      </c>
      <c r="AO1215" t="s">
        <v>330</v>
      </c>
      <c r="AP1215" t="s">
        <v>95</v>
      </c>
      <c r="AQ1215" t="s">
        <v>1305</v>
      </c>
      <c r="AR1215" t="s">
        <v>70</v>
      </c>
      <c r="AS1215">
        <v>101</v>
      </c>
      <c r="AT1215" t="s">
        <v>71</v>
      </c>
      <c r="AU1215">
        <v>-34.33</v>
      </c>
      <c r="AV1215">
        <v>17.899999999999999</v>
      </c>
      <c r="AW1215" t="s">
        <v>72</v>
      </c>
      <c r="AX1215">
        <v>133</v>
      </c>
      <c r="AY1215" t="s">
        <v>71</v>
      </c>
      <c r="AZ1215">
        <v>-42.64</v>
      </c>
      <c r="BA1215">
        <v>5.07</v>
      </c>
      <c r="BB1215" t="s">
        <v>73</v>
      </c>
    </row>
    <row r="1216" spans="1:54" x14ac:dyDescent="0.4">
      <c r="A1216">
        <v>855755</v>
      </c>
      <c r="D1216" t="s">
        <v>54</v>
      </c>
      <c r="I1216" t="s">
        <v>57</v>
      </c>
      <c r="K1216" t="s">
        <v>279</v>
      </c>
      <c r="L1216" t="s">
        <v>280</v>
      </c>
      <c r="M1216" t="s">
        <v>59</v>
      </c>
      <c r="O1216" t="s">
        <v>76</v>
      </c>
      <c r="P1216" t="s">
        <v>131</v>
      </c>
      <c r="R1216" t="s">
        <v>112</v>
      </c>
      <c r="S1216" t="s">
        <v>61</v>
      </c>
      <c r="T1216">
        <v>246.7</v>
      </c>
      <c r="U1216">
        <v>244.7</v>
      </c>
      <c r="V1216">
        <f>(T1216+U1216)/2</f>
        <v>245.7</v>
      </c>
      <c r="W1216">
        <f>T1216-U1216</f>
        <v>2</v>
      </c>
      <c r="X1216">
        <v>-111.400002</v>
      </c>
      <c r="Y1216">
        <v>35.866669000000002</v>
      </c>
      <c r="Z1216" t="s">
        <v>99</v>
      </c>
      <c r="AA1216" t="s">
        <v>63</v>
      </c>
      <c r="AB1216" t="s">
        <v>282</v>
      </c>
      <c r="AC1216" t="s">
        <v>370</v>
      </c>
      <c r="AD1216" t="s">
        <v>284</v>
      </c>
      <c r="AF1216" t="s">
        <v>285</v>
      </c>
      <c r="AH1216" t="s">
        <v>65</v>
      </c>
      <c r="AI1216" t="s">
        <v>1300</v>
      </c>
      <c r="AJ1216">
        <v>2005</v>
      </c>
      <c r="AK1216" t="s">
        <v>1306</v>
      </c>
      <c r="AN1216" t="s">
        <v>94</v>
      </c>
      <c r="AO1216" t="s">
        <v>106</v>
      </c>
      <c r="AP1216" t="s">
        <v>95</v>
      </c>
      <c r="AQ1216" t="s">
        <v>1307</v>
      </c>
      <c r="AR1216" t="s">
        <v>70</v>
      </c>
      <c r="AS1216">
        <v>101</v>
      </c>
      <c r="AT1216" t="s">
        <v>71</v>
      </c>
      <c r="AU1216">
        <v>-34.76</v>
      </c>
      <c r="AV1216">
        <v>18.96</v>
      </c>
      <c r="AW1216" t="s">
        <v>72</v>
      </c>
      <c r="AX1216">
        <v>133</v>
      </c>
      <c r="AY1216" t="s">
        <v>71</v>
      </c>
      <c r="AZ1216">
        <v>-42.89</v>
      </c>
      <c r="BA1216">
        <v>6.18</v>
      </c>
      <c r="BB1216" t="s">
        <v>73</v>
      </c>
    </row>
    <row r="1217" spans="1:54" x14ac:dyDescent="0.4">
      <c r="A1217">
        <v>855796</v>
      </c>
      <c r="D1217" t="s">
        <v>54</v>
      </c>
      <c r="I1217" t="s">
        <v>57</v>
      </c>
      <c r="K1217" t="s">
        <v>102</v>
      </c>
      <c r="L1217" t="s">
        <v>290</v>
      </c>
      <c r="M1217" t="s">
        <v>59</v>
      </c>
      <c r="P1217" t="s">
        <v>131</v>
      </c>
      <c r="R1217" t="s">
        <v>112</v>
      </c>
      <c r="S1217" t="s">
        <v>61</v>
      </c>
      <c r="T1217">
        <v>246.7</v>
      </c>
      <c r="U1217">
        <v>244.7</v>
      </c>
      <c r="V1217">
        <f>(T1217+U1217)/2</f>
        <v>245.7</v>
      </c>
      <c r="W1217">
        <f>T1217-U1217</f>
        <v>2</v>
      </c>
      <c r="X1217">
        <v>-110.840279</v>
      </c>
      <c r="Y1217">
        <v>35.080554999999997</v>
      </c>
      <c r="Z1217" t="s">
        <v>239</v>
      </c>
      <c r="AA1217" t="s">
        <v>63</v>
      </c>
      <c r="AB1217" t="s">
        <v>282</v>
      </c>
      <c r="AC1217" t="s">
        <v>370</v>
      </c>
      <c r="AD1217" t="s">
        <v>284</v>
      </c>
      <c r="AF1217" t="s">
        <v>285</v>
      </c>
      <c r="AH1217" t="s">
        <v>65</v>
      </c>
      <c r="AI1217" t="s">
        <v>1300</v>
      </c>
      <c r="AJ1217">
        <v>2005</v>
      </c>
      <c r="AK1217" t="s">
        <v>1308</v>
      </c>
      <c r="AN1217" t="s">
        <v>94</v>
      </c>
      <c r="AO1217" t="s">
        <v>68</v>
      </c>
      <c r="AP1217" t="s">
        <v>182</v>
      </c>
      <c r="AQ1217" t="s">
        <v>1309</v>
      </c>
      <c r="AR1217" t="s">
        <v>70</v>
      </c>
      <c r="AS1217">
        <v>101</v>
      </c>
      <c r="AT1217" t="s">
        <v>71</v>
      </c>
      <c r="AU1217">
        <v>-34.58</v>
      </c>
      <c r="AV1217">
        <v>18.07</v>
      </c>
      <c r="AW1217" t="s">
        <v>72</v>
      </c>
      <c r="AX1217">
        <v>133</v>
      </c>
      <c r="AY1217" t="s">
        <v>71</v>
      </c>
      <c r="AZ1217">
        <v>-42.85</v>
      </c>
      <c r="BA1217">
        <v>5.27</v>
      </c>
      <c r="BB1217" t="s">
        <v>73</v>
      </c>
    </row>
    <row r="1218" spans="1:54" x14ac:dyDescent="0.4">
      <c r="A1218">
        <v>855799</v>
      </c>
      <c r="D1218" t="s">
        <v>54</v>
      </c>
      <c r="I1218" t="s">
        <v>57</v>
      </c>
      <c r="K1218" t="s">
        <v>279</v>
      </c>
      <c r="L1218" t="s">
        <v>280</v>
      </c>
      <c r="M1218" t="s">
        <v>59</v>
      </c>
      <c r="O1218" t="s">
        <v>76</v>
      </c>
      <c r="P1218" t="s">
        <v>131</v>
      </c>
      <c r="R1218" t="s">
        <v>112</v>
      </c>
      <c r="S1218" t="s">
        <v>61</v>
      </c>
      <c r="T1218">
        <v>246.7</v>
      </c>
      <c r="U1218">
        <v>244.7</v>
      </c>
      <c r="V1218">
        <f>(T1218+U1218)/2</f>
        <v>245.7</v>
      </c>
      <c r="W1218">
        <f>T1218-U1218</f>
        <v>2</v>
      </c>
      <c r="X1218">
        <v>-110.840279</v>
      </c>
      <c r="Y1218">
        <v>35.080554999999997</v>
      </c>
      <c r="Z1218" t="s">
        <v>239</v>
      </c>
      <c r="AA1218" t="s">
        <v>63</v>
      </c>
      <c r="AB1218" t="s">
        <v>282</v>
      </c>
      <c r="AC1218" t="s">
        <v>370</v>
      </c>
      <c r="AD1218" t="s">
        <v>284</v>
      </c>
      <c r="AF1218" t="s">
        <v>285</v>
      </c>
      <c r="AH1218" t="s">
        <v>65</v>
      </c>
      <c r="AI1218" t="s">
        <v>1300</v>
      </c>
      <c r="AJ1218">
        <v>2005</v>
      </c>
      <c r="AK1218" t="s">
        <v>1308</v>
      </c>
      <c r="AN1218" t="s">
        <v>94</v>
      </c>
      <c r="AO1218" t="s">
        <v>68</v>
      </c>
      <c r="AP1218" t="s">
        <v>182</v>
      </c>
      <c r="AQ1218" t="s">
        <v>1309</v>
      </c>
      <c r="AR1218" t="s">
        <v>70</v>
      </c>
      <c r="AS1218">
        <v>101</v>
      </c>
      <c r="AT1218" t="s">
        <v>71</v>
      </c>
      <c r="AU1218">
        <v>-34.58</v>
      </c>
      <c r="AV1218">
        <v>18.07</v>
      </c>
      <c r="AW1218" t="s">
        <v>72</v>
      </c>
      <c r="AX1218">
        <v>133</v>
      </c>
      <c r="AY1218" t="s">
        <v>71</v>
      </c>
      <c r="AZ1218">
        <v>-42.85</v>
      </c>
      <c r="BA1218">
        <v>5.27</v>
      </c>
      <c r="BB1218" t="s">
        <v>73</v>
      </c>
    </row>
    <row r="1219" spans="1:54" x14ac:dyDescent="0.4">
      <c r="A1219">
        <v>976632</v>
      </c>
      <c r="D1219" t="s">
        <v>763</v>
      </c>
      <c r="E1219" t="s">
        <v>105</v>
      </c>
      <c r="F1219" t="s">
        <v>416</v>
      </c>
      <c r="I1219" t="s">
        <v>57</v>
      </c>
      <c r="K1219" t="s">
        <v>355</v>
      </c>
      <c r="L1219" t="s">
        <v>1323</v>
      </c>
      <c r="M1219" t="s">
        <v>59</v>
      </c>
      <c r="P1219" t="s">
        <v>131</v>
      </c>
      <c r="R1219" t="s">
        <v>112</v>
      </c>
      <c r="S1219" t="s">
        <v>61</v>
      </c>
      <c r="T1219">
        <v>246.7</v>
      </c>
      <c r="U1219">
        <v>244.7</v>
      </c>
      <c r="V1219">
        <f>(T1219+U1219)/2</f>
        <v>245.7</v>
      </c>
      <c r="W1219">
        <f>T1219-U1219</f>
        <v>2</v>
      </c>
      <c r="X1219">
        <v>8.1572220000000009</v>
      </c>
      <c r="Y1219">
        <v>47.682777000000002</v>
      </c>
      <c r="Z1219" t="s">
        <v>85</v>
      </c>
      <c r="AA1219" t="s">
        <v>128</v>
      </c>
      <c r="AB1219" t="s">
        <v>129</v>
      </c>
      <c r="AC1219" t="s">
        <v>1636</v>
      </c>
      <c r="AD1219" t="s">
        <v>1570</v>
      </c>
      <c r="AE1219" t="s">
        <v>758</v>
      </c>
      <c r="AH1219" t="s">
        <v>65</v>
      </c>
      <c r="AI1219" t="s">
        <v>472</v>
      </c>
      <c r="AJ1219">
        <v>2011</v>
      </c>
      <c r="AK1219" t="s">
        <v>1637</v>
      </c>
      <c r="AM1219" t="s">
        <v>1636</v>
      </c>
      <c r="AN1219" t="s">
        <v>121</v>
      </c>
      <c r="AO1219" t="s">
        <v>68</v>
      </c>
      <c r="AP1219" t="s">
        <v>69</v>
      </c>
      <c r="AQ1219" t="s">
        <v>1638</v>
      </c>
      <c r="AR1219" t="s">
        <v>70</v>
      </c>
      <c r="AS1219">
        <v>305</v>
      </c>
      <c r="AT1219" t="s">
        <v>71</v>
      </c>
      <c r="AU1219">
        <v>28.22</v>
      </c>
      <c r="AV1219">
        <v>26.18</v>
      </c>
      <c r="AW1219" t="s">
        <v>72</v>
      </c>
      <c r="AX1219">
        <v>305</v>
      </c>
      <c r="AY1219" t="s">
        <v>71</v>
      </c>
      <c r="AZ1219">
        <v>19.14</v>
      </c>
      <c r="BA1219">
        <v>13.27</v>
      </c>
      <c r="BB1219" t="s">
        <v>73</v>
      </c>
    </row>
    <row r="1220" spans="1:54" x14ac:dyDescent="0.4">
      <c r="A1220">
        <v>1076286</v>
      </c>
      <c r="D1220" t="s">
        <v>855</v>
      </c>
      <c r="G1220">
        <v>1</v>
      </c>
      <c r="H1220" t="s">
        <v>74</v>
      </c>
      <c r="I1220" t="s">
        <v>57</v>
      </c>
      <c r="K1220" t="s">
        <v>102</v>
      </c>
      <c r="L1220" t="s">
        <v>1692</v>
      </c>
      <c r="M1220" t="s">
        <v>59</v>
      </c>
      <c r="P1220" t="s">
        <v>131</v>
      </c>
      <c r="R1220" t="s">
        <v>112</v>
      </c>
      <c r="S1220" t="s">
        <v>61</v>
      </c>
      <c r="T1220">
        <v>246.7</v>
      </c>
      <c r="U1220">
        <v>244.7</v>
      </c>
      <c r="V1220">
        <f>(T1220+U1220)/2</f>
        <v>245.7</v>
      </c>
      <c r="W1220">
        <f>T1220-U1220</f>
        <v>2</v>
      </c>
      <c r="X1220">
        <v>6.6275000000000004</v>
      </c>
      <c r="Y1220">
        <v>50.286110000000001</v>
      </c>
      <c r="Z1220" t="s">
        <v>99</v>
      </c>
      <c r="AA1220" t="s">
        <v>128</v>
      </c>
      <c r="AB1220" t="s">
        <v>1693</v>
      </c>
      <c r="AC1220" t="s">
        <v>1694</v>
      </c>
      <c r="AE1220" t="s">
        <v>758</v>
      </c>
      <c r="AH1220" t="s">
        <v>65</v>
      </c>
      <c r="AI1220" t="s">
        <v>147</v>
      </c>
      <c r="AJ1220">
        <v>1904</v>
      </c>
      <c r="AK1220" t="s">
        <v>1695</v>
      </c>
      <c r="AN1220" t="s">
        <v>94</v>
      </c>
      <c r="AO1220" t="s">
        <v>68</v>
      </c>
      <c r="AP1220" t="s">
        <v>95</v>
      </c>
      <c r="AQ1220" t="s">
        <v>1696</v>
      </c>
      <c r="AR1220" t="s">
        <v>70</v>
      </c>
      <c r="AS1220">
        <v>315</v>
      </c>
      <c r="AT1220" t="s">
        <v>71</v>
      </c>
      <c r="AU1220">
        <v>26.49</v>
      </c>
      <c r="AV1220">
        <v>28.51</v>
      </c>
      <c r="AW1220" t="s">
        <v>72</v>
      </c>
      <c r="AX1220">
        <v>315</v>
      </c>
      <c r="AY1220" t="s">
        <v>71</v>
      </c>
      <c r="AZ1220">
        <v>17.2</v>
      </c>
      <c r="BA1220">
        <v>15.33</v>
      </c>
      <c r="BB1220" t="s">
        <v>73</v>
      </c>
    </row>
    <row r="1221" spans="1:54" x14ac:dyDescent="0.4">
      <c r="A1221">
        <v>1076309</v>
      </c>
      <c r="D1221" t="s">
        <v>54</v>
      </c>
      <c r="I1221" t="s">
        <v>57</v>
      </c>
      <c r="K1221" t="s">
        <v>355</v>
      </c>
      <c r="L1221" t="s">
        <v>1323</v>
      </c>
      <c r="M1221" t="s">
        <v>59</v>
      </c>
      <c r="P1221" t="s">
        <v>131</v>
      </c>
      <c r="R1221" t="s">
        <v>112</v>
      </c>
      <c r="S1221" t="s">
        <v>61</v>
      </c>
      <c r="T1221">
        <v>246.7</v>
      </c>
      <c r="U1221">
        <v>244.7</v>
      </c>
      <c r="V1221">
        <f>(T1221+U1221)/2</f>
        <v>245.7</v>
      </c>
      <c r="W1221">
        <f>T1221-U1221</f>
        <v>2</v>
      </c>
      <c r="X1221">
        <v>8.5922219999999996</v>
      </c>
      <c r="Y1221">
        <v>48.534999999999997</v>
      </c>
      <c r="Z1221" t="s">
        <v>99</v>
      </c>
      <c r="AA1221" t="s">
        <v>128</v>
      </c>
      <c r="AB1221" t="s">
        <v>129</v>
      </c>
      <c r="AC1221" t="s">
        <v>1702</v>
      </c>
      <c r="AD1221" t="s">
        <v>1570</v>
      </c>
      <c r="AE1221" t="s">
        <v>758</v>
      </c>
      <c r="AF1221" t="s">
        <v>1703</v>
      </c>
      <c r="AH1221" t="s">
        <v>65</v>
      </c>
      <c r="AI1221" t="s">
        <v>1704</v>
      </c>
      <c r="AJ1221">
        <v>2006</v>
      </c>
      <c r="AK1221" t="s">
        <v>1705</v>
      </c>
      <c r="AN1221" t="s">
        <v>121</v>
      </c>
      <c r="AO1221" t="s">
        <v>68</v>
      </c>
      <c r="AP1221" t="s">
        <v>69</v>
      </c>
      <c r="AR1221" t="s">
        <v>70</v>
      </c>
      <c r="AS1221">
        <v>305</v>
      </c>
      <c r="AT1221" t="s">
        <v>71</v>
      </c>
      <c r="AU1221">
        <v>28.33</v>
      </c>
      <c r="AV1221">
        <v>27.07</v>
      </c>
      <c r="AW1221" t="s">
        <v>72</v>
      </c>
      <c r="AX1221">
        <v>305</v>
      </c>
      <c r="AY1221" t="s">
        <v>71</v>
      </c>
      <c r="AZ1221">
        <v>19.09</v>
      </c>
      <c r="BA1221">
        <v>14.17</v>
      </c>
      <c r="BB1221" t="s">
        <v>73</v>
      </c>
    </row>
    <row r="1222" spans="1:54" x14ac:dyDescent="0.4">
      <c r="A1222">
        <v>1076310</v>
      </c>
      <c r="D1222" t="s">
        <v>54</v>
      </c>
      <c r="I1222" t="s">
        <v>57</v>
      </c>
      <c r="K1222" t="s">
        <v>355</v>
      </c>
      <c r="L1222" t="s">
        <v>1323</v>
      </c>
      <c r="M1222" t="s">
        <v>59</v>
      </c>
      <c r="P1222" t="s">
        <v>131</v>
      </c>
      <c r="R1222" t="s">
        <v>112</v>
      </c>
      <c r="S1222" t="s">
        <v>61</v>
      </c>
      <c r="T1222">
        <v>246.7</v>
      </c>
      <c r="U1222">
        <v>244.7</v>
      </c>
      <c r="V1222">
        <f>(T1222+U1222)/2</f>
        <v>245.7</v>
      </c>
      <c r="W1222">
        <f>T1222-U1222</f>
        <v>2</v>
      </c>
      <c r="X1222">
        <v>8.5922219999999996</v>
      </c>
      <c r="Y1222">
        <v>48.534999999999997</v>
      </c>
      <c r="Z1222" t="s">
        <v>99</v>
      </c>
      <c r="AA1222" t="s">
        <v>128</v>
      </c>
      <c r="AB1222" t="s">
        <v>129</v>
      </c>
      <c r="AC1222" t="s">
        <v>1702</v>
      </c>
      <c r="AD1222" t="s">
        <v>1570</v>
      </c>
      <c r="AE1222" t="s">
        <v>758</v>
      </c>
      <c r="AF1222" t="s">
        <v>1703</v>
      </c>
      <c r="AH1222" t="s">
        <v>65</v>
      </c>
      <c r="AI1222" t="s">
        <v>1704</v>
      </c>
      <c r="AJ1222">
        <v>2006</v>
      </c>
      <c r="AK1222" t="s">
        <v>1705</v>
      </c>
      <c r="AN1222" t="s">
        <v>121</v>
      </c>
      <c r="AO1222" t="s">
        <v>68</v>
      </c>
      <c r="AP1222" t="s">
        <v>69</v>
      </c>
      <c r="AR1222" t="s">
        <v>70</v>
      </c>
      <c r="AS1222">
        <v>305</v>
      </c>
      <c r="AT1222" t="s">
        <v>71</v>
      </c>
      <c r="AU1222">
        <v>28.33</v>
      </c>
      <c r="AV1222">
        <v>27.07</v>
      </c>
      <c r="AW1222" t="s">
        <v>72</v>
      </c>
      <c r="AX1222">
        <v>305</v>
      </c>
      <c r="AY1222" t="s">
        <v>71</v>
      </c>
      <c r="AZ1222">
        <v>19.09</v>
      </c>
      <c r="BA1222">
        <v>14.17</v>
      </c>
      <c r="BB1222" t="s">
        <v>73</v>
      </c>
    </row>
    <row r="1223" spans="1:54" x14ac:dyDescent="0.4">
      <c r="A1223">
        <v>1076313</v>
      </c>
      <c r="D1223" t="s">
        <v>54</v>
      </c>
      <c r="G1223">
        <v>1</v>
      </c>
      <c r="H1223" t="s">
        <v>228</v>
      </c>
      <c r="I1223" t="s">
        <v>57</v>
      </c>
      <c r="K1223" t="s">
        <v>80</v>
      </c>
      <c r="L1223" t="s">
        <v>794</v>
      </c>
      <c r="M1223" t="s">
        <v>59</v>
      </c>
      <c r="P1223" t="s">
        <v>131</v>
      </c>
      <c r="R1223" t="s">
        <v>112</v>
      </c>
      <c r="S1223" t="s">
        <v>61</v>
      </c>
      <c r="T1223">
        <v>246.7</v>
      </c>
      <c r="U1223">
        <v>244.7</v>
      </c>
      <c r="V1223">
        <f>(T1223+U1223)/2</f>
        <v>245.7</v>
      </c>
      <c r="W1223">
        <f>T1223-U1223</f>
        <v>2</v>
      </c>
      <c r="X1223">
        <v>8.5922219999999996</v>
      </c>
      <c r="Y1223">
        <v>48.534999999999997</v>
      </c>
      <c r="Z1223" t="s">
        <v>99</v>
      </c>
      <c r="AA1223" t="s">
        <v>128</v>
      </c>
      <c r="AB1223" t="s">
        <v>129</v>
      </c>
      <c r="AC1223" t="s">
        <v>1702</v>
      </c>
      <c r="AD1223" t="s">
        <v>1570</v>
      </c>
      <c r="AE1223" t="s">
        <v>758</v>
      </c>
      <c r="AF1223" t="s">
        <v>1703</v>
      </c>
      <c r="AH1223" t="s">
        <v>65</v>
      </c>
      <c r="AI1223" t="s">
        <v>1706</v>
      </c>
      <c r="AJ1223">
        <v>1967</v>
      </c>
      <c r="AK1223" t="s">
        <v>1705</v>
      </c>
      <c r="AN1223" t="s">
        <v>121</v>
      </c>
      <c r="AO1223" t="s">
        <v>68</v>
      </c>
      <c r="AP1223" t="s">
        <v>69</v>
      </c>
      <c r="AR1223" t="s">
        <v>70</v>
      </c>
      <c r="AS1223">
        <v>305</v>
      </c>
      <c r="AT1223" t="s">
        <v>71</v>
      </c>
      <c r="AU1223">
        <v>28.33</v>
      </c>
      <c r="AV1223">
        <v>27.07</v>
      </c>
      <c r="AW1223" t="s">
        <v>72</v>
      </c>
      <c r="AX1223">
        <v>305</v>
      </c>
      <c r="AY1223" t="s">
        <v>71</v>
      </c>
      <c r="AZ1223">
        <v>19.09</v>
      </c>
      <c r="BA1223">
        <v>14.17</v>
      </c>
      <c r="BB1223" t="s">
        <v>73</v>
      </c>
    </row>
    <row r="1224" spans="1:54" x14ac:dyDescent="0.4">
      <c r="A1224">
        <v>1076315</v>
      </c>
      <c r="D1224" t="s">
        <v>54</v>
      </c>
      <c r="I1224" t="s">
        <v>57</v>
      </c>
      <c r="K1224" t="s">
        <v>355</v>
      </c>
      <c r="L1224" t="s">
        <v>1323</v>
      </c>
      <c r="M1224" t="s">
        <v>59</v>
      </c>
      <c r="P1224" t="s">
        <v>131</v>
      </c>
      <c r="R1224" t="s">
        <v>112</v>
      </c>
      <c r="S1224" t="s">
        <v>61</v>
      </c>
      <c r="T1224">
        <v>246.7</v>
      </c>
      <c r="U1224">
        <v>244.7</v>
      </c>
      <c r="V1224">
        <f>(T1224+U1224)/2</f>
        <v>245.7</v>
      </c>
      <c r="W1224">
        <f>T1224-U1224</f>
        <v>2</v>
      </c>
      <c r="X1224">
        <v>8.697222</v>
      </c>
      <c r="Y1224">
        <v>48.606667000000002</v>
      </c>
      <c r="Z1224" t="s">
        <v>99</v>
      </c>
      <c r="AA1224" t="s">
        <v>128</v>
      </c>
      <c r="AB1224" t="s">
        <v>129</v>
      </c>
      <c r="AC1224" t="s">
        <v>1484</v>
      </c>
      <c r="AD1224" t="s">
        <v>1570</v>
      </c>
      <c r="AE1224" t="s">
        <v>758</v>
      </c>
      <c r="AF1224" t="s">
        <v>1703</v>
      </c>
      <c r="AH1224" t="s">
        <v>65</v>
      </c>
      <c r="AI1224" t="s">
        <v>1704</v>
      </c>
      <c r="AJ1224">
        <v>2006</v>
      </c>
      <c r="AK1224" t="s">
        <v>1707</v>
      </c>
      <c r="AN1224" t="s">
        <v>94</v>
      </c>
      <c r="AO1224" t="s">
        <v>68</v>
      </c>
      <c r="AP1224" t="s">
        <v>69</v>
      </c>
      <c r="AR1224" t="s">
        <v>70</v>
      </c>
      <c r="AS1224">
        <v>305</v>
      </c>
      <c r="AT1224" t="s">
        <v>71</v>
      </c>
      <c r="AU1224">
        <v>28.39</v>
      </c>
      <c r="AV1224">
        <v>27.16</v>
      </c>
      <c r="AW1224" t="s">
        <v>72</v>
      </c>
      <c r="AX1224">
        <v>305</v>
      </c>
      <c r="AY1224" t="s">
        <v>71</v>
      </c>
      <c r="AZ1224">
        <v>19.13</v>
      </c>
      <c r="BA1224">
        <v>14.26</v>
      </c>
      <c r="BB1224" t="s">
        <v>73</v>
      </c>
    </row>
    <row r="1225" spans="1:54" x14ac:dyDescent="0.4">
      <c r="A1225">
        <v>1076316</v>
      </c>
      <c r="D1225" t="s">
        <v>54</v>
      </c>
      <c r="I1225" t="s">
        <v>57</v>
      </c>
      <c r="K1225" t="s">
        <v>355</v>
      </c>
      <c r="L1225" t="s">
        <v>1323</v>
      </c>
      <c r="M1225" t="s">
        <v>59</v>
      </c>
      <c r="P1225" t="s">
        <v>131</v>
      </c>
      <c r="R1225" t="s">
        <v>112</v>
      </c>
      <c r="S1225" t="s">
        <v>61</v>
      </c>
      <c r="T1225">
        <v>246.7</v>
      </c>
      <c r="U1225">
        <v>244.7</v>
      </c>
      <c r="V1225">
        <f>(T1225+U1225)/2</f>
        <v>245.7</v>
      </c>
      <c r="W1225">
        <f>T1225-U1225</f>
        <v>2</v>
      </c>
      <c r="X1225">
        <v>8.697222</v>
      </c>
      <c r="Y1225">
        <v>48.606667000000002</v>
      </c>
      <c r="Z1225" t="s">
        <v>99</v>
      </c>
      <c r="AA1225" t="s">
        <v>128</v>
      </c>
      <c r="AB1225" t="s">
        <v>129</v>
      </c>
      <c r="AC1225" t="s">
        <v>1484</v>
      </c>
      <c r="AD1225" t="s">
        <v>1570</v>
      </c>
      <c r="AE1225" t="s">
        <v>758</v>
      </c>
      <c r="AF1225" t="s">
        <v>1703</v>
      </c>
      <c r="AH1225" t="s">
        <v>65</v>
      </c>
      <c r="AI1225" t="s">
        <v>1704</v>
      </c>
      <c r="AJ1225">
        <v>2006</v>
      </c>
      <c r="AK1225" t="s">
        <v>1707</v>
      </c>
      <c r="AN1225" t="s">
        <v>94</v>
      </c>
      <c r="AO1225" t="s">
        <v>68</v>
      </c>
      <c r="AP1225" t="s">
        <v>69</v>
      </c>
      <c r="AR1225" t="s">
        <v>70</v>
      </c>
      <c r="AS1225">
        <v>305</v>
      </c>
      <c r="AT1225" t="s">
        <v>71</v>
      </c>
      <c r="AU1225">
        <v>28.39</v>
      </c>
      <c r="AV1225">
        <v>27.16</v>
      </c>
      <c r="AW1225" t="s">
        <v>72</v>
      </c>
      <c r="AX1225">
        <v>305</v>
      </c>
      <c r="AY1225" t="s">
        <v>71</v>
      </c>
      <c r="AZ1225">
        <v>19.13</v>
      </c>
      <c r="BA1225">
        <v>14.26</v>
      </c>
      <c r="BB1225" t="s">
        <v>73</v>
      </c>
    </row>
    <row r="1226" spans="1:54" x14ac:dyDescent="0.4">
      <c r="A1226">
        <v>1080116</v>
      </c>
      <c r="D1226" t="s">
        <v>54</v>
      </c>
      <c r="F1226" t="s">
        <v>434</v>
      </c>
      <c r="G1226">
        <v>30</v>
      </c>
      <c r="H1226" t="s">
        <v>74</v>
      </c>
      <c r="I1226" t="s">
        <v>57</v>
      </c>
      <c r="K1226" t="s">
        <v>279</v>
      </c>
      <c r="L1226" t="s">
        <v>280</v>
      </c>
      <c r="M1226" t="s">
        <v>59</v>
      </c>
      <c r="O1226" t="s">
        <v>76</v>
      </c>
      <c r="P1226" t="s">
        <v>131</v>
      </c>
      <c r="R1226" t="s">
        <v>112</v>
      </c>
      <c r="S1226" t="s">
        <v>61</v>
      </c>
      <c r="T1226">
        <v>246.7</v>
      </c>
      <c r="U1226">
        <v>244.7</v>
      </c>
      <c r="V1226">
        <f>(T1226+U1226)/2</f>
        <v>245.7</v>
      </c>
      <c r="W1226">
        <f>T1226-U1226</f>
        <v>2</v>
      </c>
      <c r="X1226">
        <v>-105.083336</v>
      </c>
      <c r="Y1226">
        <v>35.200001</v>
      </c>
      <c r="Z1226" t="s">
        <v>99</v>
      </c>
      <c r="AA1226" t="s">
        <v>63</v>
      </c>
      <c r="AB1226" t="s">
        <v>374</v>
      </c>
      <c r="AD1226" t="s">
        <v>284</v>
      </c>
      <c r="AF1226" t="s">
        <v>1715</v>
      </c>
      <c r="AH1226" t="s">
        <v>65</v>
      </c>
      <c r="AI1226" t="s">
        <v>1716</v>
      </c>
      <c r="AJ1226">
        <v>2010</v>
      </c>
      <c r="AK1226" t="s">
        <v>1717</v>
      </c>
      <c r="AN1226" t="s">
        <v>121</v>
      </c>
      <c r="AO1226" t="s">
        <v>106</v>
      </c>
      <c r="AP1226" t="s">
        <v>182</v>
      </c>
      <c r="AQ1226" t="s">
        <v>1718</v>
      </c>
      <c r="AR1226" t="s">
        <v>70</v>
      </c>
      <c r="AS1226">
        <v>101</v>
      </c>
      <c r="AT1226" t="s">
        <v>71</v>
      </c>
      <c r="AU1226">
        <v>-29.86</v>
      </c>
      <c r="AV1226">
        <v>16.690000000000001</v>
      </c>
      <c r="AW1226" t="s">
        <v>72</v>
      </c>
      <c r="AX1226">
        <v>101</v>
      </c>
      <c r="AY1226" t="s">
        <v>71</v>
      </c>
      <c r="AZ1226">
        <v>-34.81</v>
      </c>
      <c r="BA1226">
        <v>2.21</v>
      </c>
      <c r="BB1226" t="s">
        <v>73</v>
      </c>
    </row>
    <row r="1227" spans="1:54" x14ac:dyDescent="0.4">
      <c r="A1227">
        <v>1659690</v>
      </c>
      <c r="D1227" t="s">
        <v>54</v>
      </c>
      <c r="I1227" t="s">
        <v>57</v>
      </c>
      <c r="K1227" t="s">
        <v>102</v>
      </c>
      <c r="L1227" t="s">
        <v>2278</v>
      </c>
      <c r="M1227" t="s">
        <v>59</v>
      </c>
      <c r="P1227" t="s">
        <v>131</v>
      </c>
      <c r="R1227" t="s">
        <v>112</v>
      </c>
      <c r="S1227" t="s">
        <v>61</v>
      </c>
      <c r="T1227">
        <v>246.7</v>
      </c>
      <c r="U1227">
        <v>244.7</v>
      </c>
      <c r="V1227">
        <f>(T1227+U1227)/2</f>
        <v>245.7</v>
      </c>
      <c r="W1227">
        <f>T1227-U1227</f>
        <v>2</v>
      </c>
      <c r="X1227">
        <v>8.697222</v>
      </c>
      <c r="Y1227">
        <v>48.606667000000002</v>
      </c>
      <c r="Z1227" t="s">
        <v>99</v>
      </c>
      <c r="AA1227" t="s">
        <v>128</v>
      </c>
      <c r="AB1227" t="s">
        <v>129</v>
      </c>
      <c r="AC1227" t="s">
        <v>1484</v>
      </c>
      <c r="AD1227" t="s">
        <v>1570</v>
      </c>
      <c r="AE1227" t="s">
        <v>758</v>
      </c>
      <c r="AF1227" t="s">
        <v>1703</v>
      </c>
      <c r="AH1227" t="s">
        <v>65</v>
      </c>
      <c r="AI1227" t="s">
        <v>353</v>
      </c>
      <c r="AJ1227">
        <v>2024</v>
      </c>
      <c r="AK1227" t="s">
        <v>1707</v>
      </c>
      <c r="AN1227" t="s">
        <v>94</v>
      </c>
      <c r="AO1227" t="s">
        <v>68</v>
      </c>
      <c r="AP1227" t="s">
        <v>69</v>
      </c>
      <c r="AR1227" t="s">
        <v>70</v>
      </c>
      <c r="AS1227">
        <v>305</v>
      </c>
      <c r="AT1227" t="s">
        <v>71</v>
      </c>
      <c r="AU1227">
        <v>28.39</v>
      </c>
      <c r="AV1227">
        <v>27.16</v>
      </c>
      <c r="AW1227" t="s">
        <v>72</v>
      </c>
      <c r="AX1227">
        <v>305</v>
      </c>
      <c r="AY1227" t="s">
        <v>71</v>
      </c>
      <c r="AZ1227">
        <v>19.13</v>
      </c>
      <c r="BA1227">
        <v>14.26</v>
      </c>
      <c r="BB1227" t="s">
        <v>73</v>
      </c>
    </row>
    <row r="1228" spans="1:54" x14ac:dyDescent="0.4">
      <c r="A1228">
        <v>1162175</v>
      </c>
      <c r="D1228" t="s">
        <v>54</v>
      </c>
      <c r="I1228" t="s">
        <v>57</v>
      </c>
      <c r="K1228" t="s">
        <v>355</v>
      </c>
      <c r="L1228" t="s">
        <v>451</v>
      </c>
      <c r="M1228" t="s">
        <v>59</v>
      </c>
      <c r="N1228" t="s">
        <v>97</v>
      </c>
      <c r="O1228" t="s">
        <v>179</v>
      </c>
      <c r="P1228" t="s">
        <v>131</v>
      </c>
      <c r="R1228" t="s">
        <v>112</v>
      </c>
      <c r="S1228" t="s">
        <v>61</v>
      </c>
      <c r="T1228">
        <v>246.7</v>
      </c>
      <c r="U1228">
        <v>242</v>
      </c>
      <c r="V1228">
        <f>(T1228+U1228)/2</f>
        <v>244.35</v>
      </c>
      <c r="W1228">
        <f>T1228-U1228</f>
        <v>4.6999999999999886</v>
      </c>
      <c r="X1228">
        <v>8.9049999999999994</v>
      </c>
      <c r="Y1228">
        <v>45.889999000000003</v>
      </c>
      <c r="Z1228" t="s">
        <v>465</v>
      </c>
      <c r="AA1228" t="s">
        <v>291</v>
      </c>
      <c r="AD1228" t="s">
        <v>829</v>
      </c>
      <c r="AF1228" t="s">
        <v>1381</v>
      </c>
      <c r="AH1228" t="s">
        <v>65</v>
      </c>
      <c r="AI1228" t="s">
        <v>1787</v>
      </c>
      <c r="AJ1228">
        <v>1886</v>
      </c>
      <c r="AK1228" t="s">
        <v>1788</v>
      </c>
      <c r="AN1228" t="s">
        <v>121</v>
      </c>
      <c r="AO1228">
        <v>2</v>
      </c>
      <c r="AP1228" t="s">
        <v>69</v>
      </c>
      <c r="AR1228" t="s">
        <v>70</v>
      </c>
      <c r="AS1228">
        <v>307</v>
      </c>
      <c r="AT1228" t="s">
        <v>71</v>
      </c>
      <c r="AU1228">
        <v>34.26</v>
      </c>
      <c r="AV1228">
        <v>16.71</v>
      </c>
      <c r="AW1228" t="s">
        <v>72</v>
      </c>
      <c r="AX1228">
        <v>307</v>
      </c>
      <c r="AY1228" t="s">
        <v>71</v>
      </c>
      <c r="AZ1228">
        <v>22.03</v>
      </c>
      <c r="BA1228">
        <v>7.2</v>
      </c>
      <c r="BB1228" t="s">
        <v>73</v>
      </c>
    </row>
    <row r="1229" spans="1:54" x14ac:dyDescent="0.4">
      <c r="A1229">
        <v>1445529</v>
      </c>
      <c r="D1229" t="s">
        <v>855</v>
      </c>
      <c r="G1229">
        <v>1</v>
      </c>
      <c r="H1229" t="s">
        <v>74</v>
      </c>
      <c r="I1229" t="s">
        <v>57</v>
      </c>
      <c r="K1229" t="s">
        <v>1320</v>
      </c>
      <c r="L1229" t="s">
        <v>2198</v>
      </c>
      <c r="M1229" t="s">
        <v>59</v>
      </c>
      <c r="P1229" t="s">
        <v>131</v>
      </c>
      <c r="R1229" t="s">
        <v>112</v>
      </c>
      <c r="S1229" t="s">
        <v>61</v>
      </c>
      <c r="T1229">
        <v>246.7</v>
      </c>
      <c r="U1229">
        <v>242</v>
      </c>
      <c r="V1229">
        <f>(T1229+U1229)/2</f>
        <v>244.35</v>
      </c>
      <c r="W1229">
        <f>T1229-U1229</f>
        <v>4.6999999999999886</v>
      </c>
      <c r="X1229">
        <v>8.8063889999999994</v>
      </c>
      <c r="Y1229">
        <v>45.855277999999998</v>
      </c>
      <c r="Z1229" t="s">
        <v>465</v>
      </c>
      <c r="AA1229" t="s">
        <v>291</v>
      </c>
      <c r="AD1229" t="s">
        <v>2199</v>
      </c>
      <c r="AG1229" t="s">
        <v>2200</v>
      </c>
      <c r="AH1229" t="s">
        <v>65</v>
      </c>
      <c r="AI1229" t="s">
        <v>2201</v>
      </c>
      <c r="AJ1229">
        <v>2013</v>
      </c>
      <c r="AK1229" t="s">
        <v>2202</v>
      </c>
      <c r="AN1229" t="s">
        <v>67</v>
      </c>
      <c r="AO1229" t="s">
        <v>68</v>
      </c>
      <c r="AP1229" t="s">
        <v>69</v>
      </c>
      <c r="AQ1229" t="s">
        <v>2203</v>
      </c>
      <c r="AR1229" t="s">
        <v>70</v>
      </c>
      <c r="AS1229">
        <v>307</v>
      </c>
      <c r="AT1229" t="s">
        <v>71</v>
      </c>
      <c r="AU1229">
        <v>34.19</v>
      </c>
      <c r="AV1229">
        <v>16.760000000000002</v>
      </c>
      <c r="AW1229" t="s">
        <v>72</v>
      </c>
      <c r="AX1229">
        <v>307</v>
      </c>
      <c r="AY1229" t="s">
        <v>71</v>
      </c>
      <c r="AZ1229">
        <v>21.96</v>
      </c>
      <c r="BA1229">
        <v>7.22</v>
      </c>
      <c r="BB1229" t="s">
        <v>73</v>
      </c>
    </row>
    <row r="1230" spans="1:54" x14ac:dyDescent="0.4">
      <c r="A1230">
        <v>1445531</v>
      </c>
      <c r="D1230" t="s">
        <v>855</v>
      </c>
      <c r="G1230">
        <v>1</v>
      </c>
      <c r="H1230" t="s">
        <v>74</v>
      </c>
      <c r="I1230" t="s">
        <v>57</v>
      </c>
      <c r="K1230" t="s">
        <v>102</v>
      </c>
      <c r="L1230" t="s">
        <v>1557</v>
      </c>
      <c r="M1230" t="s">
        <v>59</v>
      </c>
      <c r="O1230" t="s">
        <v>76</v>
      </c>
      <c r="P1230" t="s">
        <v>131</v>
      </c>
      <c r="R1230" t="s">
        <v>112</v>
      </c>
      <c r="S1230" t="s">
        <v>61</v>
      </c>
      <c r="T1230">
        <v>246.7</v>
      </c>
      <c r="U1230">
        <v>242</v>
      </c>
      <c r="V1230">
        <f>(T1230+U1230)/2</f>
        <v>244.35</v>
      </c>
      <c r="W1230">
        <f>T1230-U1230</f>
        <v>4.6999999999999886</v>
      </c>
      <c r="X1230">
        <v>8.8130000000000006</v>
      </c>
      <c r="Y1230">
        <v>45.859000999999999</v>
      </c>
      <c r="Z1230" t="s">
        <v>465</v>
      </c>
      <c r="AA1230" t="s">
        <v>291</v>
      </c>
      <c r="AD1230" t="s">
        <v>2199</v>
      </c>
      <c r="AG1230" t="s">
        <v>2200</v>
      </c>
      <c r="AH1230" t="s">
        <v>11</v>
      </c>
      <c r="AI1230" t="s">
        <v>2201</v>
      </c>
      <c r="AJ1230">
        <v>2013</v>
      </c>
      <c r="AK1230" t="s">
        <v>2204</v>
      </c>
      <c r="AN1230" t="s">
        <v>121</v>
      </c>
      <c r="AO1230">
        <v>3</v>
      </c>
      <c r="AP1230" t="s">
        <v>69</v>
      </c>
      <c r="AR1230" t="s">
        <v>70</v>
      </c>
      <c r="AS1230">
        <v>307</v>
      </c>
      <c r="AT1230" t="s">
        <v>71</v>
      </c>
      <c r="AU1230">
        <v>34.200000000000003</v>
      </c>
      <c r="AV1230">
        <v>16.760000000000002</v>
      </c>
      <c r="AW1230" t="s">
        <v>72</v>
      </c>
      <c r="AX1230">
        <v>307</v>
      </c>
      <c r="AY1230" t="s">
        <v>71</v>
      </c>
      <c r="AZ1230">
        <v>21.96</v>
      </c>
      <c r="BA1230">
        <v>7.22</v>
      </c>
      <c r="BB1230" t="s">
        <v>73</v>
      </c>
    </row>
    <row r="1231" spans="1:54" x14ac:dyDescent="0.4">
      <c r="A1231">
        <v>792622</v>
      </c>
      <c r="D1231" t="s">
        <v>763</v>
      </c>
      <c r="E1231" t="s">
        <v>104</v>
      </c>
      <c r="G1231">
        <v>1</v>
      </c>
      <c r="H1231" t="s">
        <v>56</v>
      </c>
      <c r="I1231" t="s">
        <v>57</v>
      </c>
      <c r="K1231" t="s">
        <v>80</v>
      </c>
      <c r="L1231" t="s">
        <v>794</v>
      </c>
      <c r="M1231" t="s">
        <v>59</v>
      </c>
      <c r="P1231" t="s">
        <v>131</v>
      </c>
      <c r="R1231" t="s">
        <v>112</v>
      </c>
      <c r="S1231" t="s">
        <v>61</v>
      </c>
      <c r="T1231">
        <v>246.7</v>
      </c>
      <c r="U1231">
        <v>245.5</v>
      </c>
      <c r="V1231">
        <f>(T1231+U1231)/2</f>
        <v>246.1</v>
      </c>
      <c r="W1231">
        <f>T1231-U1231</f>
        <v>1.1999999999999886</v>
      </c>
      <c r="X1231">
        <v>10.653055999999999</v>
      </c>
      <c r="Y1231">
        <v>50.453887999999999</v>
      </c>
      <c r="Z1231" t="s">
        <v>702</v>
      </c>
      <c r="AA1231" t="s">
        <v>128</v>
      </c>
      <c r="AB1231" t="s">
        <v>397</v>
      </c>
      <c r="AC1231" t="s">
        <v>795</v>
      </c>
      <c r="AD1231" t="s">
        <v>796</v>
      </c>
      <c r="AE1231" t="s">
        <v>797</v>
      </c>
      <c r="AF1231" t="s">
        <v>798</v>
      </c>
      <c r="AH1231" t="s">
        <v>65</v>
      </c>
      <c r="AI1231" t="s">
        <v>799</v>
      </c>
      <c r="AJ1231">
        <v>2008</v>
      </c>
      <c r="AK1231" t="s">
        <v>800</v>
      </c>
      <c r="AN1231" t="s">
        <v>94</v>
      </c>
      <c r="AO1231" t="s">
        <v>68</v>
      </c>
      <c r="AP1231" t="s">
        <v>95</v>
      </c>
      <c r="AQ1231" t="s">
        <v>801</v>
      </c>
      <c r="AR1231" t="s">
        <v>70</v>
      </c>
      <c r="AS1231">
        <v>305</v>
      </c>
      <c r="AT1231" t="s">
        <v>71</v>
      </c>
      <c r="AU1231">
        <v>29.31</v>
      </c>
      <c r="AV1231">
        <v>29.25</v>
      </c>
      <c r="AW1231" t="s">
        <v>72</v>
      </c>
      <c r="AX1231">
        <v>305</v>
      </c>
      <c r="AY1231" t="s">
        <v>71</v>
      </c>
      <c r="AZ1231">
        <v>19.600000000000001</v>
      </c>
      <c r="BA1231">
        <v>16.46</v>
      </c>
      <c r="BB1231" t="s">
        <v>73</v>
      </c>
    </row>
    <row r="1232" spans="1:54" x14ac:dyDescent="0.4">
      <c r="A1232">
        <v>792622</v>
      </c>
      <c r="D1232" t="s">
        <v>763</v>
      </c>
      <c r="E1232" t="s">
        <v>104</v>
      </c>
      <c r="G1232">
        <v>1</v>
      </c>
      <c r="H1232" t="s">
        <v>56</v>
      </c>
      <c r="I1232" t="s">
        <v>57</v>
      </c>
      <c r="K1232" t="s">
        <v>80</v>
      </c>
      <c r="L1232" t="s">
        <v>794</v>
      </c>
      <c r="M1232" t="s">
        <v>59</v>
      </c>
      <c r="P1232" t="s">
        <v>131</v>
      </c>
      <c r="R1232" t="s">
        <v>112</v>
      </c>
      <c r="S1232" t="s">
        <v>61</v>
      </c>
      <c r="T1232">
        <v>246.7</v>
      </c>
      <c r="U1232">
        <v>245.5</v>
      </c>
      <c r="V1232">
        <f>(T1232+U1232)/2</f>
        <v>246.1</v>
      </c>
      <c r="W1232">
        <f>T1232-U1232</f>
        <v>1.1999999999999886</v>
      </c>
      <c r="X1232">
        <v>10.653055999999999</v>
      </c>
      <c r="Y1232">
        <v>50.453887999999999</v>
      </c>
      <c r="Z1232" t="s">
        <v>702</v>
      </c>
      <c r="AA1232" t="s">
        <v>128</v>
      </c>
      <c r="AB1232" t="s">
        <v>397</v>
      </c>
      <c r="AC1232" t="s">
        <v>795</v>
      </c>
      <c r="AD1232" t="s">
        <v>796</v>
      </c>
      <c r="AE1232" t="s">
        <v>797</v>
      </c>
      <c r="AF1232" t="s">
        <v>798</v>
      </c>
      <c r="AH1232" t="s">
        <v>65</v>
      </c>
      <c r="AI1232" t="s">
        <v>799</v>
      </c>
      <c r="AJ1232">
        <v>2008</v>
      </c>
      <c r="AK1232" t="s">
        <v>800</v>
      </c>
      <c r="AN1232" t="s">
        <v>94</v>
      </c>
      <c r="AO1232" t="s">
        <v>68</v>
      </c>
      <c r="AP1232" t="s">
        <v>95</v>
      </c>
      <c r="AQ1232" t="s">
        <v>801</v>
      </c>
      <c r="AR1232" t="s">
        <v>70</v>
      </c>
      <c r="AS1232">
        <v>305</v>
      </c>
      <c r="AT1232" t="s">
        <v>71</v>
      </c>
      <c r="AU1232">
        <v>29.31</v>
      </c>
      <c r="AV1232">
        <v>29.25</v>
      </c>
      <c r="AW1232" t="s">
        <v>72</v>
      </c>
      <c r="AX1232">
        <v>305</v>
      </c>
      <c r="AY1232" t="s">
        <v>71</v>
      </c>
      <c r="AZ1232">
        <v>19.600000000000001</v>
      </c>
      <c r="BA1232">
        <v>16.46</v>
      </c>
      <c r="BB1232" t="s">
        <v>73</v>
      </c>
    </row>
    <row r="1233" spans="1:54" x14ac:dyDescent="0.4">
      <c r="A1233">
        <v>837482</v>
      </c>
      <c r="D1233" t="s">
        <v>855</v>
      </c>
      <c r="I1233" t="s">
        <v>57</v>
      </c>
      <c r="K1233" t="s">
        <v>80</v>
      </c>
      <c r="L1233" t="s">
        <v>1095</v>
      </c>
      <c r="M1233" t="s">
        <v>59</v>
      </c>
      <c r="P1233" t="s">
        <v>131</v>
      </c>
      <c r="R1233" t="s">
        <v>112</v>
      </c>
      <c r="S1233" t="s">
        <v>61</v>
      </c>
      <c r="T1233">
        <v>246.7</v>
      </c>
      <c r="U1233">
        <v>245.5</v>
      </c>
      <c r="V1233">
        <f>(T1233+U1233)/2</f>
        <v>246.1</v>
      </c>
      <c r="W1233">
        <f>T1233-U1233</f>
        <v>1.1999999999999886</v>
      </c>
      <c r="X1233">
        <v>11.032222000000001</v>
      </c>
      <c r="Y1233">
        <v>50.331668999999998</v>
      </c>
      <c r="Z1233" t="s">
        <v>702</v>
      </c>
      <c r="AA1233" t="s">
        <v>128</v>
      </c>
      <c r="AB1233" t="s">
        <v>1096</v>
      </c>
      <c r="AC1233" t="s">
        <v>1097</v>
      </c>
      <c r="AD1233" t="s">
        <v>796</v>
      </c>
      <c r="AE1233" t="s">
        <v>797</v>
      </c>
      <c r="AF1233" t="s">
        <v>798</v>
      </c>
      <c r="AH1233" t="s">
        <v>65</v>
      </c>
      <c r="AI1233" t="s">
        <v>335</v>
      </c>
      <c r="AJ1233">
        <v>1911</v>
      </c>
      <c r="AK1233" t="s">
        <v>1098</v>
      </c>
      <c r="AN1233" t="s">
        <v>94</v>
      </c>
      <c r="AO1233" t="s">
        <v>68</v>
      </c>
      <c r="AQ1233" t="s">
        <v>1099</v>
      </c>
      <c r="AR1233" t="s">
        <v>70</v>
      </c>
      <c r="AS1233">
        <v>305</v>
      </c>
      <c r="AT1233" t="s">
        <v>71</v>
      </c>
      <c r="AU1233">
        <v>29.61</v>
      </c>
      <c r="AV1233">
        <v>29.19</v>
      </c>
      <c r="AW1233" t="s">
        <v>72</v>
      </c>
      <c r="AX1233">
        <v>305</v>
      </c>
      <c r="AY1233" t="s">
        <v>71</v>
      </c>
      <c r="AZ1233">
        <v>19.88</v>
      </c>
      <c r="BA1233">
        <v>16.440000000000001</v>
      </c>
      <c r="BB1233" t="s">
        <v>73</v>
      </c>
    </row>
    <row r="1234" spans="1:54" x14ac:dyDescent="0.4">
      <c r="A1234">
        <v>1076935</v>
      </c>
      <c r="D1234" t="s">
        <v>54</v>
      </c>
      <c r="G1234">
        <v>1</v>
      </c>
      <c r="H1234" t="s">
        <v>56</v>
      </c>
      <c r="I1234" t="s">
        <v>57</v>
      </c>
      <c r="K1234" t="s">
        <v>1708</v>
      </c>
      <c r="L1234" t="s">
        <v>1709</v>
      </c>
      <c r="M1234" t="s">
        <v>59</v>
      </c>
      <c r="P1234" t="s">
        <v>131</v>
      </c>
      <c r="R1234" t="s">
        <v>112</v>
      </c>
      <c r="S1234" t="s">
        <v>61</v>
      </c>
      <c r="T1234">
        <v>246.7</v>
      </c>
      <c r="U1234">
        <v>245.5</v>
      </c>
      <c r="V1234">
        <f>(T1234+U1234)/2</f>
        <v>246.1</v>
      </c>
      <c r="W1234">
        <f>T1234-U1234</f>
        <v>1.1999999999999886</v>
      </c>
      <c r="X1234">
        <v>11.733333</v>
      </c>
      <c r="Y1234">
        <v>51.799999</v>
      </c>
      <c r="Z1234" t="s">
        <v>99</v>
      </c>
      <c r="AA1234" t="s">
        <v>128</v>
      </c>
      <c r="AB1234" t="s">
        <v>146</v>
      </c>
      <c r="AC1234" t="s">
        <v>1710</v>
      </c>
      <c r="AD1234" t="s">
        <v>796</v>
      </c>
      <c r="AE1234" t="s">
        <v>797</v>
      </c>
      <c r="AF1234" t="s">
        <v>1711</v>
      </c>
      <c r="AH1234" t="s">
        <v>65</v>
      </c>
      <c r="AI1234" t="s">
        <v>1712</v>
      </c>
      <c r="AJ1234">
        <v>1917</v>
      </c>
      <c r="AK1234" t="s">
        <v>1713</v>
      </c>
      <c r="AM1234" t="s">
        <v>1709</v>
      </c>
      <c r="AN1234" t="s">
        <v>94</v>
      </c>
      <c r="AO1234" t="s">
        <v>106</v>
      </c>
      <c r="AP1234" t="s">
        <v>69</v>
      </c>
      <c r="AQ1234" t="s">
        <v>1714</v>
      </c>
      <c r="AR1234" t="s">
        <v>70</v>
      </c>
      <c r="AS1234">
        <v>315</v>
      </c>
      <c r="AT1234" t="s">
        <v>71</v>
      </c>
      <c r="AU1234">
        <v>29.69</v>
      </c>
      <c r="AV1234">
        <v>30.72</v>
      </c>
      <c r="AW1234" t="s">
        <v>72</v>
      </c>
      <c r="AX1234">
        <v>315</v>
      </c>
      <c r="AY1234" t="s">
        <v>71</v>
      </c>
      <c r="AZ1234">
        <v>19.68</v>
      </c>
      <c r="BA1234">
        <v>17.96</v>
      </c>
      <c r="BB1234" t="s">
        <v>73</v>
      </c>
    </row>
    <row r="1235" spans="1:54" x14ac:dyDescent="0.4">
      <c r="A1235">
        <v>806205</v>
      </c>
      <c r="D1235" t="s">
        <v>54</v>
      </c>
      <c r="E1235" t="s">
        <v>153</v>
      </c>
      <c r="F1235" t="s">
        <v>144</v>
      </c>
      <c r="G1235">
        <v>1</v>
      </c>
      <c r="H1235" t="s">
        <v>56</v>
      </c>
      <c r="I1235" t="s">
        <v>57</v>
      </c>
      <c r="K1235" t="s">
        <v>102</v>
      </c>
      <c r="L1235" t="s">
        <v>876</v>
      </c>
      <c r="M1235" t="s">
        <v>59</v>
      </c>
      <c r="O1235" t="s">
        <v>76</v>
      </c>
      <c r="P1235" t="s">
        <v>131</v>
      </c>
      <c r="R1235" t="s">
        <v>112</v>
      </c>
      <c r="S1235" t="s">
        <v>61</v>
      </c>
      <c r="T1235">
        <v>246.7</v>
      </c>
      <c r="U1235">
        <v>243.8</v>
      </c>
      <c r="V1235">
        <f>(T1235+U1235)/2</f>
        <v>245.25</v>
      </c>
      <c r="W1235">
        <f>T1235-U1235</f>
        <v>2.8999999999999773</v>
      </c>
      <c r="X1235">
        <v>104.47139</v>
      </c>
      <c r="Y1235">
        <v>25.700001</v>
      </c>
      <c r="Z1235" t="s">
        <v>465</v>
      </c>
      <c r="AA1235" t="s">
        <v>186</v>
      </c>
      <c r="AB1235" t="s">
        <v>332</v>
      </c>
      <c r="AC1235" t="s">
        <v>877</v>
      </c>
      <c r="AD1235" t="s">
        <v>878</v>
      </c>
      <c r="AH1235" t="s">
        <v>65</v>
      </c>
      <c r="AI1235" t="s">
        <v>626</v>
      </c>
      <c r="AJ1235">
        <v>2006</v>
      </c>
      <c r="AK1235" t="s">
        <v>879</v>
      </c>
      <c r="AM1235" t="s">
        <v>880</v>
      </c>
      <c r="AN1235" t="s">
        <v>94</v>
      </c>
      <c r="AO1235" t="s">
        <v>106</v>
      </c>
      <c r="AP1235" t="s">
        <v>69</v>
      </c>
      <c r="AQ1235" t="s">
        <v>881</v>
      </c>
      <c r="AR1235" t="s">
        <v>70</v>
      </c>
      <c r="AS1235">
        <v>611</v>
      </c>
      <c r="AT1235" t="s">
        <v>71</v>
      </c>
      <c r="AU1235">
        <v>106.94</v>
      </c>
      <c r="AV1235">
        <v>-10.43</v>
      </c>
      <c r="AW1235" t="s">
        <v>72</v>
      </c>
      <c r="AX1235">
        <v>611</v>
      </c>
      <c r="AY1235" t="s">
        <v>71</v>
      </c>
      <c r="AZ1235">
        <v>94.86</v>
      </c>
      <c r="BA1235">
        <v>11.55</v>
      </c>
      <c r="BB1235" t="s">
        <v>73</v>
      </c>
    </row>
    <row r="1236" spans="1:54" x14ac:dyDescent="0.4">
      <c r="A1236">
        <v>806205</v>
      </c>
      <c r="D1236" t="s">
        <v>54</v>
      </c>
      <c r="E1236" t="s">
        <v>153</v>
      </c>
      <c r="F1236" t="s">
        <v>144</v>
      </c>
      <c r="G1236">
        <v>1</v>
      </c>
      <c r="H1236" t="s">
        <v>56</v>
      </c>
      <c r="I1236" t="s">
        <v>57</v>
      </c>
      <c r="K1236" t="s">
        <v>102</v>
      </c>
      <c r="L1236" t="s">
        <v>876</v>
      </c>
      <c r="M1236" t="s">
        <v>59</v>
      </c>
      <c r="O1236" t="s">
        <v>76</v>
      </c>
      <c r="P1236" t="s">
        <v>131</v>
      </c>
      <c r="R1236" t="s">
        <v>112</v>
      </c>
      <c r="S1236" t="s">
        <v>61</v>
      </c>
      <c r="T1236">
        <v>246.7</v>
      </c>
      <c r="U1236">
        <v>243.8</v>
      </c>
      <c r="V1236">
        <f>(T1236+U1236)/2</f>
        <v>245.25</v>
      </c>
      <c r="W1236">
        <f>T1236-U1236</f>
        <v>2.8999999999999773</v>
      </c>
      <c r="X1236">
        <v>104.47139</v>
      </c>
      <c r="Y1236">
        <v>25.700001</v>
      </c>
      <c r="Z1236" t="s">
        <v>465</v>
      </c>
      <c r="AA1236" t="s">
        <v>186</v>
      </c>
      <c r="AB1236" t="s">
        <v>332</v>
      </c>
      <c r="AC1236" t="s">
        <v>877</v>
      </c>
      <c r="AD1236" t="s">
        <v>878</v>
      </c>
      <c r="AH1236" t="s">
        <v>65</v>
      </c>
      <c r="AI1236" t="s">
        <v>626</v>
      </c>
      <c r="AJ1236">
        <v>2006</v>
      </c>
      <c r="AK1236" t="s">
        <v>879</v>
      </c>
      <c r="AM1236" t="s">
        <v>880</v>
      </c>
      <c r="AN1236" t="s">
        <v>94</v>
      </c>
      <c r="AO1236" t="s">
        <v>106</v>
      </c>
      <c r="AP1236" t="s">
        <v>69</v>
      </c>
      <c r="AQ1236" t="s">
        <v>881</v>
      </c>
      <c r="AR1236" t="s">
        <v>70</v>
      </c>
      <c r="AS1236">
        <v>611</v>
      </c>
      <c r="AT1236" t="s">
        <v>71</v>
      </c>
      <c r="AU1236">
        <v>106.94</v>
      </c>
      <c r="AV1236">
        <v>-10.43</v>
      </c>
      <c r="AW1236" t="s">
        <v>72</v>
      </c>
      <c r="AX1236">
        <v>611</v>
      </c>
      <c r="AY1236" t="s">
        <v>71</v>
      </c>
      <c r="AZ1236">
        <v>94.86</v>
      </c>
      <c r="BA1236">
        <v>11.55</v>
      </c>
      <c r="BB1236" t="s">
        <v>73</v>
      </c>
    </row>
    <row r="1237" spans="1:54" x14ac:dyDescent="0.4">
      <c r="A1237">
        <v>806205</v>
      </c>
      <c r="D1237" t="s">
        <v>54</v>
      </c>
      <c r="E1237" t="s">
        <v>153</v>
      </c>
      <c r="F1237" t="s">
        <v>144</v>
      </c>
      <c r="G1237">
        <v>1</v>
      </c>
      <c r="H1237" t="s">
        <v>56</v>
      </c>
      <c r="I1237" t="s">
        <v>57</v>
      </c>
      <c r="K1237" t="s">
        <v>102</v>
      </c>
      <c r="L1237" t="s">
        <v>876</v>
      </c>
      <c r="M1237" t="s">
        <v>59</v>
      </c>
      <c r="O1237" t="s">
        <v>76</v>
      </c>
      <c r="P1237" t="s">
        <v>131</v>
      </c>
      <c r="R1237" t="s">
        <v>112</v>
      </c>
      <c r="S1237" t="s">
        <v>61</v>
      </c>
      <c r="T1237">
        <v>246.7</v>
      </c>
      <c r="U1237">
        <v>243.8</v>
      </c>
      <c r="V1237">
        <f>(T1237+U1237)/2</f>
        <v>245.25</v>
      </c>
      <c r="W1237">
        <f>T1237-U1237</f>
        <v>2.8999999999999773</v>
      </c>
      <c r="X1237">
        <v>104.47139</v>
      </c>
      <c r="Y1237">
        <v>25.700001</v>
      </c>
      <c r="Z1237" t="s">
        <v>465</v>
      </c>
      <c r="AA1237" t="s">
        <v>186</v>
      </c>
      <c r="AB1237" t="s">
        <v>332</v>
      </c>
      <c r="AC1237" t="s">
        <v>877</v>
      </c>
      <c r="AD1237" t="s">
        <v>878</v>
      </c>
      <c r="AH1237" t="s">
        <v>65</v>
      </c>
      <c r="AI1237" t="s">
        <v>626</v>
      </c>
      <c r="AJ1237">
        <v>2006</v>
      </c>
      <c r="AK1237" t="s">
        <v>879</v>
      </c>
      <c r="AM1237" t="s">
        <v>880</v>
      </c>
      <c r="AN1237" t="s">
        <v>94</v>
      </c>
      <c r="AO1237" t="s">
        <v>106</v>
      </c>
      <c r="AP1237" t="s">
        <v>69</v>
      </c>
      <c r="AQ1237" t="s">
        <v>881</v>
      </c>
      <c r="AR1237" t="s">
        <v>70</v>
      </c>
      <c r="AS1237">
        <v>611</v>
      </c>
      <c r="AT1237" t="s">
        <v>71</v>
      </c>
      <c r="AU1237">
        <v>106.94</v>
      </c>
      <c r="AV1237">
        <v>-10.43</v>
      </c>
      <c r="AW1237" t="s">
        <v>72</v>
      </c>
      <c r="AX1237">
        <v>611</v>
      </c>
      <c r="AY1237" t="s">
        <v>71</v>
      </c>
      <c r="AZ1237">
        <v>94.86</v>
      </c>
      <c r="BA1237">
        <v>11.55</v>
      </c>
      <c r="BB1237" t="s">
        <v>73</v>
      </c>
    </row>
    <row r="1238" spans="1:54" x14ac:dyDescent="0.4">
      <c r="A1238">
        <v>935627</v>
      </c>
      <c r="D1238" t="s">
        <v>763</v>
      </c>
      <c r="E1238" t="s">
        <v>153</v>
      </c>
      <c r="F1238" t="s">
        <v>1012</v>
      </c>
      <c r="G1238">
        <v>2</v>
      </c>
      <c r="H1238" t="s">
        <v>74</v>
      </c>
      <c r="I1238" t="s">
        <v>57</v>
      </c>
      <c r="K1238" t="s">
        <v>1604</v>
      </c>
      <c r="L1238" t="s">
        <v>1605</v>
      </c>
      <c r="M1238" t="s">
        <v>59</v>
      </c>
      <c r="P1238" t="s">
        <v>131</v>
      </c>
      <c r="R1238" t="s">
        <v>112</v>
      </c>
      <c r="S1238" t="s">
        <v>61</v>
      </c>
      <c r="T1238">
        <v>246.7</v>
      </c>
      <c r="U1238">
        <v>243.8</v>
      </c>
      <c r="V1238">
        <f>(T1238+U1238)/2</f>
        <v>245.25</v>
      </c>
      <c r="W1238">
        <f>T1238-U1238</f>
        <v>2.8999999999999773</v>
      </c>
      <c r="X1238">
        <v>104.327003</v>
      </c>
      <c r="Y1238">
        <v>24.73</v>
      </c>
      <c r="Z1238" t="s">
        <v>295</v>
      </c>
      <c r="AA1238" t="s">
        <v>186</v>
      </c>
      <c r="AB1238" t="s">
        <v>371</v>
      </c>
      <c r="AC1238" t="s">
        <v>1602</v>
      </c>
      <c r="AD1238" t="s">
        <v>878</v>
      </c>
      <c r="AF1238" t="s">
        <v>415</v>
      </c>
      <c r="AH1238" t="s">
        <v>65</v>
      </c>
      <c r="AI1238" t="s">
        <v>626</v>
      </c>
      <c r="AJ1238">
        <v>2011</v>
      </c>
      <c r="AK1238" t="s">
        <v>1606</v>
      </c>
      <c r="AN1238" t="s">
        <v>121</v>
      </c>
      <c r="AO1238">
        <v>2</v>
      </c>
      <c r="AP1238" t="s">
        <v>95</v>
      </c>
      <c r="AR1238" t="s">
        <v>70</v>
      </c>
      <c r="AS1238">
        <v>611</v>
      </c>
      <c r="AT1238" t="s">
        <v>71</v>
      </c>
      <c r="AU1238">
        <v>106.84</v>
      </c>
      <c r="AV1238">
        <v>-11.4</v>
      </c>
      <c r="AW1238" t="s">
        <v>72</v>
      </c>
      <c r="AX1238">
        <v>611</v>
      </c>
      <c r="AY1238" t="s">
        <v>71</v>
      </c>
      <c r="AZ1238">
        <v>95.27</v>
      </c>
      <c r="BA1238">
        <v>10.66</v>
      </c>
      <c r="BB1238" t="s">
        <v>73</v>
      </c>
    </row>
    <row r="1239" spans="1:54" x14ac:dyDescent="0.4">
      <c r="A1239">
        <v>935632</v>
      </c>
      <c r="D1239" t="s">
        <v>54</v>
      </c>
      <c r="E1239" t="s">
        <v>153</v>
      </c>
      <c r="G1239">
        <v>1</v>
      </c>
      <c r="H1239" t="s">
        <v>74</v>
      </c>
      <c r="I1239" t="s">
        <v>57</v>
      </c>
      <c r="K1239" t="s">
        <v>1604</v>
      </c>
      <c r="L1239" t="s">
        <v>1605</v>
      </c>
      <c r="M1239" t="s">
        <v>59</v>
      </c>
      <c r="P1239" t="s">
        <v>131</v>
      </c>
      <c r="R1239" t="s">
        <v>112</v>
      </c>
      <c r="S1239" t="s">
        <v>61</v>
      </c>
      <c r="T1239">
        <v>246.7</v>
      </c>
      <c r="U1239">
        <v>243.8</v>
      </c>
      <c r="V1239">
        <f>(T1239+U1239)/2</f>
        <v>245.25</v>
      </c>
      <c r="W1239">
        <f>T1239-U1239</f>
        <v>2.8999999999999773</v>
      </c>
      <c r="X1239">
        <v>104.84889200000001</v>
      </c>
      <c r="Y1239">
        <v>25.475833999999999</v>
      </c>
      <c r="Z1239" t="s">
        <v>268</v>
      </c>
      <c r="AA1239" t="s">
        <v>186</v>
      </c>
      <c r="AB1239" t="s">
        <v>332</v>
      </c>
      <c r="AC1239" t="s">
        <v>877</v>
      </c>
      <c r="AD1239" t="s">
        <v>878</v>
      </c>
      <c r="AF1239" t="s">
        <v>415</v>
      </c>
      <c r="AG1239" t="s">
        <v>1415</v>
      </c>
      <c r="AH1239" t="s">
        <v>65</v>
      </c>
      <c r="AI1239" t="s">
        <v>626</v>
      </c>
      <c r="AJ1239">
        <v>2011</v>
      </c>
      <c r="AK1239" t="s">
        <v>1483</v>
      </c>
      <c r="AN1239" t="s">
        <v>94</v>
      </c>
      <c r="AO1239" t="s">
        <v>68</v>
      </c>
      <c r="AP1239" t="s">
        <v>95</v>
      </c>
      <c r="AR1239" t="s">
        <v>70</v>
      </c>
      <c r="AS1239">
        <v>611</v>
      </c>
      <c r="AT1239" t="s">
        <v>71</v>
      </c>
      <c r="AU1239">
        <v>107.29</v>
      </c>
      <c r="AV1239">
        <v>-10.64</v>
      </c>
      <c r="AW1239" t="s">
        <v>72</v>
      </c>
      <c r="AX1239">
        <v>611</v>
      </c>
      <c r="AY1239" t="s">
        <v>71</v>
      </c>
      <c r="AZ1239">
        <v>95.28</v>
      </c>
      <c r="BA1239">
        <v>11.54</v>
      </c>
      <c r="BB1239" t="s">
        <v>73</v>
      </c>
    </row>
    <row r="1240" spans="1:54" x14ac:dyDescent="0.4">
      <c r="A1240">
        <v>1012675</v>
      </c>
      <c r="D1240" t="s">
        <v>54</v>
      </c>
      <c r="E1240" t="s">
        <v>153</v>
      </c>
      <c r="G1240">
        <v>1</v>
      </c>
      <c r="H1240" t="s">
        <v>74</v>
      </c>
      <c r="I1240" t="s">
        <v>57</v>
      </c>
      <c r="K1240" t="s">
        <v>1604</v>
      </c>
      <c r="L1240" t="s">
        <v>1685</v>
      </c>
      <c r="M1240" t="s">
        <v>59</v>
      </c>
      <c r="P1240" t="s">
        <v>131</v>
      </c>
      <c r="R1240" t="s">
        <v>112</v>
      </c>
      <c r="S1240" t="s">
        <v>61</v>
      </c>
      <c r="T1240">
        <v>246.7</v>
      </c>
      <c r="U1240">
        <v>243.8</v>
      </c>
      <c r="V1240">
        <f>(T1240+U1240)/2</f>
        <v>245.25</v>
      </c>
      <c r="W1240">
        <f>T1240-U1240</f>
        <v>2.8999999999999773</v>
      </c>
      <c r="X1240">
        <v>104.308891</v>
      </c>
      <c r="Y1240">
        <v>24.884722</v>
      </c>
      <c r="Z1240" t="s">
        <v>268</v>
      </c>
      <c r="AA1240" t="s">
        <v>186</v>
      </c>
      <c r="AB1240" t="s">
        <v>371</v>
      </c>
      <c r="AC1240" t="s">
        <v>1602</v>
      </c>
      <c r="AD1240" t="s">
        <v>878</v>
      </c>
      <c r="AF1240" t="s">
        <v>1417</v>
      </c>
      <c r="AH1240" t="s">
        <v>65</v>
      </c>
      <c r="AI1240" t="s">
        <v>1481</v>
      </c>
      <c r="AJ1240">
        <v>2012</v>
      </c>
      <c r="AK1240" t="s">
        <v>1686</v>
      </c>
      <c r="AN1240" t="s">
        <v>177</v>
      </c>
      <c r="AO1240" t="s">
        <v>68</v>
      </c>
      <c r="AP1240" t="s">
        <v>182</v>
      </c>
      <c r="AQ1240" t="s">
        <v>1687</v>
      </c>
      <c r="AR1240" t="s">
        <v>70</v>
      </c>
      <c r="AS1240">
        <v>611</v>
      </c>
      <c r="AT1240" t="s">
        <v>71</v>
      </c>
      <c r="AU1240">
        <v>106.82</v>
      </c>
      <c r="AV1240">
        <v>-11.25</v>
      </c>
      <c r="AW1240" t="s">
        <v>72</v>
      </c>
      <c r="AX1240">
        <v>611</v>
      </c>
      <c r="AY1240" t="s">
        <v>71</v>
      </c>
      <c r="AZ1240">
        <v>95.18</v>
      </c>
      <c r="BA1240">
        <v>10.78</v>
      </c>
      <c r="BB1240" t="s">
        <v>73</v>
      </c>
    </row>
    <row r="1241" spans="1:54" x14ac:dyDescent="0.4">
      <c r="A1241">
        <v>1137542</v>
      </c>
      <c r="D1241" t="s">
        <v>54</v>
      </c>
      <c r="E1241" t="s">
        <v>153</v>
      </c>
      <c r="F1241" t="s">
        <v>144</v>
      </c>
      <c r="G1241">
        <v>3</v>
      </c>
      <c r="H1241" t="s">
        <v>74</v>
      </c>
      <c r="I1241" t="s">
        <v>57</v>
      </c>
      <c r="K1241" t="s">
        <v>1604</v>
      </c>
      <c r="L1241" t="s">
        <v>1685</v>
      </c>
      <c r="M1241" t="s">
        <v>59</v>
      </c>
      <c r="P1241" t="s">
        <v>131</v>
      </c>
      <c r="R1241" t="s">
        <v>112</v>
      </c>
      <c r="S1241" t="s">
        <v>61</v>
      </c>
      <c r="T1241">
        <v>246.7</v>
      </c>
      <c r="U1241">
        <v>243.8</v>
      </c>
      <c r="V1241">
        <f>(T1241+U1241)/2</f>
        <v>245.25</v>
      </c>
      <c r="W1241">
        <f>T1241-U1241</f>
        <v>2.8999999999999773</v>
      </c>
      <c r="X1241">
        <v>104.47139</v>
      </c>
      <c r="Y1241">
        <v>25.700001</v>
      </c>
      <c r="Z1241" t="s">
        <v>465</v>
      </c>
      <c r="AA1241" t="s">
        <v>186</v>
      </c>
      <c r="AB1241" t="s">
        <v>332</v>
      </c>
      <c r="AC1241" t="s">
        <v>877</v>
      </c>
      <c r="AD1241" t="s">
        <v>878</v>
      </c>
      <c r="AH1241" t="s">
        <v>65</v>
      </c>
      <c r="AI1241" t="s">
        <v>626</v>
      </c>
      <c r="AJ1241">
        <v>2013</v>
      </c>
      <c r="AK1241" t="s">
        <v>879</v>
      </c>
      <c r="AM1241" t="s">
        <v>880</v>
      </c>
      <c r="AN1241" t="s">
        <v>94</v>
      </c>
      <c r="AO1241" t="s">
        <v>106</v>
      </c>
      <c r="AP1241" t="s">
        <v>69</v>
      </c>
      <c r="AQ1241" t="s">
        <v>881</v>
      </c>
      <c r="AR1241" t="s">
        <v>70</v>
      </c>
      <c r="AS1241">
        <v>611</v>
      </c>
      <c r="AT1241" t="s">
        <v>71</v>
      </c>
      <c r="AU1241">
        <v>106.94</v>
      </c>
      <c r="AV1241">
        <v>-10.43</v>
      </c>
      <c r="AW1241" t="s">
        <v>72</v>
      </c>
      <c r="AX1241">
        <v>611</v>
      </c>
      <c r="AY1241" t="s">
        <v>71</v>
      </c>
      <c r="AZ1241">
        <v>94.86</v>
      </c>
      <c r="BA1241">
        <v>11.55</v>
      </c>
      <c r="BB1241" t="s">
        <v>73</v>
      </c>
    </row>
    <row r="1242" spans="1:54" x14ac:dyDescent="0.4">
      <c r="A1242">
        <v>1347595</v>
      </c>
      <c r="D1242" t="s">
        <v>54</v>
      </c>
      <c r="G1242">
        <v>27</v>
      </c>
      <c r="H1242" t="s">
        <v>74</v>
      </c>
      <c r="I1242" t="s">
        <v>57</v>
      </c>
      <c r="K1242" t="s">
        <v>355</v>
      </c>
      <c r="L1242" t="s">
        <v>451</v>
      </c>
      <c r="M1242" t="s">
        <v>59</v>
      </c>
      <c r="N1242" t="s">
        <v>97</v>
      </c>
      <c r="O1242" t="s">
        <v>179</v>
      </c>
      <c r="P1242" t="s">
        <v>131</v>
      </c>
      <c r="R1242" t="s">
        <v>112</v>
      </c>
      <c r="S1242" t="s">
        <v>61</v>
      </c>
      <c r="T1242">
        <v>246.7</v>
      </c>
      <c r="U1242">
        <v>243.8</v>
      </c>
      <c r="V1242">
        <f>(T1242+U1242)/2</f>
        <v>245.25</v>
      </c>
      <c r="W1242">
        <f>T1242-U1242</f>
        <v>2.8999999999999773</v>
      </c>
      <c r="X1242">
        <v>34.790278999999998</v>
      </c>
      <c r="Y1242">
        <v>30.345832999999999</v>
      </c>
      <c r="Z1242" t="s">
        <v>268</v>
      </c>
      <c r="AA1242" t="s">
        <v>447</v>
      </c>
      <c r="AD1242" t="s">
        <v>1934</v>
      </c>
      <c r="AF1242" t="s">
        <v>1935</v>
      </c>
      <c r="AH1242" t="s">
        <v>65</v>
      </c>
      <c r="AI1242" t="s">
        <v>769</v>
      </c>
      <c r="AJ1242">
        <v>2001</v>
      </c>
      <c r="AK1242" t="s">
        <v>1936</v>
      </c>
      <c r="AN1242" t="s">
        <v>94</v>
      </c>
      <c r="AO1242" t="s">
        <v>68</v>
      </c>
      <c r="AP1242" t="s">
        <v>69</v>
      </c>
      <c r="AR1242" t="s">
        <v>70</v>
      </c>
      <c r="AS1242">
        <v>508</v>
      </c>
      <c r="AT1242" t="s">
        <v>71</v>
      </c>
      <c r="AU1242">
        <v>38.92</v>
      </c>
      <c r="AV1242">
        <v>-3.58</v>
      </c>
      <c r="AW1242" t="s">
        <v>72</v>
      </c>
      <c r="AX1242">
        <v>508</v>
      </c>
      <c r="AY1242" t="s">
        <v>71</v>
      </c>
      <c r="AZ1242">
        <v>34.81</v>
      </c>
      <c r="BA1242">
        <v>-14.15</v>
      </c>
      <c r="BB1242" t="s">
        <v>73</v>
      </c>
    </row>
    <row r="1243" spans="1:54" x14ac:dyDescent="0.4">
      <c r="A1243">
        <v>1195726</v>
      </c>
      <c r="D1243" t="s">
        <v>855</v>
      </c>
      <c r="I1243" t="s">
        <v>57</v>
      </c>
      <c r="K1243" t="s">
        <v>1320</v>
      </c>
      <c r="L1243" t="s">
        <v>1321</v>
      </c>
      <c r="M1243" t="s">
        <v>59</v>
      </c>
      <c r="P1243" t="s">
        <v>131</v>
      </c>
      <c r="R1243" t="s">
        <v>112</v>
      </c>
      <c r="S1243" t="s">
        <v>61</v>
      </c>
      <c r="T1243">
        <v>246.7</v>
      </c>
      <c r="U1243">
        <v>244.7</v>
      </c>
      <c r="V1243">
        <f>(T1243+U1243)/2</f>
        <v>245.7</v>
      </c>
      <c r="W1243">
        <f>T1243-U1243</f>
        <v>2</v>
      </c>
      <c r="X1243">
        <v>6.78</v>
      </c>
      <c r="Y1243">
        <v>51.966000000000001</v>
      </c>
      <c r="Z1243" t="s">
        <v>465</v>
      </c>
      <c r="AA1243" t="s">
        <v>1313</v>
      </c>
      <c r="AD1243" t="s">
        <v>1315</v>
      </c>
      <c r="AH1243" t="s">
        <v>11</v>
      </c>
      <c r="AI1243" t="s">
        <v>1322</v>
      </c>
      <c r="AJ1243">
        <v>2014</v>
      </c>
      <c r="AK1243" t="s">
        <v>1801</v>
      </c>
      <c r="AN1243" t="s">
        <v>121</v>
      </c>
      <c r="AO1243">
        <v>3</v>
      </c>
      <c r="AP1243" t="s">
        <v>69</v>
      </c>
      <c r="AR1243" t="s">
        <v>70</v>
      </c>
      <c r="AS1243">
        <v>315</v>
      </c>
      <c r="AT1243" t="s">
        <v>71</v>
      </c>
      <c r="AU1243">
        <v>26.19</v>
      </c>
      <c r="AV1243">
        <v>30.17</v>
      </c>
      <c r="AW1243" t="s">
        <v>72</v>
      </c>
      <c r="AX1243">
        <v>315</v>
      </c>
      <c r="AY1243" t="s">
        <v>71</v>
      </c>
      <c r="AZ1243">
        <v>16.66</v>
      </c>
      <c r="BA1243">
        <v>16.93</v>
      </c>
      <c r="BB1243" t="s">
        <v>73</v>
      </c>
    </row>
    <row r="1244" spans="1:54" x14ac:dyDescent="0.4">
      <c r="A1244">
        <v>1347584</v>
      </c>
      <c r="D1244" t="s">
        <v>54</v>
      </c>
      <c r="E1244" t="s">
        <v>104</v>
      </c>
      <c r="I1244" t="s">
        <v>57</v>
      </c>
      <c r="K1244" t="s">
        <v>355</v>
      </c>
      <c r="L1244" t="s">
        <v>1745</v>
      </c>
      <c r="M1244" t="s">
        <v>59</v>
      </c>
      <c r="P1244" t="s">
        <v>131</v>
      </c>
      <c r="R1244" t="s">
        <v>112</v>
      </c>
      <c r="S1244" t="s">
        <v>61</v>
      </c>
      <c r="T1244">
        <v>246.7</v>
      </c>
      <c r="U1244">
        <v>244.7</v>
      </c>
      <c r="V1244">
        <f>(T1244+U1244)/2</f>
        <v>245.7</v>
      </c>
      <c r="W1244">
        <f>T1244-U1244</f>
        <v>2</v>
      </c>
      <c r="X1244">
        <v>17.965136999999999</v>
      </c>
      <c r="Y1244">
        <v>50.474505999999998</v>
      </c>
      <c r="Z1244" t="s">
        <v>268</v>
      </c>
      <c r="AA1244" t="s">
        <v>337</v>
      </c>
      <c r="AB1244" t="s">
        <v>1485</v>
      </c>
      <c r="AD1244" t="s">
        <v>1486</v>
      </c>
      <c r="AG1244" t="s">
        <v>1487</v>
      </c>
      <c r="AH1244" t="s">
        <v>65</v>
      </c>
      <c r="AI1244" t="s">
        <v>300</v>
      </c>
      <c r="AJ1244">
        <v>2011</v>
      </c>
      <c r="AK1244" t="s">
        <v>1488</v>
      </c>
      <c r="AM1244" t="s">
        <v>1489</v>
      </c>
      <c r="AN1244" t="s">
        <v>94</v>
      </c>
      <c r="AO1244">
        <v>6</v>
      </c>
      <c r="AP1244" t="s">
        <v>95</v>
      </c>
      <c r="AQ1244" t="s">
        <v>1490</v>
      </c>
      <c r="AR1244" t="s">
        <v>70</v>
      </c>
      <c r="AS1244">
        <v>305</v>
      </c>
      <c r="AT1244" t="s">
        <v>71</v>
      </c>
      <c r="AU1244">
        <v>34.479999999999997</v>
      </c>
      <c r="AV1244">
        <v>30.5</v>
      </c>
      <c r="AW1244" t="s">
        <v>72</v>
      </c>
      <c r="AX1244">
        <v>305</v>
      </c>
      <c r="AY1244" t="s">
        <v>71</v>
      </c>
      <c r="AZ1244">
        <v>23.99</v>
      </c>
      <c r="BA1244">
        <v>18.489999999999998</v>
      </c>
      <c r="BB1244" t="s">
        <v>73</v>
      </c>
    </row>
    <row r="1245" spans="1:54" x14ac:dyDescent="0.4">
      <c r="A1245">
        <v>149866</v>
      </c>
      <c r="D1245" t="s">
        <v>108</v>
      </c>
      <c r="E1245" t="s">
        <v>104</v>
      </c>
      <c r="G1245">
        <v>1</v>
      </c>
      <c r="H1245" t="s">
        <v>56</v>
      </c>
      <c r="I1245" t="s">
        <v>57</v>
      </c>
      <c r="K1245" t="s">
        <v>109</v>
      </c>
      <c r="L1245" t="s">
        <v>110</v>
      </c>
      <c r="M1245" t="s">
        <v>59</v>
      </c>
      <c r="N1245" t="s">
        <v>97</v>
      </c>
      <c r="P1245" t="s">
        <v>111</v>
      </c>
      <c r="R1245" t="s">
        <v>112</v>
      </c>
      <c r="S1245" t="s">
        <v>61</v>
      </c>
      <c r="T1245">
        <v>242</v>
      </c>
      <c r="U1245">
        <v>237</v>
      </c>
      <c r="V1245">
        <f>(T1245+U1245)/2</f>
        <v>239.5</v>
      </c>
      <c r="W1245">
        <f>T1245-U1245</f>
        <v>5</v>
      </c>
      <c r="X1245">
        <v>-67.820556999999994</v>
      </c>
      <c r="Y1245">
        <v>-29.823055</v>
      </c>
      <c r="Z1245" t="s">
        <v>113</v>
      </c>
      <c r="AA1245" t="s">
        <v>114</v>
      </c>
      <c r="AB1245" t="s">
        <v>115</v>
      </c>
      <c r="AD1245" t="s">
        <v>116</v>
      </c>
      <c r="AE1245" t="s">
        <v>117</v>
      </c>
      <c r="AH1245" t="s">
        <v>65</v>
      </c>
      <c r="AI1245" t="s">
        <v>118</v>
      </c>
      <c r="AJ1245">
        <v>1972</v>
      </c>
      <c r="AK1245" t="s">
        <v>119</v>
      </c>
      <c r="AL1245">
        <v>26092</v>
      </c>
      <c r="AM1245" t="s">
        <v>120</v>
      </c>
      <c r="AN1245" t="s">
        <v>121</v>
      </c>
      <c r="AO1245" t="s">
        <v>68</v>
      </c>
      <c r="AP1245" t="s">
        <v>95</v>
      </c>
      <c r="AQ1245" t="s">
        <v>122</v>
      </c>
      <c r="AR1245" t="s">
        <v>70</v>
      </c>
      <c r="AS1245">
        <v>291</v>
      </c>
      <c r="AT1245" t="s">
        <v>71</v>
      </c>
      <c r="AU1245">
        <v>-27.03</v>
      </c>
      <c r="AV1245">
        <v>-33.78</v>
      </c>
      <c r="AW1245" t="s">
        <v>72</v>
      </c>
      <c r="AX1245">
        <v>291</v>
      </c>
      <c r="AY1245" t="s">
        <v>71</v>
      </c>
      <c r="AZ1245">
        <v>-37.770000000000003</v>
      </c>
      <c r="BA1245">
        <v>-49.88</v>
      </c>
      <c r="BB1245" t="s">
        <v>73</v>
      </c>
    </row>
    <row r="1246" spans="1:54" x14ac:dyDescent="0.4">
      <c r="A1246">
        <v>149867</v>
      </c>
      <c r="D1246" t="s">
        <v>108</v>
      </c>
      <c r="E1246" t="s">
        <v>104</v>
      </c>
      <c r="G1246">
        <v>1</v>
      </c>
      <c r="H1246" t="s">
        <v>56</v>
      </c>
      <c r="I1246" t="s">
        <v>57</v>
      </c>
      <c r="K1246" t="s">
        <v>123</v>
      </c>
      <c r="L1246" t="s">
        <v>124</v>
      </c>
      <c r="M1246" t="s">
        <v>59</v>
      </c>
      <c r="P1246" t="s">
        <v>111</v>
      </c>
      <c r="R1246" t="s">
        <v>112</v>
      </c>
      <c r="S1246" t="s">
        <v>61</v>
      </c>
      <c r="T1246">
        <v>242</v>
      </c>
      <c r="U1246">
        <v>237</v>
      </c>
      <c r="V1246">
        <f>(T1246+U1246)/2</f>
        <v>239.5</v>
      </c>
      <c r="W1246">
        <f>T1246-U1246</f>
        <v>5</v>
      </c>
      <c r="X1246">
        <v>-67.820556999999994</v>
      </c>
      <c r="Y1246">
        <v>-29.823055</v>
      </c>
      <c r="Z1246" t="s">
        <v>113</v>
      </c>
      <c r="AA1246" t="s">
        <v>114</v>
      </c>
      <c r="AB1246" t="s">
        <v>115</v>
      </c>
      <c r="AD1246" t="s">
        <v>116</v>
      </c>
      <c r="AE1246" t="s">
        <v>117</v>
      </c>
      <c r="AH1246" t="s">
        <v>65</v>
      </c>
      <c r="AI1246" t="s">
        <v>118</v>
      </c>
      <c r="AJ1246">
        <v>1972</v>
      </c>
      <c r="AK1246" t="s">
        <v>119</v>
      </c>
      <c r="AL1246">
        <v>26092</v>
      </c>
      <c r="AM1246" t="s">
        <v>120</v>
      </c>
      <c r="AN1246" t="s">
        <v>121</v>
      </c>
      <c r="AO1246" t="s">
        <v>68</v>
      </c>
      <c r="AP1246" t="s">
        <v>95</v>
      </c>
      <c r="AQ1246" t="s">
        <v>122</v>
      </c>
      <c r="AR1246" t="s">
        <v>70</v>
      </c>
      <c r="AS1246">
        <v>291</v>
      </c>
      <c r="AT1246" t="s">
        <v>71</v>
      </c>
      <c r="AU1246">
        <v>-27.03</v>
      </c>
      <c r="AV1246">
        <v>-33.78</v>
      </c>
      <c r="AW1246" t="s">
        <v>72</v>
      </c>
      <c r="AX1246">
        <v>291</v>
      </c>
      <c r="AY1246" t="s">
        <v>71</v>
      </c>
      <c r="AZ1246">
        <v>-37.770000000000003</v>
      </c>
      <c r="BA1246">
        <v>-49.88</v>
      </c>
      <c r="BB1246" t="s">
        <v>73</v>
      </c>
    </row>
    <row r="1247" spans="1:54" x14ac:dyDescent="0.4">
      <c r="A1247">
        <v>272321</v>
      </c>
      <c r="D1247" t="s">
        <v>152</v>
      </c>
      <c r="E1247" t="s">
        <v>153</v>
      </c>
      <c r="I1247" t="s">
        <v>57</v>
      </c>
      <c r="K1247" t="s">
        <v>125</v>
      </c>
      <c r="L1247" t="s">
        <v>154</v>
      </c>
      <c r="M1247" t="s">
        <v>59</v>
      </c>
      <c r="O1247" t="s">
        <v>76</v>
      </c>
      <c r="P1247" t="s">
        <v>111</v>
      </c>
      <c r="R1247" t="s">
        <v>112</v>
      </c>
      <c r="S1247" t="s">
        <v>61</v>
      </c>
      <c r="T1247">
        <v>242</v>
      </c>
      <c r="U1247">
        <v>237</v>
      </c>
      <c r="V1247">
        <f>(T1247+U1247)/2</f>
        <v>239.5</v>
      </c>
      <c r="W1247">
        <f>T1247-U1247</f>
        <v>5</v>
      </c>
      <c r="X1247">
        <v>-67.779724000000002</v>
      </c>
      <c r="Y1247">
        <v>-29.850555</v>
      </c>
      <c r="Z1247" t="s">
        <v>113</v>
      </c>
      <c r="AA1247" t="s">
        <v>114</v>
      </c>
      <c r="AB1247" t="s">
        <v>115</v>
      </c>
      <c r="AD1247" t="s">
        <v>116</v>
      </c>
      <c r="AE1247" t="s">
        <v>117</v>
      </c>
      <c r="AH1247" t="s">
        <v>65</v>
      </c>
      <c r="AI1247" t="s">
        <v>155</v>
      </c>
      <c r="AJ1247">
        <v>2001</v>
      </c>
      <c r="AK1247" t="s">
        <v>156</v>
      </c>
      <c r="AM1247" t="s">
        <v>157</v>
      </c>
      <c r="AN1247" t="s">
        <v>121</v>
      </c>
      <c r="AO1247" t="s">
        <v>68</v>
      </c>
      <c r="AP1247" t="s">
        <v>69</v>
      </c>
      <c r="AQ1247" t="s">
        <v>158</v>
      </c>
      <c r="AR1247" t="s">
        <v>70</v>
      </c>
      <c r="AS1247">
        <v>291</v>
      </c>
      <c r="AT1247" t="s">
        <v>71</v>
      </c>
      <c r="AU1247">
        <v>-26.98</v>
      </c>
      <c r="AV1247">
        <v>-33.81</v>
      </c>
      <c r="AW1247" t="s">
        <v>72</v>
      </c>
      <c r="AX1247">
        <v>291</v>
      </c>
      <c r="AY1247" t="s">
        <v>71</v>
      </c>
      <c r="AZ1247">
        <v>-37.72</v>
      </c>
      <c r="BA1247">
        <v>-49.91</v>
      </c>
      <c r="BB1247" t="s">
        <v>73</v>
      </c>
    </row>
    <row r="1248" spans="1:54" x14ac:dyDescent="0.4">
      <c r="A1248">
        <v>272322</v>
      </c>
      <c r="D1248" t="s">
        <v>152</v>
      </c>
      <c r="E1248" t="s">
        <v>153</v>
      </c>
      <c r="I1248" t="s">
        <v>57</v>
      </c>
      <c r="K1248" t="s">
        <v>123</v>
      </c>
      <c r="L1248" t="s">
        <v>124</v>
      </c>
      <c r="M1248" t="s">
        <v>59</v>
      </c>
      <c r="P1248" t="s">
        <v>111</v>
      </c>
      <c r="R1248" t="s">
        <v>112</v>
      </c>
      <c r="S1248" t="s">
        <v>61</v>
      </c>
      <c r="T1248">
        <v>242</v>
      </c>
      <c r="U1248">
        <v>237</v>
      </c>
      <c r="V1248">
        <f>(T1248+U1248)/2</f>
        <v>239.5</v>
      </c>
      <c r="W1248">
        <f>T1248-U1248</f>
        <v>5</v>
      </c>
      <c r="X1248">
        <v>-67.779724000000002</v>
      </c>
      <c r="Y1248">
        <v>-29.850555</v>
      </c>
      <c r="Z1248" t="s">
        <v>113</v>
      </c>
      <c r="AA1248" t="s">
        <v>114</v>
      </c>
      <c r="AB1248" t="s">
        <v>115</v>
      </c>
      <c r="AD1248" t="s">
        <v>116</v>
      </c>
      <c r="AE1248" t="s">
        <v>117</v>
      </c>
      <c r="AH1248" t="s">
        <v>65</v>
      </c>
      <c r="AI1248" t="s">
        <v>155</v>
      </c>
      <c r="AJ1248">
        <v>2001</v>
      </c>
      <c r="AK1248" t="s">
        <v>156</v>
      </c>
      <c r="AM1248" t="s">
        <v>157</v>
      </c>
      <c r="AN1248" t="s">
        <v>121</v>
      </c>
      <c r="AO1248" t="s">
        <v>68</v>
      </c>
      <c r="AP1248" t="s">
        <v>69</v>
      </c>
      <c r="AQ1248" t="s">
        <v>158</v>
      </c>
      <c r="AR1248" t="s">
        <v>70</v>
      </c>
      <c r="AS1248">
        <v>291</v>
      </c>
      <c r="AT1248" t="s">
        <v>71</v>
      </c>
      <c r="AU1248">
        <v>-26.98</v>
      </c>
      <c r="AV1248">
        <v>-33.81</v>
      </c>
      <c r="AW1248" t="s">
        <v>72</v>
      </c>
      <c r="AX1248">
        <v>291</v>
      </c>
      <c r="AY1248" t="s">
        <v>71</v>
      </c>
      <c r="AZ1248">
        <v>-37.72</v>
      </c>
      <c r="BA1248">
        <v>-49.91</v>
      </c>
      <c r="BB1248" t="s">
        <v>73</v>
      </c>
    </row>
    <row r="1249" spans="1:54" x14ac:dyDescent="0.4">
      <c r="A1249">
        <v>272323</v>
      </c>
      <c r="D1249" t="s">
        <v>152</v>
      </c>
      <c r="E1249" t="s">
        <v>153</v>
      </c>
      <c r="I1249" t="s">
        <v>57</v>
      </c>
      <c r="K1249" t="s">
        <v>159</v>
      </c>
      <c r="L1249" t="s">
        <v>160</v>
      </c>
      <c r="M1249" t="s">
        <v>59</v>
      </c>
      <c r="P1249" t="s">
        <v>111</v>
      </c>
      <c r="R1249" t="s">
        <v>112</v>
      </c>
      <c r="S1249" t="s">
        <v>61</v>
      </c>
      <c r="T1249">
        <v>242</v>
      </c>
      <c r="U1249">
        <v>237</v>
      </c>
      <c r="V1249">
        <f>(T1249+U1249)/2</f>
        <v>239.5</v>
      </c>
      <c r="W1249">
        <f>T1249-U1249</f>
        <v>5</v>
      </c>
      <c r="X1249">
        <v>-67.779724000000002</v>
      </c>
      <c r="Y1249">
        <v>-29.850555</v>
      </c>
      <c r="Z1249" t="s">
        <v>113</v>
      </c>
      <c r="AA1249" t="s">
        <v>114</v>
      </c>
      <c r="AB1249" t="s">
        <v>115</v>
      </c>
      <c r="AD1249" t="s">
        <v>116</v>
      </c>
      <c r="AE1249" t="s">
        <v>117</v>
      </c>
      <c r="AH1249" t="s">
        <v>65</v>
      </c>
      <c r="AI1249" t="s">
        <v>155</v>
      </c>
      <c r="AJ1249">
        <v>2001</v>
      </c>
      <c r="AK1249" t="s">
        <v>156</v>
      </c>
      <c r="AM1249" t="s">
        <v>157</v>
      </c>
      <c r="AN1249" t="s">
        <v>121</v>
      </c>
      <c r="AO1249" t="s">
        <v>68</v>
      </c>
      <c r="AP1249" t="s">
        <v>69</v>
      </c>
      <c r="AQ1249" t="s">
        <v>158</v>
      </c>
      <c r="AR1249" t="s">
        <v>70</v>
      </c>
      <c r="AS1249">
        <v>291</v>
      </c>
      <c r="AT1249" t="s">
        <v>71</v>
      </c>
      <c r="AU1249">
        <v>-26.98</v>
      </c>
      <c r="AV1249">
        <v>-33.81</v>
      </c>
      <c r="AW1249" t="s">
        <v>72</v>
      </c>
      <c r="AX1249">
        <v>291</v>
      </c>
      <c r="AY1249" t="s">
        <v>71</v>
      </c>
      <c r="AZ1249">
        <v>-37.72</v>
      </c>
      <c r="BA1249">
        <v>-49.91</v>
      </c>
      <c r="BB1249" t="s">
        <v>73</v>
      </c>
    </row>
    <row r="1250" spans="1:54" x14ac:dyDescent="0.4">
      <c r="A1250">
        <v>272324</v>
      </c>
      <c r="D1250" t="s">
        <v>152</v>
      </c>
      <c r="E1250" t="s">
        <v>153</v>
      </c>
      <c r="I1250" t="s">
        <v>57</v>
      </c>
      <c r="K1250" t="s">
        <v>159</v>
      </c>
      <c r="L1250" t="s">
        <v>161</v>
      </c>
      <c r="M1250" t="s">
        <v>59</v>
      </c>
      <c r="P1250" t="s">
        <v>111</v>
      </c>
      <c r="R1250" t="s">
        <v>112</v>
      </c>
      <c r="S1250" t="s">
        <v>61</v>
      </c>
      <c r="T1250">
        <v>242</v>
      </c>
      <c r="U1250">
        <v>237</v>
      </c>
      <c r="V1250">
        <f>(T1250+U1250)/2</f>
        <v>239.5</v>
      </c>
      <c r="W1250">
        <f>T1250-U1250</f>
        <v>5</v>
      </c>
      <c r="X1250">
        <v>-67.779724000000002</v>
      </c>
      <c r="Y1250">
        <v>-29.850555</v>
      </c>
      <c r="Z1250" t="s">
        <v>113</v>
      </c>
      <c r="AA1250" t="s">
        <v>114</v>
      </c>
      <c r="AB1250" t="s">
        <v>115</v>
      </c>
      <c r="AD1250" t="s">
        <v>116</v>
      </c>
      <c r="AE1250" t="s">
        <v>117</v>
      </c>
      <c r="AH1250" t="s">
        <v>65</v>
      </c>
      <c r="AI1250" t="s">
        <v>155</v>
      </c>
      <c r="AJ1250">
        <v>2001</v>
      </c>
      <c r="AK1250" t="s">
        <v>156</v>
      </c>
      <c r="AM1250" t="s">
        <v>157</v>
      </c>
      <c r="AN1250" t="s">
        <v>121</v>
      </c>
      <c r="AO1250" t="s">
        <v>68</v>
      </c>
      <c r="AP1250" t="s">
        <v>69</v>
      </c>
      <c r="AQ1250" t="s">
        <v>158</v>
      </c>
      <c r="AR1250" t="s">
        <v>70</v>
      </c>
      <c r="AS1250">
        <v>291</v>
      </c>
      <c r="AT1250" t="s">
        <v>71</v>
      </c>
      <c r="AU1250">
        <v>-26.98</v>
      </c>
      <c r="AV1250">
        <v>-33.81</v>
      </c>
      <c r="AW1250" t="s">
        <v>72</v>
      </c>
      <c r="AX1250">
        <v>291</v>
      </c>
      <c r="AY1250" t="s">
        <v>71</v>
      </c>
      <c r="AZ1250">
        <v>-37.72</v>
      </c>
      <c r="BA1250">
        <v>-49.91</v>
      </c>
      <c r="BB1250" t="s">
        <v>73</v>
      </c>
    </row>
    <row r="1251" spans="1:54" x14ac:dyDescent="0.4">
      <c r="A1251">
        <v>272325</v>
      </c>
      <c r="D1251" t="s">
        <v>152</v>
      </c>
      <c r="E1251" t="s">
        <v>153</v>
      </c>
      <c r="I1251" t="s">
        <v>57</v>
      </c>
      <c r="K1251" t="s">
        <v>162</v>
      </c>
      <c r="L1251" t="s">
        <v>163</v>
      </c>
      <c r="M1251" t="s">
        <v>59</v>
      </c>
      <c r="O1251" t="s">
        <v>76</v>
      </c>
      <c r="P1251" t="s">
        <v>111</v>
      </c>
      <c r="R1251" t="s">
        <v>112</v>
      </c>
      <c r="S1251" t="s">
        <v>61</v>
      </c>
      <c r="T1251">
        <v>242</v>
      </c>
      <c r="U1251">
        <v>237</v>
      </c>
      <c r="V1251">
        <f>(T1251+U1251)/2</f>
        <v>239.5</v>
      </c>
      <c r="W1251">
        <f>T1251-U1251</f>
        <v>5</v>
      </c>
      <c r="X1251">
        <v>-67.779724000000002</v>
      </c>
      <c r="Y1251">
        <v>-29.850555</v>
      </c>
      <c r="Z1251" t="s">
        <v>113</v>
      </c>
      <c r="AA1251" t="s">
        <v>114</v>
      </c>
      <c r="AB1251" t="s">
        <v>115</v>
      </c>
      <c r="AD1251" t="s">
        <v>116</v>
      </c>
      <c r="AE1251" t="s">
        <v>117</v>
      </c>
      <c r="AH1251" t="s">
        <v>65</v>
      </c>
      <c r="AI1251" t="s">
        <v>155</v>
      </c>
      <c r="AJ1251">
        <v>2001</v>
      </c>
      <c r="AK1251" t="s">
        <v>156</v>
      </c>
      <c r="AM1251" t="s">
        <v>157</v>
      </c>
      <c r="AN1251" t="s">
        <v>121</v>
      </c>
      <c r="AO1251" t="s">
        <v>68</v>
      </c>
      <c r="AP1251" t="s">
        <v>69</v>
      </c>
      <c r="AQ1251" t="s">
        <v>158</v>
      </c>
      <c r="AR1251" t="s">
        <v>70</v>
      </c>
      <c r="AS1251">
        <v>291</v>
      </c>
      <c r="AT1251" t="s">
        <v>71</v>
      </c>
      <c r="AU1251">
        <v>-26.98</v>
      </c>
      <c r="AV1251">
        <v>-33.81</v>
      </c>
      <c r="AW1251" t="s">
        <v>72</v>
      </c>
      <c r="AX1251">
        <v>291</v>
      </c>
      <c r="AY1251" t="s">
        <v>71</v>
      </c>
      <c r="AZ1251">
        <v>-37.72</v>
      </c>
      <c r="BA1251">
        <v>-49.91</v>
      </c>
      <c r="BB1251" t="s">
        <v>73</v>
      </c>
    </row>
    <row r="1252" spans="1:54" x14ac:dyDescent="0.4">
      <c r="A1252">
        <v>272327</v>
      </c>
      <c r="D1252" t="s">
        <v>152</v>
      </c>
      <c r="E1252" t="s">
        <v>153</v>
      </c>
      <c r="I1252" t="s">
        <v>57</v>
      </c>
      <c r="K1252" t="s">
        <v>102</v>
      </c>
      <c r="L1252" t="s">
        <v>164</v>
      </c>
      <c r="M1252" t="s">
        <v>59</v>
      </c>
      <c r="P1252" t="s">
        <v>111</v>
      </c>
      <c r="R1252" t="s">
        <v>112</v>
      </c>
      <c r="S1252" t="s">
        <v>61</v>
      </c>
      <c r="T1252">
        <v>242</v>
      </c>
      <c r="U1252">
        <v>237</v>
      </c>
      <c r="V1252">
        <f>(T1252+U1252)/2</f>
        <v>239.5</v>
      </c>
      <c r="W1252">
        <f>T1252-U1252</f>
        <v>5</v>
      </c>
      <c r="X1252">
        <v>-67.779724000000002</v>
      </c>
      <c r="Y1252">
        <v>-29.850555</v>
      </c>
      <c r="Z1252" t="s">
        <v>113</v>
      </c>
      <c r="AA1252" t="s">
        <v>114</v>
      </c>
      <c r="AB1252" t="s">
        <v>115</v>
      </c>
      <c r="AD1252" t="s">
        <v>116</v>
      </c>
      <c r="AE1252" t="s">
        <v>117</v>
      </c>
      <c r="AH1252" t="s">
        <v>65</v>
      </c>
      <c r="AI1252" t="s">
        <v>155</v>
      </c>
      <c r="AJ1252">
        <v>2001</v>
      </c>
      <c r="AK1252" t="s">
        <v>156</v>
      </c>
      <c r="AM1252" t="s">
        <v>157</v>
      </c>
      <c r="AN1252" t="s">
        <v>121</v>
      </c>
      <c r="AO1252" t="s">
        <v>68</v>
      </c>
      <c r="AP1252" t="s">
        <v>69</v>
      </c>
      <c r="AQ1252" t="s">
        <v>158</v>
      </c>
      <c r="AR1252" t="s">
        <v>70</v>
      </c>
      <c r="AS1252">
        <v>291</v>
      </c>
      <c r="AT1252" t="s">
        <v>71</v>
      </c>
      <c r="AU1252">
        <v>-26.98</v>
      </c>
      <c r="AV1252">
        <v>-33.81</v>
      </c>
      <c r="AW1252" t="s">
        <v>72</v>
      </c>
      <c r="AX1252">
        <v>291</v>
      </c>
      <c r="AY1252" t="s">
        <v>71</v>
      </c>
      <c r="AZ1252">
        <v>-37.72</v>
      </c>
      <c r="BA1252">
        <v>-49.91</v>
      </c>
      <c r="BB1252" t="s">
        <v>73</v>
      </c>
    </row>
    <row r="1253" spans="1:54" x14ac:dyDescent="0.4">
      <c r="A1253">
        <v>272328</v>
      </c>
      <c r="D1253" t="s">
        <v>152</v>
      </c>
      <c r="E1253" t="s">
        <v>153</v>
      </c>
      <c r="I1253" t="s">
        <v>57</v>
      </c>
      <c r="K1253" t="s">
        <v>109</v>
      </c>
      <c r="L1253" t="s">
        <v>110</v>
      </c>
      <c r="M1253" t="s">
        <v>59</v>
      </c>
      <c r="N1253" t="s">
        <v>97</v>
      </c>
      <c r="P1253" t="s">
        <v>111</v>
      </c>
      <c r="R1253" t="s">
        <v>112</v>
      </c>
      <c r="S1253" t="s">
        <v>61</v>
      </c>
      <c r="T1253">
        <v>242</v>
      </c>
      <c r="U1253">
        <v>237</v>
      </c>
      <c r="V1253">
        <f>(T1253+U1253)/2</f>
        <v>239.5</v>
      </c>
      <c r="W1253">
        <f>T1253-U1253</f>
        <v>5</v>
      </c>
      <c r="X1253">
        <v>-67.779724000000002</v>
      </c>
      <c r="Y1253">
        <v>-29.850555</v>
      </c>
      <c r="Z1253" t="s">
        <v>113</v>
      </c>
      <c r="AA1253" t="s">
        <v>114</v>
      </c>
      <c r="AB1253" t="s">
        <v>115</v>
      </c>
      <c r="AD1253" t="s">
        <v>116</v>
      </c>
      <c r="AE1253" t="s">
        <v>117</v>
      </c>
      <c r="AH1253" t="s">
        <v>65</v>
      </c>
      <c r="AI1253" t="s">
        <v>155</v>
      </c>
      <c r="AJ1253">
        <v>2001</v>
      </c>
      <c r="AK1253" t="s">
        <v>156</v>
      </c>
      <c r="AM1253" t="s">
        <v>157</v>
      </c>
      <c r="AN1253" t="s">
        <v>121</v>
      </c>
      <c r="AO1253" t="s">
        <v>68</v>
      </c>
      <c r="AP1253" t="s">
        <v>69</v>
      </c>
      <c r="AQ1253" t="s">
        <v>158</v>
      </c>
      <c r="AR1253" t="s">
        <v>70</v>
      </c>
      <c r="AS1253">
        <v>291</v>
      </c>
      <c r="AT1253" t="s">
        <v>71</v>
      </c>
      <c r="AU1253">
        <v>-26.98</v>
      </c>
      <c r="AV1253">
        <v>-33.81</v>
      </c>
      <c r="AW1253" t="s">
        <v>72</v>
      </c>
      <c r="AX1253">
        <v>291</v>
      </c>
      <c r="AY1253" t="s">
        <v>71</v>
      </c>
      <c r="AZ1253">
        <v>-37.72</v>
      </c>
      <c r="BA1253">
        <v>-49.91</v>
      </c>
      <c r="BB1253" t="s">
        <v>73</v>
      </c>
    </row>
    <row r="1254" spans="1:54" x14ac:dyDescent="0.4">
      <c r="A1254">
        <v>272329</v>
      </c>
      <c r="D1254" t="s">
        <v>152</v>
      </c>
      <c r="E1254" t="s">
        <v>153</v>
      </c>
      <c r="I1254" t="s">
        <v>57</v>
      </c>
      <c r="K1254" t="s">
        <v>159</v>
      </c>
      <c r="L1254" t="s">
        <v>165</v>
      </c>
      <c r="M1254" t="s">
        <v>59</v>
      </c>
      <c r="P1254" t="s">
        <v>111</v>
      </c>
      <c r="R1254" t="s">
        <v>112</v>
      </c>
      <c r="S1254" t="s">
        <v>61</v>
      </c>
      <c r="T1254">
        <v>242</v>
      </c>
      <c r="U1254">
        <v>237</v>
      </c>
      <c r="V1254">
        <f>(T1254+U1254)/2</f>
        <v>239.5</v>
      </c>
      <c r="W1254">
        <f>T1254-U1254</f>
        <v>5</v>
      </c>
      <c r="X1254">
        <v>-67.779724000000002</v>
      </c>
      <c r="Y1254">
        <v>-29.850555</v>
      </c>
      <c r="Z1254" t="s">
        <v>113</v>
      </c>
      <c r="AA1254" t="s">
        <v>114</v>
      </c>
      <c r="AB1254" t="s">
        <v>115</v>
      </c>
      <c r="AD1254" t="s">
        <v>116</v>
      </c>
      <c r="AE1254" t="s">
        <v>117</v>
      </c>
      <c r="AH1254" t="s">
        <v>65</v>
      </c>
      <c r="AI1254" t="s">
        <v>155</v>
      </c>
      <c r="AJ1254">
        <v>2001</v>
      </c>
      <c r="AK1254" t="s">
        <v>156</v>
      </c>
      <c r="AM1254" t="s">
        <v>157</v>
      </c>
      <c r="AN1254" t="s">
        <v>121</v>
      </c>
      <c r="AO1254" t="s">
        <v>68</v>
      </c>
      <c r="AP1254" t="s">
        <v>69</v>
      </c>
      <c r="AQ1254" t="s">
        <v>158</v>
      </c>
      <c r="AR1254" t="s">
        <v>70</v>
      </c>
      <c r="AS1254">
        <v>291</v>
      </c>
      <c r="AT1254" t="s">
        <v>71</v>
      </c>
      <c r="AU1254">
        <v>-26.98</v>
      </c>
      <c r="AV1254">
        <v>-33.81</v>
      </c>
      <c r="AW1254" t="s">
        <v>72</v>
      </c>
      <c r="AX1254">
        <v>291</v>
      </c>
      <c r="AY1254" t="s">
        <v>71</v>
      </c>
      <c r="AZ1254">
        <v>-37.72</v>
      </c>
      <c r="BA1254">
        <v>-49.91</v>
      </c>
      <c r="BB1254" t="s">
        <v>73</v>
      </c>
    </row>
    <row r="1255" spans="1:54" x14ac:dyDescent="0.4">
      <c r="A1255">
        <v>272330</v>
      </c>
      <c r="D1255" t="s">
        <v>152</v>
      </c>
      <c r="E1255" t="s">
        <v>153</v>
      </c>
      <c r="I1255" t="s">
        <v>57</v>
      </c>
      <c r="K1255" t="s">
        <v>166</v>
      </c>
      <c r="L1255" t="s">
        <v>167</v>
      </c>
      <c r="M1255" t="s">
        <v>59</v>
      </c>
      <c r="P1255" t="s">
        <v>111</v>
      </c>
      <c r="R1255" t="s">
        <v>112</v>
      </c>
      <c r="S1255" t="s">
        <v>61</v>
      </c>
      <c r="T1255">
        <v>242</v>
      </c>
      <c r="U1255">
        <v>237</v>
      </c>
      <c r="V1255">
        <f>(T1255+U1255)/2</f>
        <v>239.5</v>
      </c>
      <c r="W1255">
        <f>T1255-U1255</f>
        <v>5</v>
      </c>
      <c r="X1255">
        <v>-67.779724000000002</v>
      </c>
      <c r="Y1255">
        <v>-29.850555</v>
      </c>
      <c r="Z1255" t="s">
        <v>113</v>
      </c>
      <c r="AA1255" t="s">
        <v>114</v>
      </c>
      <c r="AB1255" t="s">
        <v>115</v>
      </c>
      <c r="AD1255" t="s">
        <v>116</v>
      </c>
      <c r="AE1255" t="s">
        <v>117</v>
      </c>
      <c r="AH1255" t="s">
        <v>65</v>
      </c>
      <c r="AI1255" t="s">
        <v>155</v>
      </c>
      <c r="AJ1255">
        <v>2001</v>
      </c>
      <c r="AK1255" t="s">
        <v>156</v>
      </c>
      <c r="AM1255" t="s">
        <v>157</v>
      </c>
      <c r="AN1255" t="s">
        <v>121</v>
      </c>
      <c r="AO1255" t="s">
        <v>68</v>
      </c>
      <c r="AP1255" t="s">
        <v>69</v>
      </c>
      <c r="AQ1255" t="s">
        <v>158</v>
      </c>
      <c r="AR1255" t="s">
        <v>70</v>
      </c>
      <c r="AS1255">
        <v>291</v>
      </c>
      <c r="AT1255" t="s">
        <v>71</v>
      </c>
      <c r="AU1255">
        <v>-26.98</v>
      </c>
      <c r="AV1255">
        <v>-33.81</v>
      </c>
      <c r="AW1255" t="s">
        <v>72</v>
      </c>
      <c r="AX1255">
        <v>291</v>
      </c>
      <c r="AY1255" t="s">
        <v>71</v>
      </c>
      <c r="AZ1255">
        <v>-37.72</v>
      </c>
      <c r="BA1255">
        <v>-49.91</v>
      </c>
      <c r="BB1255" t="s">
        <v>73</v>
      </c>
    </row>
    <row r="1256" spans="1:54" x14ac:dyDescent="0.4">
      <c r="A1256">
        <v>486189</v>
      </c>
      <c r="D1256" t="s">
        <v>54</v>
      </c>
      <c r="E1256" t="s">
        <v>104</v>
      </c>
      <c r="G1256">
        <v>12</v>
      </c>
      <c r="H1256" t="s">
        <v>228</v>
      </c>
      <c r="I1256" t="s">
        <v>57</v>
      </c>
      <c r="K1256" t="s">
        <v>102</v>
      </c>
      <c r="L1256" t="s">
        <v>384</v>
      </c>
      <c r="M1256" t="s">
        <v>59</v>
      </c>
      <c r="P1256" t="s">
        <v>111</v>
      </c>
      <c r="R1256" t="s">
        <v>112</v>
      </c>
      <c r="S1256" t="s">
        <v>61</v>
      </c>
      <c r="T1256">
        <v>242</v>
      </c>
      <c r="U1256">
        <v>237</v>
      </c>
      <c r="V1256">
        <f>(T1256+U1256)/2</f>
        <v>239.5</v>
      </c>
      <c r="W1256">
        <f>T1256-U1256</f>
        <v>5</v>
      </c>
      <c r="X1256">
        <v>-54.366698999999997</v>
      </c>
      <c r="Y1256">
        <v>-29.666699999999999</v>
      </c>
      <c r="Z1256" t="s">
        <v>99</v>
      </c>
      <c r="AA1256" t="s">
        <v>367</v>
      </c>
      <c r="AB1256" t="s">
        <v>368</v>
      </c>
      <c r="AD1256" t="s">
        <v>382</v>
      </c>
      <c r="AE1256" t="s">
        <v>369</v>
      </c>
      <c r="AG1256" t="s">
        <v>385</v>
      </c>
      <c r="AH1256" t="s">
        <v>65</v>
      </c>
      <c r="AI1256" t="s">
        <v>335</v>
      </c>
      <c r="AJ1256">
        <v>1942</v>
      </c>
      <c r="AK1256" t="s">
        <v>386</v>
      </c>
      <c r="AM1256" t="s">
        <v>387</v>
      </c>
      <c r="AN1256" t="s">
        <v>94</v>
      </c>
      <c r="AO1256">
        <v>4</v>
      </c>
      <c r="AP1256" t="s">
        <v>95</v>
      </c>
      <c r="AQ1256" t="s">
        <v>388</v>
      </c>
      <c r="AR1256" t="s">
        <v>70</v>
      </c>
      <c r="AS1256">
        <v>201</v>
      </c>
      <c r="AT1256" t="s">
        <v>71</v>
      </c>
      <c r="AU1256">
        <v>-13.32</v>
      </c>
      <c r="AV1256">
        <v>-35.17</v>
      </c>
      <c r="AW1256" t="s">
        <v>72</v>
      </c>
      <c r="AX1256">
        <v>202</v>
      </c>
      <c r="AY1256" t="s">
        <v>71</v>
      </c>
      <c r="AZ1256">
        <v>-19.57</v>
      </c>
      <c r="BA1256">
        <v>-51.75</v>
      </c>
      <c r="BB1256" t="s">
        <v>73</v>
      </c>
    </row>
    <row r="1257" spans="1:54" x14ac:dyDescent="0.4">
      <c r="A1257">
        <v>486398</v>
      </c>
      <c r="D1257" t="s">
        <v>54</v>
      </c>
      <c r="G1257">
        <v>1</v>
      </c>
      <c r="H1257" t="s">
        <v>74</v>
      </c>
      <c r="I1257" t="s">
        <v>57</v>
      </c>
      <c r="K1257" t="s">
        <v>102</v>
      </c>
      <c r="L1257" t="s">
        <v>389</v>
      </c>
      <c r="M1257" t="s">
        <v>59</v>
      </c>
      <c r="P1257" t="s">
        <v>111</v>
      </c>
      <c r="R1257" t="s">
        <v>112</v>
      </c>
      <c r="S1257" t="s">
        <v>61</v>
      </c>
      <c r="T1257">
        <v>242</v>
      </c>
      <c r="U1257">
        <v>237</v>
      </c>
      <c r="V1257">
        <f>(T1257+U1257)/2</f>
        <v>239.5</v>
      </c>
      <c r="W1257">
        <f>T1257-U1257</f>
        <v>5</v>
      </c>
      <c r="X1257">
        <v>9.7711109999999994</v>
      </c>
      <c r="Y1257">
        <v>49.038891</v>
      </c>
      <c r="Z1257" t="s">
        <v>99</v>
      </c>
      <c r="AA1257" t="s">
        <v>128</v>
      </c>
      <c r="AB1257" t="s">
        <v>129</v>
      </c>
      <c r="AD1257" t="s">
        <v>390</v>
      </c>
      <c r="AE1257" t="s">
        <v>130</v>
      </c>
      <c r="AF1257" t="s">
        <v>391</v>
      </c>
      <c r="AH1257" t="s">
        <v>65</v>
      </c>
      <c r="AI1257" t="s">
        <v>392</v>
      </c>
      <c r="AJ1257">
        <v>1846</v>
      </c>
      <c r="AK1257" t="s">
        <v>393</v>
      </c>
      <c r="AM1257" t="s">
        <v>394</v>
      </c>
      <c r="AN1257" t="s">
        <v>94</v>
      </c>
      <c r="AO1257">
        <v>5</v>
      </c>
      <c r="AP1257" t="s">
        <v>95</v>
      </c>
      <c r="AQ1257" t="s">
        <v>395</v>
      </c>
      <c r="AR1257" t="s">
        <v>70</v>
      </c>
      <c r="AS1257">
        <v>305</v>
      </c>
      <c r="AT1257" t="s">
        <v>71</v>
      </c>
      <c r="AU1257">
        <v>28.12</v>
      </c>
      <c r="AV1257">
        <v>28.71</v>
      </c>
      <c r="AW1257" t="s">
        <v>72</v>
      </c>
      <c r="AX1257">
        <v>305</v>
      </c>
      <c r="AY1257" t="s">
        <v>71</v>
      </c>
      <c r="AZ1257">
        <v>17.82</v>
      </c>
      <c r="BA1257">
        <v>15.3</v>
      </c>
      <c r="BB1257" t="s">
        <v>73</v>
      </c>
    </row>
    <row r="1258" spans="1:54" x14ac:dyDescent="0.4">
      <c r="A1258">
        <v>573788</v>
      </c>
      <c r="D1258" t="s">
        <v>108</v>
      </c>
      <c r="E1258" t="s">
        <v>104</v>
      </c>
      <c r="G1258">
        <v>4</v>
      </c>
      <c r="H1258" t="s">
        <v>74</v>
      </c>
      <c r="I1258" t="s">
        <v>57</v>
      </c>
      <c r="K1258" t="s">
        <v>162</v>
      </c>
      <c r="L1258" t="s">
        <v>163</v>
      </c>
      <c r="M1258" t="s">
        <v>59</v>
      </c>
      <c r="O1258" t="s">
        <v>76</v>
      </c>
      <c r="P1258" t="s">
        <v>111</v>
      </c>
      <c r="R1258" t="s">
        <v>112</v>
      </c>
      <c r="S1258" t="s">
        <v>61</v>
      </c>
      <c r="T1258">
        <v>242</v>
      </c>
      <c r="U1258">
        <v>237</v>
      </c>
      <c r="V1258">
        <f>(T1258+U1258)/2</f>
        <v>239.5</v>
      </c>
      <c r="W1258">
        <f>T1258-U1258</f>
        <v>5</v>
      </c>
      <c r="X1258">
        <v>-67.824164999999994</v>
      </c>
      <c r="Y1258">
        <v>-29.830832999999998</v>
      </c>
      <c r="Z1258" t="s">
        <v>113</v>
      </c>
      <c r="AA1258" t="s">
        <v>114</v>
      </c>
      <c r="AB1258" t="s">
        <v>115</v>
      </c>
      <c r="AD1258" t="s">
        <v>116</v>
      </c>
      <c r="AE1258" t="s">
        <v>117</v>
      </c>
      <c r="AH1258" t="s">
        <v>65</v>
      </c>
      <c r="AI1258" t="s">
        <v>118</v>
      </c>
      <c r="AJ1258">
        <v>1972</v>
      </c>
      <c r="AK1258" t="s">
        <v>435</v>
      </c>
      <c r="AL1258">
        <v>26092</v>
      </c>
      <c r="AN1258" t="s">
        <v>121</v>
      </c>
      <c r="AO1258" t="s">
        <v>68</v>
      </c>
      <c r="AP1258" t="s">
        <v>95</v>
      </c>
      <c r="AQ1258" t="s">
        <v>436</v>
      </c>
      <c r="AR1258" t="s">
        <v>70</v>
      </c>
      <c r="AS1258">
        <v>291</v>
      </c>
      <c r="AT1258" t="s">
        <v>71</v>
      </c>
      <c r="AU1258">
        <v>-27.03</v>
      </c>
      <c r="AV1258">
        <v>-33.79</v>
      </c>
      <c r="AW1258" t="s">
        <v>72</v>
      </c>
      <c r="AX1258">
        <v>291</v>
      </c>
      <c r="AY1258" t="s">
        <v>71</v>
      </c>
      <c r="AZ1258">
        <v>-37.770000000000003</v>
      </c>
      <c r="BA1258">
        <v>-49.89</v>
      </c>
      <c r="BB1258" t="s">
        <v>73</v>
      </c>
    </row>
    <row r="1259" spans="1:54" x14ac:dyDescent="0.4">
      <c r="A1259">
        <v>573792</v>
      </c>
      <c r="D1259" t="s">
        <v>108</v>
      </c>
      <c r="E1259" t="s">
        <v>55</v>
      </c>
      <c r="G1259">
        <v>1</v>
      </c>
      <c r="H1259" t="s">
        <v>74</v>
      </c>
      <c r="I1259" t="s">
        <v>57</v>
      </c>
      <c r="K1259" t="s">
        <v>125</v>
      </c>
      <c r="L1259" t="s">
        <v>154</v>
      </c>
      <c r="M1259" t="s">
        <v>59</v>
      </c>
      <c r="O1259" t="s">
        <v>76</v>
      </c>
      <c r="P1259" t="s">
        <v>111</v>
      </c>
      <c r="R1259" t="s">
        <v>112</v>
      </c>
      <c r="S1259" t="s">
        <v>61</v>
      </c>
      <c r="T1259">
        <v>242</v>
      </c>
      <c r="U1259">
        <v>237</v>
      </c>
      <c r="V1259">
        <f>(T1259+U1259)/2</f>
        <v>239.5</v>
      </c>
      <c r="W1259">
        <f>T1259-U1259</f>
        <v>5</v>
      </c>
      <c r="X1259">
        <v>-67.786941999999996</v>
      </c>
      <c r="Y1259">
        <v>-29.823055</v>
      </c>
      <c r="Z1259" t="s">
        <v>113</v>
      </c>
      <c r="AA1259" t="s">
        <v>114</v>
      </c>
      <c r="AB1259" t="s">
        <v>115</v>
      </c>
      <c r="AD1259" t="s">
        <v>116</v>
      </c>
      <c r="AE1259" t="s">
        <v>117</v>
      </c>
      <c r="AH1259" t="s">
        <v>65</v>
      </c>
      <c r="AI1259" t="s">
        <v>118</v>
      </c>
      <c r="AJ1259">
        <v>1971</v>
      </c>
      <c r="AK1259" t="s">
        <v>437</v>
      </c>
      <c r="AL1259">
        <v>26092</v>
      </c>
      <c r="AN1259" t="s">
        <v>121</v>
      </c>
      <c r="AO1259" t="s">
        <v>68</v>
      </c>
      <c r="AP1259" t="s">
        <v>95</v>
      </c>
      <c r="AQ1259" t="s">
        <v>438</v>
      </c>
      <c r="AR1259" t="s">
        <v>70</v>
      </c>
      <c r="AS1259">
        <v>291</v>
      </c>
      <c r="AT1259" t="s">
        <v>71</v>
      </c>
      <c r="AU1259">
        <v>-26.99</v>
      </c>
      <c r="AV1259">
        <v>-33.78</v>
      </c>
      <c r="AW1259" t="s">
        <v>72</v>
      </c>
      <c r="AX1259">
        <v>291</v>
      </c>
      <c r="AY1259" t="s">
        <v>71</v>
      </c>
      <c r="AZ1259">
        <v>-37.72</v>
      </c>
      <c r="BA1259">
        <v>-49.88</v>
      </c>
      <c r="BB1259" t="s">
        <v>73</v>
      </c>
    </row>
    <row r="1260" spans="1:54" x14ac:dyDescent="0.4">
      <c r="A1260">
        <v>573793</v>
      </c>
      <c r="D1260" t="s">
        <v>108</v>
      </c>
      <c r="E1260" t="s">
        <v>55</v>
      </c>
      <c r="G1260">
        <v>1</v>
      </c>
      <c r="H1260" t="s">
        <v>74</v>
      </c>
      <c r="I1260" t="s">
        <v>57</v>
      </c>
      <c r="K1260" t="s">
        <v>123</v>
      </c>
      <c r="L1260" t="s">
        <v>124</v>
      </c>
      <c r="M1260" t="s">
        <v>59</v>
      </c>
      <c r="P1260" t="s">
        <v>111</v>
      </c>
      <c r="R1260" t="s">
        <v>112</v>
      </c>
      <c r="S1260" t="s">
        <v>61</v>
      </c>
      <c r="T1260">
        <v>242</v>
      </c>
      <c r="U1260">
        <v>237</v>
      </c>
      <c r="V1260">
        <f>(T1260+U1260)/2</f>
        <v>239.5</v>
      </c>
      <c r="W1260">
        <f>T1260-U1260</f>
        <v>5</v>
      </c>
      <c r="X1260">
        <v>-67.784447</v>
      </c>
      <c r="Y1260">
        <v>-29.848887999999999</v>
      </c>
      <c r="Z1260" t="s">
        <v>113</v>
      </c>
      <c r="AA1260" t="s">
        <v>114</v>
      </c>
      <c r="AB1260" t="s">
        <v>115</v>
      </c>
      <c r="AD1260" t="s">
        <v>116</v>
      </c>
      <c r="AE1260" t="s">
        <v>117</v>
      </c>
      <c r="AH1260" t="s">
        <v>65</v>
      </c>
      <c r="AI1260" t="s">
        <v>118</v>
      </c>
      <c r="AJ1260">
        <v>1971</v>
      </c>
      <c r="AK1260" t="s">
        <v>439</v>
      </c>
      <c r="AL1260">
        <v>26092</v>
      </c>
      <c r="AN1260" t="s">
        <v>121</v>
      </c>
      <c r="AO1260" t="s">
        <v>68</v>
      </c>
      <c r="AP1260" t="s">
        <v>95</v>
      </c>
      <c r="AQ1260" t="s">
        <v>440</v>
      </c>
      <c r="AR1260" t="s">
        <v>70</v>
      </c>
      <c r="AS1260">
        <v>291</v>
      </c>
      <c r="AT1260" t="s">
        <v>71</v>
      </c>
      <c r="AU1260">
        <v>-26.99</v>
      </c>
      <c r="AV1260">
        <v>-33.799999999999997</v>
      </c>
      <c r="AW1260" t="s">
        <v>72</v>
      </c>
      <c r="AX1260">
        <v>291</v>
      </c>
      <c r="AY1260" t="s">
        <v>71</v>
      </c>
      <c r="AZ1260">
        <v>-37.72</v>
      </c>
      <c r="BA1260">
        <v>-49.91</v>
      </c>
      <c r="BB1260" t="s">
        <v>73</v>
      </c>
    </row>
    <row r="1261" spans="1:54" x14ac:dyDescent="0.4">
      <c r="A1261">
        <v>573794</v>
      </c>
      <c r="D1261" t="s">
        <v>108</v>
      </c>
      <c r="E1261" t="s">
        <v>55</v>
      </c>
      <c r="G1261">
        <v>1</v>
      </c>
      <c r="H1261" t="s">
        <v>74</v>
      </c>
      <c r="I1261" t="s">
        <v>57</v>
      </c>
      <c r="K1261" t="s">
        <v>159</v>
      </c>
      <c r="L1261" t="s">
        <v>160</v>
      </c>
      <c r="M1261" t="s">
        <v>59</v>
      </c>
      <c r="P1261" t="s">
        <v>111</v>
      </c>
      <c r="R1261" t="s">
        <v>112</v>
      </c>
      <c r="S1261" t="s">
        <v>61</v>
      </c>
      <c r="T1261">
        <v>242</v>
      </c>
      <c r="U1261">
        <v>237</v>
      </c>
      <c r="V1261">
        <f>(T1261+U1261)/2</f>
        <v>239.5</v>
      </c>
      <c r="W1261">
        <f>T1261-U1261</f>
        <v>5</v>
      </c>
      <c r="X1261">
        <v>-67.790558000000004</v>
      </c>
      <c r="Y1261">
        <v>-29.852777</v>
      </c>
      <c r="Z1261" t="s">
        <v>113</v>
      </c>
      <c r="AA1261" t="s">
        <v>114</v>
      </c>
      <c r="AB1261" t="s">
        <v>115</v>
      </c>
      <c r="AD1261" t="s">
        <v>116</v>
      </c>
      <c r="AE1261" t="s">
        <v>117</v>
      </c>
      <c r="AH1261" t="s">
        <v>65</v>
      </c>
      <c r="AI1261" t="s">
        <v>118</v>
      </c>
      <c r="AJ1261">
        <v>1971</v>
      </c>
      <c r="AK1261" t="s">
        <v>441</v>
      </c>
      <c r="AL1261">
        <v>26092</v>
      </c>
      <c r="AN1261" t="s">
        <v>121</v>
      </c>
      <c r="AO1261" t="s">
        <v>68</v>
      </c>
      <c r="AP1261" t="s">
        <v>95</v>
      </c>
      <c r="AQ1261" t="s">
        <v>442</v>
      </c>
      <c r="AR1261" t="s">
        <v>70</v>
      </c>
      <c r="AS1261">
        <v>291</v>
      </c>
      <c r="AT1261" t="s">
        <v>71</v>
      </c>
      <c r="AU1261">
        <v>-26.99</v>
      </c>
      <c r="AV1261">
        <v>-33.81</v>
      </c>
      <c r="AW1261" t="s">
        <v>72</v>
      </c>
      <c r="AX1261">
        <v>291</v>
      </c>
      <c r="AY1261" t="s">
        <v>71</v>
      </c>
      <c r="AZ1261">
        <v>-37.729999999999997</v>
      </c>
      <c r="BA1261">
        <v>-49.91</v>
      </c>
      <c r="BB1261" t="s">
        <v>73</v>
      </c>
    </row>
    <row r="1262" spans="1:54" x14ac:dyDescent="0.4">
      <c r="A1262">
        <v>573795</v>
      </c>
      <c r="D1262" t="s">
        <v>108</v>
      </c>
      <c r="E1262" t="s">
        <v>55</v>
      </c>
      <c r="G1262">
        <v>1</v>
      </c>
      <c r="H1262" t="s">
        <v>74</v>
      </c>
      <c r="I1262" t="s">
        <v>57</v>
      </c>
      <c r="K1262" t="s">
        <v>159</v>
      </c>
      <c r="L1262" t="s">
        <v>161</v>
      </c>
      <c r="M1262" t="s">
        <v>59</v>
      </c>
      <c r="P1262" t="s">
        <v>111</v>
      </c>
      <c r="R1262" t="s">
        <v>112</v>
      </c>
      <c r="S1262" t="s">
        <v>61</v>
      </c>
      <c r="T1262">
        <v>242</v>
      </c>
      <c r="U1262">
        <v>237</v>
      </c>
      <c r="V1262">
        <f>(T1262+U1262)/2</f>
        <v>239.5</v>
      </c>
      <c r="W1262">
        <f>T1262-U1262</f>
        <v>5</v>
      </c>
      <c r="X1262">
        <v>-67.787497999999999</v>
      </c>
      <c r="Y1262">
        <v>-29.834999</v>
      </c>
      <c r="Z1262" t="s">
        <v>113</v>
      </c>
      <c r="AA1262" t="s">
        <v>114</v>
      </c>
      <c r="AB1262" t="s">
        <v>115</v>
      </c>
      <c r="AD1262" t="s">
        <v>116</v>
      </c>
      <c r="AE1262" t="s">
        <v>117</v>
      </c>
      <c r="AH1262" t="s">
        <v>65</v>
      </c>
      <c r="AI1262" t="s">
        <v>118</v>
      </c>
      <c r="AJ1262">
        <v>1971</v>
      </c>
      <c r="AK1262" t="s">
        <v>443</v>
      </c>
      <c r="AL1262">
        <v>26092</v>
      </c>
      <c r="AN1262" t="s">
        <v>121</v>
      </c>
      <c r="AO1262" t="s">
        <v>68</v>
      </c>
      <c r="AP1262" t="s">
        <v>95</v>
      </c>
      <c r="AQ1262" t="s">
        <v>444</v>
      </c>
      <c r="AR1262" t="s">
        <v>70</v>
      </c>
      <c r="AS1262">
        <v>291</v>
      </c>
      <c r="AT1262" t="s">
        <v>71</v>
      </c>
      <c r="AU1262">
        <v>-26.99</v>
      </c>
      <c r="AV1262">
        <v>-33.79</v>
      </c>
      <c r="AW1262" t="s">
        <v>72</v>
      </c>
      <c r="AX1262">
        <v>291</v>
      </c>
      <c r="AY1262" t="s">
        <v>71</v>
      </c>
      <c r="AZ1262">
        <v>-37.72</v>
      </c>
      <c r="BA1262">
        <v>-49.89</v>
      </c>
      <c r="BB1262" t="s">
        <v>73</v>
      </c>
    </row>
    <row r="1263" spans="1:54" x14ac:dyDescent="0.4">
      <c r="A1263">
        <v>668708</v>
      </c>
      <c r="D1263" t="s">
        <v>54</v>
      </c>
      <c r="E1263" t="s">
        <v>104</v>
      </c>
      <c r="G1263">
        <v>1</v>
      </c>
      <c r="H1263" t="s">
        <v>74</v>
      </c>
      <c r="I1263" t="s">
        <v>57</v>
      </c>
      <c r="K1263" t="s">
        <v>102</v>
      </c>
      <c r="L1263" t="s">
        <v>466</v>
      </c>
      <c r="M1263" t="s">
        <v>59</v>
      </c>
      <c r="O1263" t="s">
        <v>76</v>
      </c>
      <c r="P1263" t="s">
        <v>111</v>
      </c>
      <c r="R1263" t="s">
        <v>112</v>
      </c>
      <c r="S1263" t="s">
        <v>61</v>
      </c>
      <c r="T1263">
        <v>242</v>
      </c>
      <c r="U1263">
        <v>237</v>
      </c>
      <c r="V1263">
        <f>(T1263+U1263)/2</f>
        <v>239.5</v>
      </c>
      <c r="W1263">
        <f>T1263-U1263</f>
        <v>5</v>
      </c>
      <c r="X1263">
        <v>-54.366698999999997</v>
      </c>
      <c r="Y1263">
        <v>-29.666699999999999</v>
      </c>
      <c r="Z1263" t="s">
        <v>99</v>
      </c>
      <c r="AA1263" t="s">
        <v>367</v>
      </c>
      <c r="AB1263" t="s">
        <v>368</v>
      </c>
      <c r="AD1263" t="s">
        <v>382</v>
      </c>
      <c r="AE1263" t="s">
        <v>369</v>
      </c>
      <c r="AG1263" t="s">
        <v>385</v>
      </c>
      <c r="AH1263" t="s">
        <v>65</v>
      </c>
      <c r="AI1263" t="s">
        <v>335</v>
      </c>
      <c r="AJ1263">
        <v>1942</v>
      </c>
      <c r="AK1263" t="s">
        <v>467</v>
      </c>
      <c r="AN1263" t="s">
        <v>94</v>
      </c>
      <c r="AO1263">
        <v>4</v>
      </c>
      <c r="AP1263" t="s">
        <v>95</v>
      </c>
      <c r="AQ1263" t="s">
        <v>468</v>
      </c>
      <c r="AR1263" t="s">
        <v>70</v>
      </c>
      <c r="AS1263">
        <v>201</v>
      </c>
      <c r="AT1263" t="s">
        <v>71</v>
      </c>
      <c r="AU1263">
        <v>-13.32</v>
      </c>
      <c r="AV1263">
        <v>-35.17</v>
      </c>
      <c r="AW1263" t="s">
        <v>72</v>
      </c>
      <c r="AX1263">
        <v>202</v>
      </c>
      <c r="AY1263" t="s">
        <v>71</v>
      </c>
      <c r="AZ1263">
        <v>-19.57</v>
      </c>
      <c r="BA1263">
        <v>-51.75</v>
      </c>
      <c r="BB1263" t="s">
        <v>73</v>
      </c>
    </row>
    <row r="1264" spans="1:54" x14ac:dyDescent="0.4">
      <c r="A1264">
        <v>789771</v>
      </c>
      <c r="D1264" t="s">
        <v>54</v>
      </c>
      <c r="G1264">
        <v>1</v>
      </c>
      <c r="H1264" t="s">
        <v>74</v>
      </c>
      <c r="I1264" t="s">
        <v>57</v>
      </c>
      <c r="K1264" t="s">
        <v>652</v>
      </c>
      <c r="L1264" t="s">
        <v>653</v>
      </c>
      <c r="M1264" t="s">
        <v>59</v>
      </c>
      <c r="P1264" t="s">
        <v>111</v>
      </c>
      <c r="R1264" t="s">
        <v>112</v>
      </c>
      <c r="S1264" t="s">
        <v>61</v>
      </c>
      <c r="T1264">
        <v>242</v>
      </c>
      <c r="U1264">
        <v>237</v>
      </c>
      <c r="V1264">
        <f>(T1264+U1264)/2</f>
        <v>239.5</v>
      </c>
      <c r="W1264">
        <f>T1264-U1264</f>
        <v>5</v>
      </c>
      <c r="X1264">
        <v>55.645000000000003</v>
      </c>
      <c r="Y1264">
        <v>52.405555999999997</v>
      </c>
      <c r="Z1264" t="s">
        <v>239</v>
      </c>
      <c r="AA1264" t="s">
        <v>139</v>
      </c>
      <c r="AB1264" t="s">
        <v>206</v>
      </c>
      <c r="AD1264" t="s">
        <v>654</v>
      </c>
      <c r="AG1264" t="s">
        <v>655</v>
      </c>
      <c r="AH1264" t="s">
        <v>11</v>
      </c>
      <c r="AI1264" t="s">
        <v>656</v>
      </c>
      <c r="AJ1264">
        <v>2000</v>
      </c>
      <c r="AK1264" t="s">
        <v>657</v>
      </c>
      <c r="AM1264" t="s">
        <v>658</v>
      </c>
      <c r="AN1264" t="s">
        <v>121</v>
      </c>
      <c r="AO1264" t="s">
        <v>68</v>
      </c>
      <c r="AP1264" t="s">
        <v>182</v>
      </c>
      <c r="AQ1264" t="s">
        <v>659</v>
      </c>
      <c r="AR1264" t="s">
        <v>70</v>
      </c>
      <c r="AS1264">
        <v>302</v>
      </c>
      <c r="AT1264" t="s">
        <v>71</v>
      </c>
      <c r="AU1264">
        <v>59</v>
      </c>
      <c r="AV1264">
        <v>43.46</v>
      </c>
      <c r="AW1264" t="s">
        <v>72</v>
      </c>
      <c r="AX1264">
        <v>301</v>
      </c>
      <c r="AY1264" t="s">
        <v>71</v>
      </c>
      <c r="AZ1264">
        <v>40.14</v>
      </c>
      <c r="BA1264">
        <v>36.03</v>
      </c>
      <c r="BB1264" t="s">
        <v>73</v>
      </c>
    </row>
    <row r="1265" spans="1:54" x14ac:dyDescent="0.4">
      <c r="A1265">
        <v>789773</v>
      </c>
      <c r="D1265" t="s">
        <v>54</v>
      </c>
      <c r="G1265">
        <v>1</v>
      </c>
      <c r="H1265" t="s">
        <v>74</v>
      </c>
      <c r="I1265" t="s">
        <v>57</v>
      </c>
      <c r="K1265" t="s">
        <v>125</v>
      </c>
      <c r="L1265" t="s">
        <v>660</v>
      </c>
      <c r="M1265" t="s">
        <v>59</v>
      </c>
      <c r="O1265" t="s">
        <v>76</v>
      </c>
      <c r="P1265" t="s">
        <v>111</v>
      </c>
      <c r="R1265" t="s">
        <v>112</v>
      </c>
      <c r="S1265" t="s">
        <v>61</v>
      </c>
      <c r="T1265">
        <v>242</v>
      </c>
      <c r="U1265">
        <v>237</v>
      </c>
      <c r="V1265">
        <f>(T1265+U1265)/2</f>
        <v>239.5</v>
      </c>
      <c r="W1265">
        <f>T1265-U1265</f>
        <v>5</v>
      </c>
      <c r="X1265">
        <v>55.645000000000003</v>
      </c>
      <c r="Y1265">
        <v>52.405555999999997</v>
      </c>
      <c r="Z1265" t="s">
        <v>239</v>
      </c>
      <c r="AA1265" t="s">
        <v>139</v>
      </c>
      <c r="AB1265" t="s">
        <v>206</v>
      </c>
      <c r="AD1265" t="s">
        <v>654</v>
      </c>
      <c r="AG1265" t="s">
        <v>655</v>
      </c>
      <c r="AH1265" t="s">
        <v>65</v>
      </c>
      <c r="AI1265" t="s">
        <v>656</v>
      </c>
      <c r="AJ1265">
        <v>2000</v>
      </c>
      <c r="AK1265" t="s">
        <v>657</v>
      </c>
      <c r="AM1265" t="s">
        <v>658</v>
      </c>
      <c r="AN1265" t="s">
        <v>121</v>
      </c>
      <c r="AO1265" t="s">
        <v>68</v>
      </c>
      <c r="AP1265" t="s">
        <v>182</v>
      </c>
      <c r="AQ1265" t="s">
        <v>659</v>
      </c>
      <c r="AR1265" t="s">
        <v>70</v>
      </c>
      <c r="AS1265">
        <v>302</v>
      </c>
      <c r="AT1265" t="s">
        <v>71</v>
      </c>
      <c r="AU1265">
        <v>59</v>
      </c>
      <c r="AV1265">
        <v>43.46</v>
      </c>
      <c r="AW1265" t="s">
        <v>72</v>
      </c>
      <c r="AX1265">
        <v>301</v>
      </c>
      <c r="AY1265" t="s">
        <v>71</v>
      </c>
      <c r="AZ1265">
        <v>40.14</v>
      </c>
      <c r="BA1265">
        <v>36.03</v>
      </c>
      <c r="BB1265" t="s">
        <v>73</v>
      </c>
    </row>
    <row r="1266" spans="1:54" x14ac:dyDescent="0.4">
      <c r="A1266">
        <v>791754</v>
      </c>
      <c r="D1266" t="s">
        <v>54</v>
      </c>
      <c r="G1266">
        <v>1</v>
      </c>
      <c r="H1266" t="s">
        <v>74</v>
      </c>
      <c r="I1266" t="s">
        <v>57</v>
      </c>
      <c r="K1266" t="s">
        <v>102</v>
      </c>
      <c r="L1266" t="s">
        <v>389</v>
      </c>
      <c r="M1266" t="s">
        <v>59</v>
      </c>
      <c r="P1266" t="s">
        <v>111</v>
      </c>
      <c r="R1266" t="s">
        <v>112</v>
      </c>
      <c r="S1266" t="s">
        <v>61</v>
      </c>
      <c r="T1266">
        <v>242</v>
      </c>
      <c r="U1266">
        <v>237</v>
      </c>
      <c r="V1266">
        <f>(T1266+U1266)/2</f>
        <v>239.5</v>
      </c>
      <c r="W1266">
        <f>T1266-U1266</f>
        <v>5</v>
      </c>
      <c r="X1266">
        <v>9.7711109999999994</v>
      </c>
      <c r="Y1266">
        <v>49.038891</v>
      </c>
      <c r="Z1266" t="s">
        <v>99</v>
      </c>
      <c r="AA1266" t="s">
        <v>128</v>
      </c>
      <c r="AB1266" t="s">
        <v>129</v>
      </c>
      <c r="AD1266" t="s">
        <v>390</v>
      </c>
      <c r="AE1266" t="s">
        <v>130</v>
      </c>
      <c r="AF1266" t="s">
        <v>391</v>
      </c>
      <c r="AH1266" t="s">
        <v>65</v>
      </c>
      <c r="AI1266" t="s">
        <v>392</v>
      </c>
      <c r="AJ1266">
        <v>1846</v>
      </c>
      <c r="AK1266" t="s">
        <v>393</v>
      </c>
      <c r="AM1266" t="s">
        <v>394</v>
      </c>
      <c r="AN1266" t="s">
        <v>94</v>
      </c>
      <c r="AO1266">
        <v>5</v>
      </c>
      <c r="AP1266" t="s">
        <v>95</v>
      </c>
      <c r="AQ1266" t="s">
        <v>395</v>
      </c>
      <c r="AR1266" t="s">
        <v>70</v>
      </c>
      <c r="AS1266">
        <v>305</v>
      </c>
      <c r="AT1266" t="s">
        <v>71</v>
      </c>
      <c r="AU1266">
        <v>28.12</v>
      </c>
      <c r="AV1266">
        <v>28.71</v>
      </c>
      <c r="AW1266" t="s">
        <v>72</v>
      </c>
      <c r="AX1266">
        <v>305</v>
      </c>
      <c r="AY1266" t="s">
        <v>71</v>
      </c>
      <c r="AZ1266">
        <v>17.82</v>
      </c>
      <c r="BA1266">
        <v>15.3</v>
      </c>
      <c r="BB1266" t="s">
        <v>73</v>
      </c>
    </row>
    <row r="1267" spans="1:54" x14ac:dyDescent="0.4">
      <c r="A1267">
        <v>797957</v>
      </c>
      <c r="D1267" t="s">
        <v>376</v>
      </c>
      <c r="E1267" t="s">
        <v>153</v>
      </c>
      <c r="G1267">
        <v>1</v>
      </c>
      <c r="H1267" t="s">
        <v>56</v>
      </c>
      <c r="I1267" t="s">
        <v>57</v>
      </c>
      <c r="K1267" t="s">
        <v>355</v>
      </c>
      <c r="L1267" t="s">
        <v>826</v>
      </c>
      <c r="M1267" t="s">
        <v>59</v>
      </c>
      <c r="P1267" t="s">
        <v>111</v>
      </c>
      <c r="R1267" t="s">
        <v>112</v>
      </c>
      <c r="S1267" t="s">
        <v>61</v>
      </c>
      <c r="T1267">
        <v>242</v>
      </c>
      <c r="U1267">
        <v>237</v>
      </c>
      <c r="V1267">
        <f>(T1267+U1267)/2</f>
        <v>239.5</v>
      </c>
      <c r="W1267">
        <f>T1267-U1267</f>
        <v>5</v>
      </c>
      <c r="X1267">
        <v>8.9463889999999999</v>
      </c>
      <c r="Y1267">
        <v>45.906944000000003</v>
      </c>
      <c r="Z1267" t="s">
        <v>465</v>
      </c>
      <c r="AA1267" t="s">
        <v>133</v>
      </c>
      <c r="AB1267" t="s">
        <v>833</v>
      </c>
      <c r="AC1267" t="s">
        <v>834</v>
      </c>
      <c r="AD1267" t="s">
        <v>846</v>
      </c>
      <c r="AF1267" t="s">
        <v>847</v>
      </c>
      <c r="AH1267" t="s">
        <v>65</v>
      </c>
      <c r="AI1267" t="s">
        <v>357</v>
      </c>
      <c r="AJ1267">
        <v>1962</v>
      </c>
      <c r="AK1267" t="s">
        <v>847</v>
      </c>
      <c r="AM1267" t="s">
        <v>848</v>
      </c>
      <c r="AN1267" t="s">
        <v>121</v>
      </c>
      <c r="AO1267" t="s">
        <v>68</v>
      </c>
      <c r="AP1267" t="s">
        <v>95</v>
      </c>
      <c r="AQ1267" t="s">
        <v>849</v>
      </c>
      <c r="AR1267" t="s">
        <v>70</v>
      </c>
      <c r="AS1267">
        <v>307</v>
      </c>
      <c r="AT1267" t="s">
        <v>71</v>
      </c>
      <c r="AU1267">
        <v>33.630000000000003</v>
      </c>
      <c r="AV1267">
        <v>18.02</v>
      </c>
      <c r="AW1267" t="s">
        <v>72</v>
      </c>
      <c r="AX1267">
        <v>307</v>
      </c>
      <c r="AY1267" t="s">
        <v>71</v>
      </c>
      <c r="AZ1267">
        <v>20.6</v>
      </c>
      <c r="BA1267">
        <v>7.95</v>
      </c>
      <c r="BB1267" t="s">
        <v>73</v>
      </c>
    </row>
    <row r="1268" spans="1:54" x14ac:dyDescent="0.4">
      <c r="A1268">
        <v>837002</v>
      </c>
      <c r="D1268" t="s">
        <v>1087</v>
      </c>
      <c r="E1268" t="s">
        <v>104</v>
      </c>
      <c r="G1268">
        <v>1</v>
      </c>
      <c r="H1268" t="s">
        <v>56</v>
      </c>
      <c r="I1268" t="s">
        <v>57</v>
      </c>
      <c r="K1268" t="s">
        <v>537</v>
      </c>
      <c r="L1268" t="s">
        <v>1088</v>
      </c>
      <c r="M1268" t="s">
        <v>59</v>
      </c>
      <c r="P1268" t="s">
        <v>111</v>
      </c>
      <c r="R1268" t="s">
        <v>112</v>
      </c>
      <c r="S1268" t="s">
        <v>61</v>
      </c>
      <c r="T1268">
        <v>242</v>
      </c>
      <c r="U1268">
        <v>237</v>
      </c>
      <c r="V1268">
        <f>(T1268+U1268)/2</f>
        <v>239.5</v>
      </c>
      <c r="W1268">
        <f>T1268-U1268</f>
        <v>5</v>
      </c>
      <c r="X1268">
        <v>-52.748333000000002</v>
      </c>
      <c r="Y1268">
        <v>-29.771944000000001</v>
      </c>
      <c r="Z1268" t="s">
        <v>85</v>
      </c>
      <c r="AA1268" t="s">
        <v>367</v>
      </c>
      <c r="AB1268" t="s">
        <v>368</v>
      </c>
      <c r="AC1268" t="s">
        <v>1089</v>
      </c>
      <c r="AD1268" t="s">
        <v>382</v>
      </c>
      <c r="AE1268" t="s">
        <v>369</v>
      </c>
      <c r="AF1268" t="s">
        <v>383</v>
      </c>
      <c r="AG1268" t="s">
        <v>385</v>
      </c>
      <c r="AH1268" t="s">
        <v>65</v>
      </c>
      <c r="AI1268" t="s">
        <v>979</v>
      </c>
      <c r="AJ1268">
        <v>2004</v>
      </c>
      <c r="AK1268" t="s">
        <v>1090</v>
      </c>
      <c r="AN1268" t="s">
        <v>67</v>
      </c>
      <c r="AO1268" t="s">
        <v>68</v>
      </c>
      <c r="AP1268" t="s">
        <v>95</v>
      </c>
      <c r="AQ1268" t="s">
        <v>1091</v>
      </c>
      <c r="AR1268" t="s">
        <v>70</v>
      </c>
      <c r="AS1268">
        <v>201</v>
      </c>
      <c r="AT1268" t="s">
        <v>71</v>
      </c>
      <c r="AU1268">
        <v>-11.6</v>
      </c>
      <c r="AV1268">
        <v>-35.31</v>
      </c>
      <c r="AW1268" t="s">
        <v>72</v>
      </c>
      <c r="AX1268">
        <v>202</v>
      </c>
      <c r="AY1268" t="s">
        <v>71</v>
      </c>
      <c r="AZ1268">
        <v>-17.3</v>
      </c>
      <c r="BA1268">
        <v>-51.84</v>
      </c>
      <c r="BB1268" t="s">
        <v>73</v>
      </c>
    </row>
    <row r="1269" spans="1:54" x14ac:dyDescent="0.4">
      <c r="A1269">
        <v>837006</v>
      </c>
      <c r="D1269" t="s">
        <v>1087</v>
      </c>
      <c r="E1269" t="s">
        <v>55</v>
      </c>
      <c r="F1269" t="s">
        <v>434</v>
      </c>
      <c r="G1269">
        <v>1</v>
      </c>
      <c r="H1269" t="s">
        <v>56</v>
      </c>
      <c r="I1269" t="s">
        <v>57</v>
      </c>
      <c r="K1269" t="s">
        <v>537</v>
      </c>
      <c r="L1269" t="s">
        <v>1088</v>
      </c>
      <c r="M1269" t="s">
        <v>59</v>
      </c>
      <c r="P1269" t="s">
        <v>111</v>
      </c>
      <c r="R1269" t="s">
        <v>112</v>
      </c>
      <c r="S1269" t="s">
        <v>61</v>
      </c>
      <c r="T1269">
        <v>242</v>
      </c>
      <c r="U1269">
        <v>237</v>
      </c>
      <c r="V1269">
        <f>(T1269+U1269)/2</f>
        <v>239.5</v>
      </c>
      <c r="W1269">
        <f>T1269-U1269</f>
        <v>5</v>
      </c>
      <c r="X1269">
        <v>-53.001666999999998</v>
      </c>
      <c r="Y1269">
        <v>-29.748611</v>
      </c>
      <c r="Z1269" t="s">
        <v>126</v>
      </c>
      <c r="AA1269" t="s">
        <v>367</v>
      </c>
      <c r="AB1269" t="s">
        <v>368</v>
      </c>
      <c r="AC1269" t="s">
        <v>1092</v>
      </c>
      <c r="AD1269" t="s">
        <v>382</v>
      </c>
      <c r="AE1269" t="s">
        <v>369</v>
      </c>
      <c r="AF1269" t="s">
        <v>383</v>
      </c>
      <c r="AG1269" t="s">
        <v>385</v>
      </c>
      <c r="AH1269" t="s">
        <v>65</v>
      </c>
      <c r="AI1269" t="s">
        <v>979</v>
      </c>
      <c r="AJ1269">
        <v>2004</v>
      </c>
      <c r="AK1269" t="s">
        <v>1093</v>
      </c>
      <c r="AN1269" t="s">
        <v>67</v>
      </c>
      <c r="AO1269" t="s">
        <v>68</v>
      </c>
      <c r="AP1269" t="s">
        <v>69</v>
      </c>
      <c r="AQ1269" t="s">
        <v>1094</v>
      </c>
      <c r="AR1269" t="s">
        <v>70</v>
      </c>
      <c r="AS1269">
        <v>201</v>
      </c>
      <c r="AT1269" t="s">
        <v>71</v>
      </c>
      <c r="AU1269">
        <v>-11.87</v>
      </c>
      <c r="AV1269">
        <v>-35.28</v>
      </c>
      <c r="AW1269" t="s">
        <v>72</v>
      </c>
      <c r="AX1269">
        <v>202</v>
      </c>
      <c r="AY1269" t="s">
        <v>71</v>
      </c>
      <c r="AZ1269">
        <v>-17.649999999999999</v>
      </c>
      <c r="BA1269">
        <v>-51.82</v>
      </c>
      <c r="BB1269" t="s">
        <v>73</v>
      </c>
    </row>
    <row r="1270" spans="1:54" x14ac:dyDescent="0.4">
      <c r="A1270">
        <v>837006</v>
      </c>
      <c r="D1270" t="s">
        <v>1087</v>
      </c>
      <c r="E1270" t="s">
        <v>55</v>
      </c>
      <c r="F1270" t="s">
        <v>434</v>
      </c>
      <c r="G1270">
        <v>1</v>
      </c>
      <c r="H1270" t="s">
        <v>56</v>
      </c>
      <c r="I1270" t="s">
        <v>57</v>
      </c>
      <c r="K1270" t="s">
        <v>537</v>
      </c>
      <c r="L1270" t="s">
        <v>1088</v>
      </c>
      <c r="M1270" t="s">
        <v>59</v>
      </c>
      <c r="P1270" t="s">
        <v>111</v>
      </c>
      <c r="R1270" t="s">
        <v>112</v>
      </c>
      <c r="S1270" t="s">
        <v>61</v>
      </c>
      <c r="T1270">
        <v>242</v>
      </c>
      <c r="U1270">
        <v>237</v>
      </c>
      <c r="V1270">
        <f>(T1270+U1270)/2</f>
        <v>239.5</v>
      </c>
      <c r="W1270">
        <f>T1270-U1270</f>
        <v>5</v>
      </c>
      <c r="X1270">
        <v>-53.001666999999998</v>
      </c>
      <c r="Y1270">
        <v>-29.748611</v>
      </c>
      <c r="Z1270" t="s">
        <v>126</v>
      </c>
      <c r="AA1270" t="s">
        <v>367</v>
      </c>
      <c r="AB1270" t="s">
        <v>368</v>
      </c>
      <c r="AC1270" t="s">
        <v>1092</v>
      </c>
      <c r="AD1270" t="s">
        <v>382</v>
      </c>
      <c r="AE1270" t="s">
        <v>369</v>
      </c>
      <c r="AF1270" t="s">
        <v>383</v>
      </c>
      <c r="AG1270" t="s">
        <v>385</v>
      </c>
      <c r="AH1270" t="s">
        <v>65</v>
      </c>
      <c r="AI1270" t="s">
        <v>979</v>
      </c>
      <c r="AJ1270">
        <v>2004</v>
      </c>
      <c r="AK1270" t="s">
        <v>1093</v>
      </c>
      <c r="AN1270" t="s">
        <v>67</v>
      </c>
      <c r="AO1270" t="s">
        <v>68</v>
      </c>
      <c r="AP1270" t="s">
        <v>69</v>
      </c>
      <c r="AQ1270" t="s">
        <v>1094</v>
      </c>
      <c r="AR1270" t="s">
        <v>70</v>
      </c>
      <c r="AS1270">
        <v>201</v>
      </c>
      <c r="AT1270" t="s">
        <v>71</v>
      </c>
      <c r="AU1270">
        <v>-11.87</v>
      </c>
      <c r="AV1270">
        <v>-35.28</v>
      </c>
      <c r="AW1270" t="s">
        <v>72</v>
      </c>
      <c r="AX1270">
        <v>202</v>
      </c>
      <c r="AY1270" t="s">
        <v>71</v>
      </c>
      <c r="AZ1270">
        <v>-17.649999999999999</v>
      </c>
      <c r="BA1270">
        <v>-51.82</v>
      </c>
      <c r="BB1270" t="s">
        <v>73</v>
      </c>
    </row>
    <row r="1271" spans="1:54" x14ac:dyDescent="0.4">
      <c r="A1271">
        <v>877690</v>
      </c>
      <c r="D1271" t="s">
        <v>54</v>
      </c>
      <c r="G1271">
        <v>3</v>
      </c>
      <c r="H1271" t="s">
        <v>74</v>
      </c>
      <c r="I1271" t="s">
        <v>57</v>
      </c>
      <c r="K1271" t="s">
        <v>652</v>
      </c>
      <c r="L1271" t="s">
        <v>653</v>
      </c>
      <c r="M1271" t="s">
        <v>59</v>
      </c>
      <c r="P1271" t="s">
        <v>111</v>
      </c>
      <c r="R1271" t="s">
        <v>112</v>
      </c>
      <c r="S1271" t="s">
        <v>61</v>
      </c>
      <c r="T1271">
        <v>242</v>
      </c>
      <c r="U1271">
        <v>237</v>
      </c>
      <c r="V1271">
        <f>(T1271+U1271)/2</f>
        <v>239.5</v>
      </c>
      <c r="W1271">
        <f>T1271-U1271</f>
        <v>5</v>
      </c>
      <c r="X1271">
        <v>55.494446000000003</v>
      </c>
      <c r="Y1271">
        <v>51.450001</v>
      </c>
      <c r="Z1271" t="s">
        <v>113</v>
      </c>
      <c r="AA1271" t="s">
        <v>139</v>
      </c>
      <c r="AB1271" t="s">
        <v>316</v>
      </c>
      <c r="AC1271" t="s">
        <v>1175</v>
      </c>
      <c r="AD1271" t="s">
        <v>654</v>
      </c>
      <c r="AG1271" t="s">
        <v>655</v>
      </c>
      <c r="AH1271" t="s">
        <v>65</v>
      </c>
      <c r="AI1271" t="s">
        <v>656</v>
      </c>
      <c r="AJ1271">
        <v>2000</v>
      </c>
      <c r="AK1271" t="s">
        <v>1337</v>
      </c>
      <c r="AM1271" t="s">
        <v>1338</v>
      </c>
      <c r="AN1271" t="s">
        <v>121</v>
      </c>
      <c r="AO1271" t="s">
        <v>106</v>
      </c>
      <c r="AP1271" t="s">
        <v>69</v>
      </c>
      <c r="AQ1271" t="s">
        <v>1339</v>
      </c>
      <c r="AR1271" t="s">
        <v>70</v>
      </c>
      <c r="AS1271">
        <v>302</v>
      </c>
      <c r="AT1271" t="s">
        <v>71</v>
      </c>
      <c r="AU1271">
        <v>59.59</v>
      </c>
      <c r="AV1271">
        <v>42.6</v>
      </c>
      <c r="AW1271" t="s">
        <v>72</v>
      </c>
      <c r="AX1271">
        <v>301</v>
      </c>
      <c r="AY1271" t="s">
        <v>71</v>
      </c>
      <c r="AZ1271">
        <v>41</v>
      </c>
      <c r="BA1271">
        <v>35.369999999999997</v>
      </c>
      <c r="BB1271" t="s">
        <v>73</v>
      </c>
    </row>
    <row r="1272" spans="1:54" x14ac:dyDescent="0.4">
      <c r="A1272">
        <v>877792</v>
      </c>
      <c r="D1272" t="s">
        <v>54</v>
      </c>
      <c r="I1272" t="s">
        <v>57</v>
      </c>
      <c r="K1272" t="s">
        <v>652</v>
      </c>
      <c r="L1272" t="s">
        <v>653</v>
      </c>
      <c r="M1272" t="s">
        <v>59</v>
      </c>
      <c r="P1272" t="s">
        <v>111</v>
      </c>
      <c r="R1272" t="s">
        <v>112</v>
      </c>
      <c r="S1272" t="s">
        <v>61</v>
      </c>
      <c r="T1272">
        <v>242</v>
      </c>
      <c r="U1272">
        <v>237</v>
      </c>
      <c r="V1272">
        <f>(T1272+U1272)/2</f>
        <v>239.5</v>
      </c>
      <c r="W1272">
        <f>T1272-U1272</f>
        <v>5</v>
      </c>
      <c r="X1272">
        <v>55.513888999999999</v>
      </c>
      <c r="Y1272">
        <v>51.447223999999999</v>
      </c>
      <c r="Z1272" t="s">
        <v>99</v>
      </c>
      <c r="AA1272" t="s">
        <v>139</v>
      </c>
      <c r="AB1272" t="s">
        <v>316</v>
      </c>
      <c r="AC1272" t="s">
        <v>1175</v>
      </c>
      <c r="AD1272" t="s">
        <v>654</v>
      </c>
      <c r="AG1272" t="s">
        <v>655</v>
      </c>
      <c r="AH1272" t="s">
        <v>65</v>
      </c>
      <c r="AI1272" t="s">
        <v>656</v>
      </c>
      <c r="AJ1272">
        <v>2000</v>
      </c>
      <c r="AK1272" t="s">
        <v>1341</v>
      </c>
      <c r="AN1272" t="s">
        <v>121</v>
      </c>
      <c r="AO1272" t="s">
        <v>68</v>
      </c>
      <c r="AP1272" t="s">
        <v>69</v>
      </c>
      <c r="AQ1272" t="s">
        <v>1342</v>
      </c>
      <c r="AR1272" t="s">
        <v>70</v>
      </c>
      <c r="AS1272">
        <v>302</v>
      </c>
      <c r="AT1272" t="s">
        <v>71</v>
      </c>
      <c r="AU1272">
        <v>59.61</v>
      </c>
      <c r="AV1272">
        <v>42.61</v>
      </c>
      <c r="AW1272" t="s">
        <v>72</v>
      </c>
      <c r="AX1272">
        <v>301</v>
      </c>
      <c r="AY1272" t="s">
        <v>71</v>
      </c>
      <c r="AZ1272">
        <v>41.01</v>
      </c>
      <c r="BA1272">
        <v>35.380000000000003</v>
      </c>
      <c r="BB1272" t="s">
        <v>73</v>
      </c>
    </row>
    <row r="1273" spans="1:54" x14ac:dyDescent="0.4">
      <c r="A1273">
        <v>877798</v>
      </c>
      <c r="D1273" t="s">
        <v>54</v>
      </c>
      <c r="G1273">
        <v>5</v>
      </c>
      <c r="H1273" t="s">
        <v>228</v>
      </c>
      <c r="I1273" t="s">
        <v>57</v>
      </c>
      <c r="K1273" t="s">
        <v>724</v>
      </c>
      <c r="L1273" t="s">
        <v>1343</v>
      </c>
      <c r="M1273" t="s">
        <v>59</v>
      </c>
      <c r="P1273" t="s">
        <v>111</v>
      </c>
      <c r="R1273" t="s">
        <v>112</v>
      </c>
      <c r="S1273" t="s">
        <v>61</v>
      </c>
      <c r="T1273">
        <v>242</v>
      </c>
      <c r="U1273">
        <v>237</v>
      </c>
      <c r="V1273">
        <f>(T1273+U1273)/2</f>
        <v>239.5</v>
      </c>
      <c r="W1273">
        <f>T1273-U1273</f>
        <v>5</v>
      </c>
      <c r="X1273">
        <v>55.516666000000001</v>
      </c>
      <c r="Y1273">
        <v>51.438889000000003</v>
      </c>
      <c r="Z1273" t="s">
        <v>239</v>
      </c>
      <c r="AA1273" t="s">
        <v>139</v>
      </c>
      <c r="AB1273" t="s">
        <v>316</v>
      </c>
      <c r="AC1273" t="s">
        <v>1175</v>
      </c>
      <c r="AD1273" t="s">
        <v>654</v>
      </c>
      <c r="AG1273" t="s">
        <v>655</v>
      </c>
      <c r="AH1273" t="s">
        <v>65</v>
      </c>
      <c r="AI1273" t="s">
        <v>1195</v>
      </c>
      <c r="AJ1273">
        <v>1986</v>
      </c>
      <c r="AK1273" t="s">
        <v>1344</v>
      </c>
      <c r="AM1273" t="s">
        <v>1345</v>
      </c>
      <c r="AN1273" t="s">
        <v>121</v>
      </c>
      <c r="AO1273" t="s">
        <v>68</v>
      </c>
      <c r="AP1273" t="s">
        <v>69</v>
      </c>
      <c r="AQ1273" t="s">
        <v>1346</v>
      </c>
      <c r="AR1273" t="s">
        <v>70</v>
      </c>
      <c r="AS1273">
        <v>302</v>
      </c>
      <c r="AT1273" t="s">
        <v>71</v>
      </c>
      <c r="AU1273">
        <v>59.62</v>
      </c>
      <c r="AV1273">
        <v>42.6</v>
      </c>
      <c r="AW1273" t="s">
        <v>72</v>
      </c>
      <c r="AX1273">
        <v>301</v>
      </c>
      <c r="AY1273" t="s">
        <v>71</v>
      </c>
      <c r="AZ1273">
        <v>41.02</v>
      </c>
      <c r="BA1273">
        <v>35.369999999999997</v>
      </c>
      <c r="BB1273" t="s">
        <v>73</v>
      </c>
    </row>
    <row r="1274" spans="1:54" x14ac:dyDescent="0.4">
      <c r="A1274">
        <v>877799</v>
      </c>
      <c r="D1274" t="s">
        <v>54</v>
      </c>
      <c r="I1274" t="s">
        <v>57</v>
      </c>
      <c r="K1274" t="s">
        <v>652</v>
      </c>
      <c r="L1274" t="s">
        <v>653</v>
      </c>
      <c r="M1274" t="s">
        <v>59</v>
      </c>
      <c r="P1274" t="s">
        <v>111</v>
      </c>
      <c r="R1274" t="s">
        <v>112</v>
      </c>
      <c r="S1274" t="s">
        <v>61</v>
      </c>
      <c r="T1274">
        <v>242</v>
      </c>
      <c r="U1274">
        <v>237</v>
      </c>
      <c r="V1274">
        <f>(T1274+U1274)/2</f>
        <v>239.5</v>
      </c>
      <c r="W1274">
        <f>T1274-U1274</f>
        <v>5</v>
      </c>
      <c r="X1274">
        <v>55.516666000000001</v>
      </c>
      <c r="Y1274">
        <v>51.438889000000003</v>
      </c>
      <c r="Z1274" t="s">
        <v>239</v>
      </c>
      <c r="AA1274" t="s">
        <v>139</v>
      </c>
      <c r="AB1274" t="s">
        <v>316</v>
      </c>
      <c r="AC1274" t="s">
        <v>1175</v>
      </c>
      <c r="AD1274" t="s">
        <v>654</v>
      </c>
      <c r="AG1274" t="s">
        <v>655</v>
      </c>
      <c r="AH1274" t="s">
        <v>65</v>
      </c>
      <c r="AI1274" t="s">
        <v>716</v>
      </c>
      <c r="AJ1274">
        <v>2003</v>
      </c>
      <c r="AK1274" t="s">
        <v>1344</v>
      </c>
      <c r="AM1274" t="s">
        <v>1345</v>
      </c>
      <c r="AN1274" t="s">
        <v>121</v>
      </c>
      <c r="AO1274" t="s">
        <v>68</v>
      </c>
      <c r="AP1274" t="s">
        <v>69</v>
      </c>
      <c r="AQ1274" t="s">
        <v>1346</v>
      </c>
      <c r="AR1274" t="s">
        <v>70</v>
      </c>
      <c r="AS1274">
        <v>302</v>
      </c>
      <c r="AT1274" t="s">
        <v>71</v>
      </c>
      <c r="AU1274">
        <v>59.62</v>
      </c>
      <c r="AV1274">
        <v>42.6</v>
      </c>
      <c r="AW1274" t="s">
        <v>72</v>
      </c>
      <c r="AX1274">
        <v>301</v>
      </c>
      <c r="AY1274" t="s">
        <v>71</v>
      </c>
      <c r="AZ1274">
        <v>41.02</v>
      </c>
      <c r="BA1274">
        <v>35.369999999999997</v>
      </c>
      <c r="BB1274" t="s">
        <v>73</v>
      </c>
    </row>
    <row r="1275" spans="1:54" x14ac:dyDescent="0.4">
      <c r="A1275">
        <v>877800</v>
      </c>
      <c r="D1275" t="s">
        <v>54</v>
      </c>
      <c r="G1275">
        <v>24</v>
      </c>
      <c r="H1275" t="s">
        <v>228</v>
      </c>
      <c r="I1275" t="s">
        <v>57</v>
      </c>
      <c r="K1275" t="s">
        <v>125</v>
      </c>
      <c r="L1275" t="s">
        <v>660</v>
      </c>
      <c r="M1275" t="s">
        <v>59</v>
      </c>
      <c r="O1275" t="s">
        <v>76</v>
      </c>
      <c r="P1275" t="s">
        <v>111</v>
      </c>
      <c r="R1275" t="s">
        <v>112</v>
      </c>
      <c r="S1275" t="s">
        <v>61</v>
      </c>
      <c r="T1275">
        <v>242</v>
      </c>
      <c r="U1275">
        <v>237</v>
      </c>
      <c r="V1275">
        <f>(T1275+U1275)/2</f>
        <v>239.5</v>
      </c>
      <c r="W1275">
        <f>T1275-U1275</f>
        <v>5</v>
      </c>
      <c r="X1275">
        <v>55.516666000000001</v>
      </c>
      <c r="Y1275">
        <v>51.438889000000003</v>
      </c>
      <c r="Z1275" t="s">
        <v>239</v>
      </c>
      <c r="AA1275" t="s">
        <v>139</v>
      </c>
      <c r="AB1275" t="s">
        <v>316</v>
      </c>
      <c r="AC1275" t="s">
        <v>1175</v>
      </c>
      <c r="AD1275" t="s">
        <v>654</v>
      </c>
      <c r="AG1275" t="s">
        <v>655</v>
      </c>
      <c r="AH1275" t="s">
        <v>65</v>
      </c>
      <c r="AI1275" t="s">
        <v>1195</v>
      </c>
      <c r="AJ1275">
        <v>1986</v>
      </c>
      <c r="AK1275" t="s">
        <v>1344</v>
      </c>
      <c r="AM1275" t="s">
        <v>1345</v>
      </c>
      <c r="AN1275" t="s">
        <v>121</v>
      </c>
      <c r="AO1275" t="s">
        <v>68</v>
      </c>
      <c r="AP1275" t="s">
        <v>69</v>
      </c>
      <c r="AQ1275" t="s">
        <v>1346</v>
      </c>
      <c r="AR1275" t="s">
        <v>70</v>
      </c>
      <c r="AS1275">
        <v>302</v>
      </c>
      <c r="AT1275" t="s">
        <v>71</v>
      </c>
      <c r="AU1275">
        <v>59.62</v>
      </c>
      <c r="AV1275">
        <v>42.6</v>
      </c>
      <c r="AW1275" t="s">
        <v>72</v>
      </c>
      <c r="AX1275">
        <v>301</v>
      </c>
      <c r="AY1275" t="s">
        <v>71</v>
      </c>
      <c r="AZ1275">
        <v>41.02</v>
      </c>
      <c r="BA1275">
        <v>35.369999999999997</v>
      </c>
      <c r="BB1275" t="s">
        <v>73</v>
      </c>
    </row>
    <row r="1276" spans="1:54" x14ac:dyDescent="0.4">
      <c r="A1276">
        <v>895292</v>
      </c>
      <c r="D1276" t="s">
        <v>1087</v>
      </c>
      <c r="E1276" t="s">
        <v>55</v>
      </c>
      <c r="F1276" t="s">
        <v>434</v>
      </c>
      <c r="G1276">
        <v>1</v>
      </c>
      <c r="H1276" t="s">
        <v>56</v>
      </c>
      <c r="I1276" t="s">
        <v>57</v>
      </c>
      <c r="K1276" t="s">
        <v>102</v>
      </c>
      <c r="L1276" t="s">
        <v>1399</v>
      </c>
      <c r="M1276" t="s">
        <v>59</v>
      </c>
      <c r="P1276" t="s">
        <v>111</v>
      </c>
      <c r="R1276" t="s">
        <v>112</v>
      </c>
      <c r="S1276" t="s">
        <v>61</v>
      </c>
      <c r="T1276">
        <v>242</v>
      </c>
      <c r="U1276">
        <v>237</v>
      </c>
      <c r="V1276">
        <f>(T1276+U1276)/2</f>
        <v>239.5</v>
      </c>
      <c r="W1276">
        <f>T1276-U1276</f>
        <v>5</v>
      </c>
      <c r="X1276">
        <v>-53.001666999999998</v>
      </c>
      <c r="Y1276">
        <v>-29.748611</v>
      </c>
      <c r="Z1276" t="s">
        <v>126</v>
      </c>
      <c r="AA1276" t="s">
        <v>367</v>
      </c>
      <c r="AB1276" t="s">
        <v>368</v>
      </c>
      <c r="AC1276" t="s">
        <v>1092</v>
      </c>
      <c r="AD1276" t="s">
        <v>382</v>
      </c>
      <c r="AE1276" t="s">
        <v>369</v>
      </c>
      <c r="AF1276" t="s">
        <v>383</v>
      </c>
      <c r="AG1276" t="s">
        <v>385</v>
      </c>
      <c r="AH1276" t="s">
        <v>65</v>
      </c>
      <c r="AI1276" t="s">
        <v>1400</v>
      </c>
      <c r="AJ1276">
        <v>1987</v>
      </c>
      <c r="AK1276" t="s">
        <v>1093</v>
      </c>
      <c r="AN1276" t="s">
        <v>67</v>
      </c>
      <c r="AO1276" t="s">
        <v>68</v>
      </c>
      <c r="AP1276" t="s">
        <v>69</v>
      </c>
      <c r="AQ1276" t="s">
        <v>1094</v>
      </c>
      <c r="AR1276" t="s">
        <v>70</v>
      </c>
      <c r="AS1276">
        <v>201</v>
      </c>
      <c r="AT1276" t="s">
        <v>71</v>
      </c>
      <c r="AU1276">
        <v>-11.87</v>
      </c>
      <c r="AV1276">
        <v>-35.28</v>
      </c>
      <c r="AW1276" t="s">
        <v>72</v>
      </c>
      <c r="AX1276">
        <v>202</v>
      </c>
      <c r="AY1276" t="s">
        <v>71</v>
      </c>
      <c r="AZ1276">
        <v>-17.649999999999999</v>
      </c>
      <c r="BA1276">
        <v>-51.82</v>
      </c>
      <c r="BB1276" t="s">
        <v>73</v>
      </c>
    </row>
    <row r="1277" spans="1:54" x14ac:dyDescent="0.4">
      <c r="A1277">
        <v>895947</v>
      </c>
      <c r="D1277" t="s">
        <v>54</v>
      </c>
      <c r="E1277" t="s">
        <v>104</v>
      </c>
      <c r="G1277">
        <v>1</v>
      </c>
      <c r="H1277" t="s">
        <v>74</v>
      </c>
      <c r="I1277" t="s">
        <v>57</v>
      </c>
      <c r="K1277" t="s">
        <v>102</v>
      </c>
      <c r="L1277" t="s">
        <v>384</v>
      </c>
      <c r="M1277" t="s">
        <v>59</v>
      </c>
      <c r="P1277" t="s">
        <v>111</v>
      </c>
      <c r="R1277" t="s">
        <v>112</v>
      </c>
      <c r="S1277" t="s">
        <v>61</v>
      </c>
      <c r="T1277">
        <v>242</v>
      </c>
      <c r="U1277">
        <v>237</v>
      </c>
      <c r="V1277">
        <f>(T1277+U1277)/2</f>
        <v>239.5</v>
      </c>
      <c r="W1277">
        <f>T1277-U1277</f>
        <v>5</v>
      </c>
      <c r="X1277">
        <v>-54.366698999999997</v>
      </c>
      <c r="Y1277">
        <v>-29.666699999999999</v>
      </c>
      <c r="Z1277" t="s">
        <v>99</v>
      </c>
      <c r="AA1277" t="s">
        <v>367</v>
      </c>
      <c r="AB1277" t="s">
        <v>368</v>
      </c>
      <c r="AD1277" t="s">
        <v>382</v>
      </c>
      <c r="AE1277" t="s">
        <v>369</v>
      </c>
      <c r="AG1277" t="s">
        <v>385</v>
      </c>
      <c r="AH1277" t="s">
        <v>65</v>
      </c>
      <c r="AI1277" t="s">
        <v>335</v>
      </c>
      <c r="AJ1277">
        <v>1942</v>
      </c>
      <c r="AK1277" t="s">
        <v>1401</v>
      </c>
      <c r="AN1277" t="s">
        <v>94</v>
      </c>
      <c r="AO1277">
        <v>4</v>
      </c>
      <c r="AP1277" t="s">
        <v>95</v>
      </c>
      <c r="AQ1277" t="s">
        <v>1402</v>
      </c>
      <c r="AR1277" t="s">
        <v>70</v>
      </c>
      <c r="AS1277">
        <v>201</v>
      </c>
      <c r="AT1277" t="s">
        <v>71</v>
      </c>
      <c r="AU1277">
        <v>-13.32</v>
      </c>
      <c r="AV1277">
        <v>-35.17</v>
      </c>
      <c r="AW1277" t="s">
        <v>72</v>
      </c>
      <c r="AX1277">
        <v>202</v>
      </c>
      <c r="AY1277" t="s">
        <v>71</v>
      </c>
      <c r="AZ1277">
        <v>-19.57</v>
      </c>
      <c r="BA1277">
        <v>-51.75</v>
      </c>
      <c r="BB1277" t="s">
        <v>73</v>
      </c>
    </row>
    <row r="1278" spans="1:54" x14ac:dyDescent="0.4">
      <c r="A1278">
        <v>896139</v>
      </c>
      <c r="D1278" t="s">
        <v>54</v>
      </c>
      <c r="E1278" t="s">
        <v>104</v>
      </c>
      <c r="G1278">
        <v>3</v>
      </c>
      <c r="H1278" t="s">
        <v>228</v>
      </c>
      <c r="I1278" t="s">
        <v>57</v>
      </c>
      <c r="K1278" t="s">
        <v>102</v>
      </c>
      <c r="L1278" t="s">
        <v>466</v>
      </c>
      <c r="M1278" t="s">
        <v>59</v>
      </c>
      <c r="O1278" t="s">
        <v>76</v>
      </c>
      <c r="P1278" t="s">
        <v>111</v>
      </c>
      <c r="R1278" t="s">
        <v>112</v>
      </c>
      <c r="S1278" t="s">
        <v>61</v>
      </c>
      <c r="T1278">
        <v>242</v>
      </c>
      <c r="U1278">
        <v>237</v>
      </c>
      <c r="V1278">
        <f>(T1278+U1278)/2</f>
        <v>239.5</v>
      </c>
      <c r="W1278">
        <f>T1278-U1278</f>
        <v>5</v>
      </c>
      <c r="X1278">
        <v>-54.366698999999997</v>
      </c>
      <c r="Y1278">
        <v>-29.666699999999999</v>
      </c>
      <c r="Z1278" t="s">
        <v>99</v>
      </c>
      <c r="AA1278" t="s">
        <v>367</v>
      </c>
      <c r="AB1278" t="s">
        <v>368</v>
      </c>
      <c r="AD1278" t="s">
        <v>382</v>
      </c>
      <c r="AE1278" t="s">
        <v>369</v>
      </c>
      <c r="AG1278" t="s">
        <v>385</v>
      </c>
      <c r="AH1278" t="s">
        <v>65</v>
      </c>
      <c r="AI1278" t="s">
        <v>335</v>
      </c>
      <c r="AJ1278">
        <v>1942</v>
      </c>
      <c r="AK1278" t="s">
        <v>1403</v>
      </c>
      <c r="AN1278" t="s">
        <v>94</v>
      </c>
      <c r="AO1278">
        <v>4</v>
      </c>
      <c r="AP1278" t="s">
        <v>95</v>
      </c>
      <c r="AQ1278" t="s">
        <v>1404</v>
      </c>
      <c r="AR1278" t="s">
        <v>70</v>
      </c>
      <c r="AS1278">
        <v>201</v>
      </c>
      <c r="AT1278" t="s">
        <v>71</v>
      </c>
      <c r="AU1278">
        <v>-13.32</v>
      </c>
      <c r="AV1278">
        <v>-35.17</v>
      </c>
      <c r="AW1278" t="s">
        <v>72</v>
      </c>
      <c r="AX1278">
        <v>202</v>
      </c>
      <c r="AY1278" t="s">
        <v>71</v>
      </c>
      <c r="AZ1278">
        <v>-19.57</v>
      </c>
      <c r="BA1278">
        <v>-51.75</v>
      </c>
      <c r="BB1278" t="s">
        <v>73</v>
      </c>
    </row>
    <row r="1279" spans="1:54" x14ac:dyDescent="0.4">
      <c r="A1279">
        <v>896140</v>
      </c>
      <c r="D1279" t="s">
        <v>54</v>
      </c>
      <c r="E1279" t="s">
        <v>104</v>
      </c>
      <c r="I1279" t="s">
        <v>57</v>
      </c>
      <c r="K1279" t="s">
        <v>102</v>
      </c>
      <c r="L1279" t="s">
        <v>466</v>
      </c>
      <c r="M1279" t="s">
        <v>59</v>
      </c>
      <c r="O1279" t="s">
        <v>76</v>
      </c>
      <c r="P1279" t="s">
        <v>111</v>
      </c>
      <c r="R1279" t="s">
        <v>112</v>
      </c>
      <c r="S1279" t="s">
        <v>61</v>
      </c>
      <c r="T1279">
        <v>242</v>
      </c>
      <c r="U1279">
        <v>237</v>
      </c>
      <c r="V1279">
        <f>(T1279+U1279)/2</f>
        <v>239.5</v>
      </c>
      <c r="W1279">
        <f>T1279-U1279</f>
        <v>5</v>
      </c>
      <c r="X1279">
        <v>-54.366698999999997</v>
      </c>
      <c r="Y1279">
        <v>-29.666699999999999</v>
      </c>
      <c r="Z1279" t="s">
        <v>99</v>
      </c>
      <c r="AA1279" t="s">
        <v>367</v>
      </c>
      <c r="AB1279" t="s">
        <v>368</v>
      </c>
      <c r="AD1279" t="s">
        <v>382</v>
      </c>
      <c r="AE1279" t="s">
        <v>369</v>
      </c>
      <c r="AG1279" t="s">
        <v>385</v>
      </c>
      <c r="AH1279" t="s">
        <v>65</v>
      </c>
      <c r="AI1279" t="s">
        <v>335</v>
      </c>
      <c r="AJ1279">
        <v>1942</v>
      </c>
      <c r="AK1279" t="s">
        <v>1405</v>
      </c>
      <c r="AN1279" t="s">
        <v>94</v>
      </c>
      <c r="AO1279">
        <v>4</v>
      </c>
      <c r="AP1279" t="s">
        <v>95</v>
      </c>
      <c r="AQ1279" t="s">
        <v>1406</v>
      </c>
      <c r="AR1279" t="s">
        <v>70</v>
      </c>
      <c r="AS1279">
        <v>201</v>
      </c>
      <c r="AT1279" t="s">
        <v>71</v>
      </c>
      <c r="AU1279">
        <v>-13.32</v>
      </c>
      <c r="AV1279">
        <v>-35.17</v>
      </c>
      <c r="AW1279" t="s">
        <v>72</v>
      </c>
      <c r="AX1279">
        <v>202</v>
      </c>
      <c r="AY1279" t="s">
        <v>71</v>
      </c>
      <c r="AZ1279">
        <v>-19.57</v>
      </c>
      <c r="BA1279">
        <v>-51.75</v>
      </c>
      <c r="BB1279" t="s">
        <v>73</v>
      </c>
    </row>
    <row r="1280" spans="1:54" x14ac:dyDescent="0.4">
      <c r="A1280">
        <v>896145</v>
      </c>
      <c r="D1280" t="s">
        <v>54</v>
      </c>
      <c r="E1280" t="s">
        <v>104</v>
      </c>
      <c r="I1280" t="s">
        <v>57</v>
      </c>
      <c r="K1280" t="s">
        <v>102</v>
      </c>
      <c r="L1280" t="s">
        <v>466</v>
      </c>
      <c r="M1280" t="s">
        <v>59</v>
      </c>
      <c r="O1280" t="s">
        <v>76</v>
      </c>
      <c r="P1280" t="s">
        <v>111</v>
      </c>
      <c r="R1280" t="s">
        <v>112</v>
      </c>
      <c r="S1280" t="s">
        <v>61</v>
      </c>
      <c r="T1280">
        <v>242</v>
      </c>
      <c r="U1280">
        <v>237</v>
      </c>
      <c r="V1280">
        <f>(T1280+U1280)/2</f>
        <v>239.5</v>
      </c>
      <c r="W1280">
        <f>T1280-U1280</f>
        <v>5</v>
      </c>
      <c r="X1280">
        <v>-54.366698999999997</v>
      </c>
      <c r="Y1280">
        <v>-29.666699999999999</v>
      </c>
      <c r="Z1280" t="s">
        <v>99</v>
      </c>
      <c r="AA1280" t="s">
        <v>367</v>
      </c>
      <c r="AB1280" t="s">
        <v>368</v>
      </c>
      <c r="AD1280" t="s">
        <v>382</v>
      </c>
      <c r="AE1280" t="s">
        <v>369</v>
      </c>
      <c r="AG1280" t="s">
        <v>385</v>
      </c>
      <c r="AH1280" t="s">
        <v>65</v>
      </c>
      <c r="AI1280" t="s">
        <v>335</v>
      </c>
      <c r="AJ1280">
        <v>1942</v>
      </c>
      <c r="AK1280" t="s">
        <v>1407</v>
      </c>
      <c r="AN1280" t="s">
        <v>94</v>
      </c>
      <c r="AO1280">
        <v>4</v>
      </c>
      <c r="AP1280" t="s">
        <v>95</v>
      </c>
      <c r="AQ1280" t="s">
        <v>1408</v>
      </c>
      <c r="AR1280" t="s">
        <v>70</v>
      </c>
      <c r="AS1280">
        <v>201</v>
      </c>
      <c r="AT1280" t="s">
        <v>71</v>
      </c>
      <c r="AU1280">
        <v>-13.32</v>
      </c>
      <c r="AV1280">
        <v>-35.17</v>
      </c>
      <c r="AW1280" t="s">
        <v>72</v>
      </c>
      <c r="AX1280">
        <v>202</v>
      </c>
      <c r="AY1280" t="s">
        <v>71</v>
      </c>
      <c r="AZ1280">
        <v>-19.57</v>
      </c>
      <c r="BA1280">
        <v>-51.75</v>
      </c>
      <c r="BB1280" t="s">
        <v>73</v>
      </c>
    </row>
    <row r="1281" spans="1:54" x14ac:dyDescent="0.4">
      <c r="A1281">
        <v>896147</v>
      </c>
      <c r="D1281" t="s">
        <v>54</v>
      </c>
      <c r="E1281" t="s">
        <v>104</v>
      </c>
      <c r="G1281">
        <v>1</v>
      </c>
      <c r="H1281" t="s">
        <v>74</v>
      </c>
      <c r="I1281" t="s">
        <v>57</v>
      </c>
      <c r="K1281" t="s">
        <v>102</v>
      </c>
      <c r="L1281" t="s">
        <v>384</v>
      </c>
      <c r="M1281" t="s">
        <v>59</v>
      </c>
      <c r="P1281" t="s">
        <v>111</v>
      </c>
      <c r="R1281" t="s">
        <v>112</v>
      </c>
      <c r="S1281" t="s">
        <v>61</v>
      </c>
      <c r="T1281">
        <v>242</v>
      </c>
      <c r="U1281">
        <v>237</v>
      </c>
      <c r="V1281">
        <f>(T1281+U1281)/2</f>
        <v>239.5</v>
      </c>
      <c r="W1281">
        <f>T1281-U1281</f>
        <v>5</v>
      </c>
      <c r="X1281">
        <v>-54.366698999999997</v>
      </c>
      <c r="Y1281">
        <v>-29.666699999999999</v>
      </c>
      <c r="Z1281" t="s">
        <v>99</v>
      </c>
      <c r="AA1281" t="s">
        <v>367</v>
      </c>
      <c r="AB1281" t="s">
        <v>368</v>
      </c>
      <c r="AD1281" t="s">
        <v>382</v>
      </c>
      <c r="AE1281" t="s">
        <v>369</v>
      </c>
      <c r="AG1281" t="s">
        <v>385</v>
      </c>
      <c r="AH1281" t="s">
        <v>65</v>
      </c>
      <c r="AI1281" t="s">
        <v>335</v>
      </c>
      <c r="AJ1281">
        <v>1942</v>
      </c>
      <c r="AK1281" t="s">
        <v>1409</v>
      </c>
      <c r="AN1281" t="s">
        <v>94</v>
      </c>
      <c r="AO1281">
        <v>4</v>
      </c>
      <c r="AP1281" t="s">
        <v>95</v>
      </c>
      <c r="AQ1281" t="s">
        <v>1410</v>
      </c>
      <c r="AR1281" t="s">
        <v>70</v>
      </c>
      <c r="AS1281">
        <v>201</v>
      </c>
      <c r="AT1281" t="s">
        <v>71</v>
      </c>
      <c r="AU1281">
        <v>-13.32</v>
      </c>
      <c r="AV1281">
        <v>-35.17</v>
      </c>
      <c r="AW1281" t="s">
        <v>72</v>
      </c>
      <c r="AX1281">
        <v>202</v>
      </c>
      <c r="AY1281" t="s">
        <v>71</v>
      </c>
      <c r="AZ1281">
        <v>-19.57</v>
      </c>
      <c r="BA1281">
        <v>-51.75</v>
      </c>
      <c r="BB1281" t="s">
        <v>73</v>
      </c>
    </row>
    <row r="1282" spans="1:54" x14ac:dyDescent="0.4">
      <c r="A1282">
        <v>922174</v>
      </c>
      <c r="D1282" t="s">
        <v>108</v>
      </c>
      <c r="E1282" t="s">
        <v>104</v>
      </c>
      <c r="G1282">
        <v>1</v>
      </c>
      <c r="H1282" t="s">
        <v>56</v>
      </c>
      <c r="I1282" t="s">
        <v>57</v>
      </c>
      <c r="K1282" t="s">
        <v>159</v>
      </c>
      <c r="L1282" t="s">
        <v>165</v>
      </c>
      <c r="M1282" t="s">
        <v>59</v>
      </c>
      <c r="P1282" t="s">
        <v>111</v>
      </c>
      <c r="R1282" t="s">
        <v>112</v>
      </c>
      <c r="S1282" t="s">
        <v>61</v>
      </c>
      <c r="T1282">
        <v>242</v>
      </c>
      <c r="U1282">
        <v>237</v>
      </c>
      <c r="V1282">
        <f>(T1282+U1282)/2</f>
        <v>239.5</v>
      </c>
      <c r="W1282">
        <f>T1282-U1282</f>
        <v>5</v>
      </c>
      <c r="X1282">
        <v>-67.824164999999994</v>
      </c>
      <c r="Y1282">
        <v>-29.830832999999998</v>
      </c>
      <c r="Z1282" t="s">
        <v>113</v>
      </c>
      <c r="AA1282" t="s">
        <v>114</v>
      </c>
      <c r="AB1282" t="s">
        <v>115</v>
      </c>
      <c r="AD1282" t="s">
        <v>116</v>
      </c>
      <c r="AE1282" t="s">
        <v>117</v>
      </c>
      <c r="AH1282" t="s">
        <v>65</v>
      </c>
      <c r="AI1282" t="s">
        <v>1500</v>
      </c>
      <c r="AJ1282">
        <v>1994</v>
      </c>
      <c r="AK1282" t="s">
        <v>435</v>
      </c>
      <c r="AL1282">
        <v>26092</v>
      </c>
      <c r="AN1282" t="s">
        <v>121</v>
      </c>
      <c r="AO1282" t="s">
        <v>68</v>
      </c>
      <c r="AP1282" t="s">
        <v>95</v>
      </c>
      <c r="AQ1282" t="s">
        <v>436</v>
      </c>
      <c r="AR1282" t="s">
        <v>70</v>
      </c>
      <c r="AS1282">
        <v>291</v>
      </c>
      <c r="AT1282" t="s">
        <v>71</v>
      </c>
      <c r="AU1282">
        <v>-27.03</v>
      </c>
      <c r="AV1282">
        <v>-33.79</v>
      </c>
      <c r="AW1282" t="s">
        <v>72</v>
      </c>
      <c r="AX1282">
        <v>291</v>
      </c>
      <c r="AY1282" t="s">
        <v>71</v>
      </c>
      <c r="AZ1282">
        <v>-37.770000000000003</v>
      </c>
      <c r="BA1282">
        <v>-49.89</v>
      </c>
      <c r="BB1282" t="s">
        <v>73</v>
      </c>
    </row>
    <row r="1283" spans="1:54" x14ac:dyDescent="0.4">
      <c r="A1283">
        <v>922175</v>
      </c>
      <c r="D1283" t="s">
        <v>54</v>
      </c>
      <c r="E1283" t="s">
        <v>55</v>
      </c>
      <c r="F1283" t="s">
        <v>294</v>
      </c>
      <c r="G1283">
        <v>1</v>
      </c>
      <c r="H1283" t="s">
        <v>56</v>
      </c>
      <c r="I1283" t="s">
        <v>57</v>
      </c>
      <c r="K1283" t="s">
        <v>102</v>
      </c>
      <c r="L1283" t="s">
        <v>164</v>
      </c>
      <c r="M1283" t="s">
        <v>59</v>
      </c>
      <c r="P1283" t="s">
        <v>111</v>
      </c>
      <c r="R1283" t="s">
        <v>112</v>
      </c>
      <c r="S1283" t="s">
        <v>61</v>
      </c>
      <c r="T1283">
        <v>242</v>
      </c>
      <c r="U1283">
        <v>237</v>
      </c>
      <c r="V1283">
        <f>(T1283+U1283)/2</f>
        <v>239.5</v>
      </c>
      <c r="W1283">
        <f>T1283-U1283</f>
        <v>5</v>
      </c>
      <c r="X1283">
        <v>-67.816665999999998</v>
      </c>
      <c r="Y1283">
        <v>-29.833331999999999</v>
      </c>
      <c r="Z1283" t="s">
        <v>99</v>
      </c>
      <c r="AA1283" t="s">
        <v>114</v>
      </c>
      <c r="AB1283" t="s">
        <v>115</v>
      </c>
      <c r="AD1283" t="s">
        <v>116</v>
      </c>
      <c r="AE1283" t="s">
        <v>117</v>
      </c>
      <c r="AH1283" t="s">
        <v>65</v>
      </c>
      <c r="AI1283" t="s">
        <v>1500</v>
      </c>
      <c r="AJ1283">
        <v>1994</v>
      </c>
      <c r="AK1283" t="s">
        <v>1501</v>
      </c>
      <c r="AN1283" t="s">
        <v>121</v>
      </c>
      <c r="AO1283" t="s">
        <v>106</v>
      </c>
      <c r="AP1283" t="s">
        <v>69</v>
      </c>
      <c r="AQ1283" t="s">
        <v>1502</v>
      </c>
      <c r="AR1283" t="s">
        <v>70</v>
      </c>
      <c r="AS1283">
        <v>291</v>
      </c>
      <c r="AT1283" t="s">
        <v>71</v>
      </c>
      <c r="AU1283">
        <v>-27.02</v>
      </c>
      <c r="AV1283">
        <v>-33.79</v>
      </c>
      <c r="AW1283" t="s">
        <v>72</v>
      </c>
      <c r="AX1283">
        <v>291</v>
      </c>
      <c r="AY1283" t="s">
        <v>71</v>
      </c>
      <c r="AZ1283">
        <v>-37.76</v>
      </c>
      <c r="BA1283">
        <v>-49.89</v>
      </c>
      <c r="BB1283" t="s">
        <v>73</v>
      </c>
    </row>
    <row r="1284" spans="1:54" x14ac:dyDescent="0.4">
      <c r="A1284">
        <v>922176</v>
      </c>
      <c r="D1284" t="s">
        <v>54</v>
      </c>
      <c r="E1284" t="s">
        <v>55</v>
      </c>
      <c r="F1284" t="s">
        <v>294</v>
      </c>
      <c r="G1284">
        <v>1</v>
      </c>
      <c r="H1284" t="s">
        <v>56</v>
      </c>
      <c r="I1284" t="s">
        <v>57</v>
      </c>
      <c r="K1284" t="s">
        <v>125</v>
      </c>
      <c r="L1284" t="s">
        <v>154</v>
      </c>
      <c r="M1284" t="s">
        <v>59</v>
      </c>
      <c r="O1284" t="s">
        <v>76</v>
      </c>
      <c r="P1284" t="s">
        <v>111</v>
      </c>
      <c r="R1284" t="s">
        <v>112</v>
      </c>
      <c r="S1284" t="s">
        <v>61</v>
      </c>
      <c r="T1284">
        <v>242</v>
      </c>
      <c r="U1284">
        <v>237</v>
      </c>
      <c r="V1284">
        <f>(T1284+U1284)/2</f>
        <v>239.5</v>
      </c>
      <c r="W1284">
        <f>T1284-U1284</f>
        <v>5</v>
      </c>
      <c r="X1284">
        <v>-67.816665999999998</v>
      </c>
      <c r="Y1284">
        <v>-29.833331999999999</v>
      </c>
      <c r="Z1284" t="s">
        <v>99</v>
      </c>
      <c r="AA1284" t="s">
        <v>114</v>
      </c>
      <c r="AB1284" t="s">
        <v>115</v>
      </c>
      <c r="AD1284" t="s">
        <v>116</v>
      </c>
      <c r="AE1284" t="s">
        <v>117</v>
      </c>
      <c r="AH1284" t="s">
        <v>65</v>
      </c>
      <c r="AI1284" t="s">
        <v>1503</v>
      </c>
      <c r="AJ1284">
        <v>2009</v>
      </c>
      <c r="AK1284" t="s">
        <v>1501</v>
      </c>
      <c r="AN1284" t="s">
        <v>121</v>
      </c>
      <c r="AO1284" t="s">
        <v>106</v>
      </c>
      <c r="AP1284" t="s">
        <v>69</v>
      </c>
      <c r="AQ1284" t="s">
        <v>1502</v>
      </c>
      <c r="AR1284" t="s">
        <v>70</v>
      </c>
      <c r="AS1284">
        <v>291</v>
      </c>
      <c r="AT1284" t="s">
        <v>71</v>
      </c>
      <c r="AU1284">
        <v>-27.02</v>
      </c>
      <c r="AV1284">
        <v>-33.79</v>
      </c>
      <c r="AW1284" t="s">
        <v>72</v>
      </c>
      <c r="AX1284">
        <v>291</v>
      </c>
      <c r="AY1284" t="s">
        <v>71</v>
      </c>
      <c r="AZ1284">
        <v>-37.76</v>
      </c>
      <c r="BA1284">
        <v>-49.89</v>
      </c>
      <c r="BB1284" t="s">
        <v>73</v>
      </c>
    </row>
    <row r="1285" spans="1:54" x14ac:dyDescent="0.4">
      <c r="A1285">
        <v>922177</v>
      </c>
      <c r="D1285" t="s">
        <v>108</v>
      </c>
      <c r="E1285" t="s">
        <v>55</v>
      </c>
      <c r="G1285">
        <v>1</v>
      </c>
      <c r="H1285" t="s">
        <v>74</v>
      </c>
      <c r="I1285" t="s">
        <v>57</v>
      </c>
      <c r="K1285" t="s">
        <v>166</v>
      </c>
      <c r="L1285" t="s">
        <v>167</v>
      </c>
      <c r="M1285" t="s">
        <v>59</v>
      </c>
      <c r="P1285" t="s">
        <v>111</v>
      </c>
      <c r="R1285" t="s">
        <v>112</v>
      </c>
      <c r="S1285" t="s">
        <v>61</v>
      </c>
      <c r="T1285">
        <v>242</v>
      </c>
      <c r="U1285">
        <v>237</v>
      </c>
      <c r="V1285">
        <f>(T1285+U1285)/2</f>
        <v>239.5</v>
      </c>
      <c r="W1285">
        <f>T1285-U1285</f>
        <v>5</v>
      </c>
      <c r="X1285">
        <v>-67.786941999999996</v>
      </c>
      <c r="Y1285">
        <v>-29.823055</v>
      </c>
      <c r="Z1285" t="s">
        <v>113</v>
      </c>
      <c r="AA1285" t="s">
        <v>114</v>
      </c>
      <c r="AB1285" t="s">
        <v>115</v>
      </c>
      <c r="AD1285" t="s">
        <v>116</v>
      </c>
      <c r="AE1285" t="s">
        <v>117</v>
      </c>
      <c r="AH1285" t="s">
        <v>65</v>
      </c>
      <c r="AI1285" t="s">
        <v>1504</v>
      </c>
      <c r="AJ1285">
        <v>1999</v>
      </c>
      <c r="AK1285" t="s">
        <v>437</v>
      </c>
      <c r="AL1285">
        <v>26092</v>
      </c>
      <c r="AN1285" t="s">
        <v>121</v>
      </c>
      <c r="AO1285" t="s">
        <v>68</v>
      </c>
      <c r="AP1285" t="s">
        <v>95</v>
      </c>
      <c r="AQ1285" t="s">
        <v>438</v>
      </c>
      <c r="AR1285" t="s">
        <v>70</v>
      </c>
      <c r="AS1285">
        <v>291</v>
      </c>
      <c r="AT1285" t="s">
        <v>71</v>
      </c>
      <c r="AU1285">
        <v>-26.99</v>
      </c>
      <c r="AV1285">
        <v>-33.78</v>
      </c>
      <c r="AW1285" t="s">
        <v>72</v>
      </c>
      <c r="AX1285">
        <v>291</v>
      </c>
      <c r="AY1285" t="s">
        <v>71</v>
      </c>
      <c r="AZ1285">
        <v>-37.72</v>
      </c>
      <c r="BA1285">
        <v>-49.88</v>
      </c>
      <c r="BB1285" t="s">
        <v>73</v>
      </c>
    </row>
    <row r="1286" spans="1:54" x14ac:dyDescent="0.4">
      <c r="A1286">
        <v>922178</v>
      </c>
      <c r="D1286" t="s">
        <v>54</v>
      </c>
      <c r="G1286">
        <v>1</v>
      </c>
      <c r="H1286" t="s">
        <v>56</v>
      </c>
      <c r="I1286" t="s">
        <v>57</v>
      </c>
      <c r="K1286" t="s">
        <v>166</v>
      </c>
      <c r="L1286" t="s">
        <v>167</v>
      </c>
      <c r="M1286" t="s">
        <v>59</v>
      </c>
      <c r="P1286" t="s">
        <v>111</v>
      </c>
      <c r="R1286" t="s">
        <v>112</v>
      </c>
      <c r="S1286" t="s">
        <v>61</v>
      </c>
      <c r="T1286">
        <v>242</v>
      </c>
      <c r="U1286">
        <v>237</v>
      </c>
      <c r="V1286">
        <f>(T1286+U1286)/2</f>
        <v>239.5</v>
      </c>
      <c r="W1286">
        <f>T1286-U1286</f>
        <v>5</v>
      </c>
      <c r="X1286">
        <v>-67.766670000000005</v>
      </c>
      <c r="Y1286">
        <v>-29.883333</v>
      </c>
      <c r="Z1286" t="s">
        <v>113</v>
      </c>
      <c r="AA1286" t="s">
        <v>114</v>
      </c>
      <c r="AB1286" t="s">
        <v>115</v>
      </c>
      <c r="AD1286" t="s">
        <v>116</v>
      </c>
      <c r="AE1286" t="s">
        <v>117</v>
      </c>
      <c r="AH1286" t="s">
        <v>65</v>
      </c>
      <c r="AI1286" t="s">
        <v>1504</v>
      </c>
      <c r="AJ1286">
        <v>1999</v>
      </c>
      <c r="AK1286" t="s">
        <v>1505</v>
      </c>
      <c r="AN1286" t="s">
        <v>121</v>
      </c>
      <c r="AO1286" t="s">
        <v>106</v>
      </c>
      <c r="AP1286" t="s">
        <v>95</v>
      </c>
      <c r="AQ1286" t="s">
        <v>1506</v>
      </c>
      <c r="AR1286" t="s">
        <v>70</v>
      </c>
      <c r="AS1286">
        <v>291</v>
      </c>
      <c r="AT1286" t="s">
        <v>71</v>
      </c>
      <c r="AU1286">
        <v>-26.97</v>
      </c>
      <c r="AV1286">
        <v>-33.840000000000003</v>
      </c>
      <c r="AW1286" t="s">
        <v>72</v>
      </c>
      <c r="AX1286">
        <v>291</v>
      </c>
      <c r="AY1286" t="s">
        <v>71</v>
      </c>
      <c r="AZ1286">
        <v>-37.700000000000003</v>
      </c>
      <c r="BA1286">
        <v>-49.94</v>
      </c>
      <c r="BB1286" t="s">
        <v>73</v>
      </c>
    </row>
    <row r="1287" spans="1:54" x14ac:dyDescent="0.4">
      <c r="A1287">
        <v>922179</v>
      </c>
      <c r="D1287" t="s">
        <v>54</v>
      </c>
      <c r="G1287">
        <v>1</v>
      </c>
      <c r="H1287" t="s">
        <v>56</v>
      </c>
      <c r="I1287" t="s">
        <v>57</v>
      </c>
      <c r="K1287" t="s">
        <v>166</v>
      </c>
      <c r="L1287" t="s">
        <v>167</v>
      </c>
      <c r="M1287" t="s">
        <v>59</v>
      </c>
      <c r="P1287" t="s">
        <v>111</v>
      </c>
      <c r="R1287" t="s">
        <v>112</v>
      </c>
      <c r="S1287" t="s">
        <v>61</v>
      </c>
      <c r="T1287">
        <v>242</v>
      </c>
      <c r="U1287">
        <v>237</v>
      </c>
      <c r="V1287">
        <f>(T1287+U1287)/2</f>
        <v>239.5</v>
      </c>
      <c r="W1287">
        <f>T1287-U1287</f>
        <v>5</v>
      </c>
      <c r="X1287">
        <v>-67.833336000000003</v>
      </c>
      <c r="Y1287">
        <v>-29.783332999999999</v>
      </c>
      <c r="Z1287" t="s">
        <v>113</v>
      </c>
      <c r="AA1287" t="s">
        <v>114</v>
      </c>
      <c r="AB1287" t="s">
        <v>115</v>
      </c>
      <c r="AD1287" t="s">
        <v>116</v>
      </c>
      <c r="AE1287" t="s">
        <v>117</v>
      </c>
      <c r="AH1287" t="s">
        <v>65</v>
      </c>
      <c r="AI1287" t="s">
        <v>1504</v>
      </c>
      <c r="AJ1287">
        <v>1999</v>
      </c>
      <c r="AK1287" t="s">
        <v>1507</v>
      </c>
      <c r="AM1287" t="s">
        <v>1508</v>
      </c>
      <c r="AN1287" t="s">
        <v>121</v>
      </c>
      <c r="AO1287" t="s">
        <v>106</v>
      </c>
      <c r="AP1287" t="s">
        <v>182</v>
      </c>
      <c r="AR1287" t="s">
        <v>70</v>
      </c>
      <c r="AS1287">
        <v>291</v>
      </c>
      <c r="AT1287" t="s">
        <v>71</v>
      </c>
      <c r="AU1287">
        <v>-27.04</v>
      </c>
      <c r="AV1287">
        <v>-33.74</v>
      </c>
      <c r="AW1287" t="s">
        <v>72</v>
      </c>
      <c r="AX1287">
        <v>291</v>
      </c>
      <c r="AY1287" t="s">
        <v>71</v>
      </c>
      <c r="AZ1287">
        <v>-37.770000000000003</v>
      </c>
      <c r="BA1287">
        <v>-49.84</v>
      </c>
      <c r="BB1287" t="s">
        <v>73</v>
      </c>
    </row>
    <row r="1288" spans="1:54" x14ac:dyDescent="0.4">
      <c r="A1288">
        <v>922685</v>
      </c>
      <c r="D1288" t="s">
        <v>54</v>
      </c>
      <c r="I1288" t="s">
        <v>57</v>
      </c>
      <c r="K1288" t="s">
        <v>373</v>
      </c>
      <c r="L1288" t="s">
        <v>1524</v>
      </c>
      <c r="M1288" t="s">
        <v>59</v>
      </c>
      <c r="O1288" t="s">
        <v>107</v>
      </c>
      <c r="P1288" t="s">
        <v>111</v>
      </c>
      <c r="R1288" t="s">
        <v>112</v>
      </c>
      <c r="S1288" t="s">
        <v>61</v>
      </c>
      <c r="T1288">
        <v>242</v>
      </c>
      <c r="U1288">
        <v>237</v>
      </c>
      <c r="V1288">
        <f>(T1288+U1288)/2</f>
        <v>239.5</v>
      </c>
      <c r="W1288">
        <f>T1288-U1288</f>
        <v>5</v>
      </c>
      <c r="X1288">
        <v>-52.049999</v>
      </c>
      <c r="Y1288">
        <v>-29.733333999999999</v>
      </c>
      <c r="Z1288" t="s">
        <v>99</v>
      </c>
      <c r="AA1288" t="s">
        <v>367</v>
      </c>
      <c r="AB1288" t="s">
        <v>368</v>
      </c>
      <c r="AC1288" t="s">
        <v>1525</v>
      </c>
      <c r="AD1288" t="s">
        <v>382</v>
      </c>
      <c r="AE1288" t="s">
        <v>369</v>
      </c>
      <c r="AG1288" t="s">
        <v>385</v>
      </c>
      <c r="AH1288" t="s">
        <v>65</v>
      </c>
      <c r="AI1288" t="s">
        <v>1526</v>
      </c>
      <c r="AJ1288">
        <v>2016</v>
      </c>
      <c r="AK1288" t="s">
        <v>1527</v>
      </c>
      <c r="AN1288" t="s">
        <v>121</v>
      </c>
      <c r="AO1288" t="s">
        <v>106</v>
      </c>
      <c r="AP1288" t="s">
        <v>95</v>
      </c>
      <c r="AR1288" t="s">
        <v>70</v>
      </c>
      <c r="AS1288">
        <v>201</v>
      </c>
      <c r="AT1288" t="s">
        <v>71</v>
      </c>
      <c r="AU1288">
        <v>-10.86</v>
      </c>
      <c r="AV1288">
        <v>-35.28</v>
      </c>
      <c r="AW1288" t="s">
        <v>72</v>
      </c>
      <c r="AX1288">
        <v>202</v>
      </c>
      <c r="AY1288" t="s">
        <v>71</v>
      </c>
      <c r="AZ1288">
        <v>-16.32</v>
      </c>
      <c r="BA1288">
        <v>-51.79</v>
      </c>
      <c r="BB1288" t="s">
        <v>73</v>
      </c>
    </row>
    <row r="1289" spans="1:54" x14ac:dyDescent="0.4">
      <c r="A1289">
        <v>923804</v>
      </c>
      <c r="D1289" t="s">
        <v>54</v>
      </c>
      <c r="G1289">
        <v>1</v>
      </c>
      <c r="H1289" t="s">
        <v>56</v>
      </c>
      <c r="I1289" t="s">
        <v>57</v>
      </c>
      <c r="K1289" t="s">
        <v>109</v>
      </c>
      <c r="L1289" t="s">
        <v>110</v>
      </c>
      <c r="M1289" t="s">
        <v>59</v>
      </c>
      <c r="N1289" t="s">
        <v>97</v>
      </c>
      <c r="P1289" t="s">
        <v>111</v>
      </c>
      <c r="R1289" t="s">
        <v>112</v>
      </c>
      <c r="S1289" t="s">
        <v>61</v>
      </c>
      <c r="T1289">
        <v>242</v>
      </c>
      <c r="U1289">
        <v>237</v>
      </c>
      <c r="V1289">
        <f>(T1289+U1289)/2</f>
        <v>239.5</v>
      </c>
      <c r="W1289">
        <f>T1289-U1289</f>
        <v>5</v>
      </c>
      <c r="X1289">
        <v>-67.833336000000003</v>
      </c>
      <c r="Y1289">
        <v>-29.783332999999999</v>
      </c>
      <c r="Z1289" t="s">
        <v>113</v>
      </c>
      <c r="AA1289" t="s">
        <v>114</v>
      </c>
      <c r="AB1289" t="s">
        <v>115</v>
      </c>
      <c r="AD1289" t="s">
        <v>116</v>
      </c>
      <c r="AE1289" t="s">
        <v>117</v>
      </c>
      <c r="AH1289" t="s">
        <v>65</v>
      </c>
      <c r="AI1289" t="s">
        <v>1562</v>
      </c>
      <c r="AJ1289">
        <v>1987</v>
      </c>
      <c r="AK1289" t="s">
        <v>1507</v>
      </c>
      <c r="AM1289" t="s">
        <v>1508</v>
      </c>
      <c r="AN1289" t="s">
        <v>121</v>
      </c>
      <c r="AO1289" t="s">
        <v>106</v>
      </c>
      <c r="AP1289" t="s">
        <v>182</v>
      </c>
      <c r="AR1289" t="s">
        <v>70</v>
      </c>
      <c r="AS1289">
        <v>291</v>
      </c>
      <c r="AT1289" t="s">
        <v>71</v>
      </c>
      <c r="AU1289">
        <v>-27.04</v>
      </c>
      <c r="AV1289">
        <v>-33.74</v>
      </c>
      <c r="AW1289" t="s">
        <v>72</v>
      </c>
      <c r="AX1289">
        <v>291</v>
      </c>
      <c r="AY1289" t="s">
        <v>71</v>
      </c>
      <c r="AZ1289">
        <v>-37.770000000000003</v>
      </c>
      <c r="BA1289">
        <v>-49.84</v>
      </c>
      <c r="BB1289" t="s">
        <v>73</v>
      </c>
    </row>
    <row r="1290" spans="1:54" x14ac:dyDescent="0.4">
      <c r="A1290">
        <v>923804</v>
      </c>
      <c r="D1290" t="s">
        <v>54</v>
      </c>
      <c r="G1290">
        <v>1</v>
      </c>
      <c r="H1290" t="s">
        <v>56</v>
      </c>
      <c r="I1290" t="s">
        <v>57</v>
      </c>
      <c r="K1290" t="s">
        <v>109</v>
      </c>
      <c r="L1290" t="s">
        <v>110</v>
      </c>
      <c r="M1290" t="s">
        <v>59</v>
      </c>
      <c r="N1290" t="s">
        <v>97</v>
      </c>
      <c r="P1290" t="s">
        <v>111</v>
      </c>
      <c r="R1290" t="s">
        <v>112</v>
      </c>
      <c r="S1290" t="s">
        <v>61</v>
      </c>
      <c r="T1290">
        <v>242</v>
      </c>
      <c r="U1290">
        <v>237</v>
      </c>
      <c r="V1290">
        <f>(T1290+U1290)/2</f>
        <v>239.5</v>
      </c>
      <c r="W1290">
        <f>T1290-U1290</f>
        <v>5</v>
      </c>
      <c r="X1290">
        <v>-67.833336000000003</v>
      </c>
      <c r="Y1290">
        <v>-29.783332999999999</v>
      </c>
      <c r="Z1290" t="s">
        <v>113</v>
      </c>
      <c r="AA1290" t="s">
        <v>114</v>
      </c>
      <c r="AB1290" t="s">
        <v>115</v>
      </c>
      <c r="AD1290" t="s">
        <v>116</v>
      </c>
      <c r="AE1290" t="s">
        <v>117</v>
      </c>
      <c r="AH1290" t="s">
        <v>65</v>
      </c>
      <c r="AI1290" t="s">
        <v>1562</v>
      </c>
      <c r="AJ1290">
        <v>1987</v>
      </c>
      <c r="AK1290" t="s">
        <v>1507</v>
      </c>
      <c r="AM1290" t="s">
        <v>1508</v>
      </c>
      <c r="AN1290" t="s">
        <v>121</v>
      </c>
      <c r="AO1290" t="s">
        <v>106</v>
      </c>
      <c r="AP1290" t="s">
        <v>182</v>
      </c>
      <c r="AR1290" t="s">
        <v>70</v>
      </c>
      <c r="AS1290">
        <v>291</v>
      </c>
      <c r="AT1290" t="s">
        <v>71</v>
      </c>
      <c r="AU1290">
        <v>-27.04</v>
      </c>
      <c r="AV1290">
        <v>-33.74</v>
      </c>
      <c r="AW1290" t="s">
        <v>72</v>
      </c>
      <c r="AX1290">
        <v>291</v>
      </c>
      <c r="AY1290" t="s">
        <v>71</v>
      </c>
      <c r="AZ1290">
        <v>-37.770000000000003</v>
      </c>
      <c r="BA1290">
        <v>-49.84</v>
      </c>
      <c r="BB1290" t="s">
        <v>73</v>
      </c>
    </row>
    <row r="1291" spans="1:54" x14ac:dyDescent="0.4">
      <c r="A1291">
        <v>923804</v>
      </c>
      <c r="D1291" t="s">
        <v>54</v>
      </c>
      <c r="G1291">
        <v>1</v>
      </c>
      <c r="H1291" t="s">
        <v>56</v>
      </c>
      <c r="I1291" t="s">
        <v>57</v>
      </c>
      <c r="K1291" t="s">
        <v>109</v>
      </c>
      <c r="L1291" t="s">
        <v>110</v>
      </c>
      <c r="M1291" t="s">
        <v>59</v>
      </c>
      <c r="N1291" t="s">
        <v>97</v>
      </c>
      <c r="P1291" t="s">
        <v>111</v>
      </c>
      <c r="R1291" t="s">
        <v>112</v>
      </c>
      <c r="S1291" t="s">
        <v>61</v>
      </c>
      <c r="T1291">
        <v>242</v>
      </c>
      <c r="U1291">
        <v>237</v>
      </c>
      <c r="V1291">
        <f>(T1291+U1291)/2</f>
        <v>239.5</v>
      </c>
      <c r="W1291">
        <f>T1291-U1291</f>
        <v>5</v>
      </c>
      <c r="X1291">
        <v>-67.833336000000003</v>
      </c>
      <c r="Y1291">
        <v>-29.783332999999999</v>
      </c>
      <c r="Z1291" t="s">
        <v>113</v>
      </c>
      <c r="AA1291" t="s">
        <v>114</v>
      </c>
      <c r="AB1291" t="s">
        <v>115</v>
      </c>
      <c r="AD1291" t="s">
        <v>116</v>
      </c>
      <c r="AE1291" t="s">
        <v>117</v>
      </c>
      <c r="AH1291" t="s">
        <v>65</v>
      </c>
      <c r="AI1291" t="s">
        <v>1562</v>
      </c>
      <c r="AJ1291">
        <v>1987</v>
      </c>
      <c r="AK1291" t="s">
        <v>1507</v>
      </c>
      <c r="AM1291" t="s">
        <v>1508</v>
      </c>
      <c r="AN1291" t="s">
        <v>121</v>
      </c>
      <c r="AO1291" t="s">
        <v>106</v>
      </c>
      <c r="AP1291" t="s">
        <v>182</v>
      </c>
      <c r="AR1291" t="s">
        <v>70</v>
      </c>
      <c r="AS1291">
        <v>291</v>
      </c>
      <c r="AT1291" t="s">
        <v>71</v>
      </c>
      <c r="AU1291">
        <v>-27.04</v>
      </c>
      <c r="AV1291">
        <v>-33.74</v>
      </c>
      <c r="AW1291" t="s">
        <v>72</v>
      </c>
      <c r="AX1291">
        <v>291</v>
      </c>
      <c r="AY1291" t="s">
        <v>71</v>
      </c>
      <c r="AZ1291">
        <v>-37.770000000000003</v>
      </c>
      <c r="BA1291">
        <v>-49.84</v>
      </c>
      <c r="BB1291" t="s">
        <v>73</v>
      </c>
    </row>
    <row r="1292" spans="1:54" x14ac:dyDescent="0.4">
      <c r="A1292">
        <v>923807</v>
      </c>
      <c r="D1292" t="s">
        <v>54</v>
      </c>
      <c r="G1292">
        <v>1</v>
      </c>
      <c r="H1292" t="s">
        <v>56</v>
      </c>
      <c r="I1292" t="s">
        <v>57</v>
      </c>
      <c r="K1292" t="s">
        <v>123</v>
      </c>
      <c r="L1292" t="s">
        <v>124</v>
      </c>
      <c r="M1292" t="s">
        <v>59</v>
      </c>
      <c r="P1292" t="s">
        <v>111</v>
      </c>
      <c r="R1292" t="s">
        <v>112</v>
      </c>
      <c r="S1292" t="s">
        <v>61</v>
      </c>
      <c r="T1292">
        <v>242</v>
      </c>
      <c r="U1292">
        <v>237</v>
      </c>
      <c r="V1292">
        <f>(T1292+U1292)/2</f>
        <v>239.5</v>
      </c>
      <c r="W1292">
        <f>T1292-U1292</f>
        <v>5</v>
      </c>
      <c r="X1292">
        <v>-67.833336000000003</v>
      </c>
      <c r="Y1292">
        <v>-29.783332999999999</v>
      </c>
      <c r="Z1292" t="s">
        <v>113</v>
      </c>
      <c r="AA1292" t="s">
        <v>114</v>
      </c>
      <c r="AB1292" t="s">
        <v>115</v>
      </c>
      <c r="AD1292" t="s">
        <v>116</v>
      </c>
      <c r="AE1292" t="s">
        <v>117</v>
      </c>
      <c r="AH1292" t="s">
        <v>65</v>
      </c>
      <c r="AI1292" t="s">
        <v>1562</v>
      </c>
      <c r="AJ1292">
        <v>1986</v>
      </c>
      <c r="AK1292" t="s">
        <v>1507</v>
      </c>
      <c r="AM1292" t="s">
        <v>1508</v>
      </c>
      <c r="AN1292" t="s">
        <v>121</v>
      </c>
      <c r="AO1292" t="s">
        <v>106</v>
      </c>
      <c r="AP1292" t="s">
        <v>182</v>
      </c>
      <c r="AR1292" t="s">
        <v>70</v>
      </c>
      <c r="AS1292">
        <v>291</v>
      </c>
      <c r="AT1292" t="s">
        <v>71</v>
      </c>
      <c r="AU1292">
        <v>-27.04</v>
      </c>
      <c r="AV1292">
        <v>-33.74</v>
      </c>
      <c r="AW1292" t="s">
        <v>72</v>
      </c>
      <c r="AX1292">
        <v>291</v>
      </c>
      <c r="AY1292" t="s">
        <v>71</v>
      </c>
      <c r="AZ1292">
        <v>-37.770000000000003</v>
      </c>
      <c r="BA1292">
        <v>-49.84</v>
      </c>
      <c r="BB1292" t="s">
        <v>73</v>
      </c>
    </row>
    <row r="1293" spans="1:54" x14ac:dyDescent="0.4">
      <c r="A1293">
        <v>923807</v>
      </c>
      <c r="D1293" t="s">
        <v>54</v>
      </c>
      <c r="G1293">
        <v>1</v>
      </c>
      <c r="H1293" t="s">
        <v>56</v>
      </c>
      <c r="I1293" t="s">
        <v>57</v>
      </c>
      <c r="K1293" t="s">
        <v>123</v>
      </c>
      <c r="L1293" t="s">
        <v>124</v>
      </c>
      <c r="M1293" t="s">
        <v>59</v>
      </c>
      <c r="P1293" t="s">
        <v>111</v>
      </c>
      <c r="R1293" t="s">
        <v>112</v>
      </c>
      <c r="S1293" t="s">
        <v>61</v>
      </c>
      <c r="T1293">
        <v>242</v>
      </c>
      <c r="U1293">
        <v>237</v>
      </c>
      <c r="V1293">
        <f>(T1293+U1293)/2</f>
        <v>239.5</v>
      </c>
      <c r="W1293">
        <f>T1293-U1293</f>
        <v>5</v>
      </c>
      <c r="X1293">
        <v>-67.833336000000003</v>
      </c>
      <c r="Y1293">
        <v>-29.783332999999999</v>
      </c>
      <c r="Z1293" t="s">
        <v>113</v>
      </c>
      <c r="AA1293" t="s">
        <v>114</v>
      </c>
      <c r="AB1293" t="s">
        <v>115</v>
      </c>
      <c r="AD1293" t="s">
        <v>116</v>
      </c>
      <c r="AE1293" t="s">
        <v>117</v>
      </c>
      <c r="AH1293" t="s">
        <v>65</v>
      </c>
      <c r="AI1293" t="s">
        <v>1562</v>
      </c>
      <c r="AJ1293">
        <v>1986</v>
      </c>
      <c r="AK1293" t="s">
        <v>1507</v>
      </c>
      <c r="AM1293" t="s">
        <v>1508</v>
      </c>
      <c r="AN1293" t="s">
        <v>121</v>
      </c>
      <c r="AO1293" t="s">
        <v>106</v>
      </c>
      <c r="AP1293" t="s">
        <v>182</v>
      </c>
      <c r="AR1293" t="s">
        <v>70</v>
      </c>
      <c r="AS1293">
        <v>291</v>
      </c>
      <c r="AT1293" t="s">
        <v>71</v>
      </c>
      <c r="AU1293">
        <v>-27.04</v>
      </c>
      <c r="AV1293">
        <v>-33.74</v>
      </c>
      <c r="AW1293" t="s">
        <v>72</v>
      </c>
      <c r="AX1293">
        <v>291</v>
      </c>
      <c r="AY1293" t="s">
        <v>71</v>
      </c>
      <c r="AZ1293">
        <v>-37.770000000000003</v>
      </c>
      <c r="BA1293">
        <v>-49.84</v>
      </c>
      <c r="BB1293" t="s">
        <v>73</v>
      </c>
    </row>
    <row r="1294" spans="1:54" x14ac:dyDescent="0.4">
      <c r="A1294">
        <v>923809</v>
      </c>
      <c r="D1294" t="s">
        <v>54</v>
      </c>
      <c r="G1294">
        <v>1</v>
      </c>
      <c r="H1294" t="s">
        <v>56</v>
      </c>
      <c r="I1294" t="s">
        <v>57</v>
      </c>
      <c r="K1294" t="s">
        <v>159</v>
      </c>
      <c r="L1294" t="s">
        <v>165</v>
      </c>
      <c r="M1294" t="s">
        <v>59</v>
      </c>
      <c r="P1294" t="s">
        <v>111</v>
      </c>
      <c r="R1294" t="s">
        <v>112</v>
      </c>
      <c r="S1294" t="s">
        <v>61</v>
      </c>
      <c r="T1294">
        <v>242</v>
      </c>
      <c r="U1294">
        <v>237</v>
      </c>
      <c r="V1294">
        <f>(T1294+U1294)/2</f>
        <v>239.5</v>
      </c>
      <c r="W1294">
        <f>T1294-U1294</f>
        <v>5</v>
      </c>
      <c r="X1294">
        <v>-67.833336000000003</v>
      </c>
      <c r="Y1294">
        <v>-29.783332999999999</v>
      </c>
      <c r="Z1294" t="s">
        <v>113</v>
      </c>
      <c r="AA1294" t="s">
        <v>114</v>
      </c>
      <c r="AB1294" t="s">
        <v>115</v>
      </c>
      <c r="AD1294" t="s">
        <v>116</v>
      </c>
      <c r="AE1294" t="s">
        <v>117</v>
      </c>
      <c r="AH1294" t="s">
        <v>65</v>
      </c>
      <c r="AI1294" t="s">
        <v>1562</v>
      </c>
      <c r="AJ1294">
        <v>1990</v>
      </c>
      <c r="AK1294" t="s">
        <v>1507</v>
      </c>
      <c r="AM1294" t="s">
        <v>1508</v>
      </c>
      <c r="AN1294" t="s">
        <v>121</v>
      </c>
      <c r="AO1294" t="s">
        <v>106</v>
      </c>
      <c r="AP1294" t="s">
        <v>182</v>
      </c>
      <c r="AR1294" t="s">
        <v>70</v>
      </c>
      <c r="AS1294">
        <v>291</v>
      </c>
      <c r="AT1294" t="s">
        <v>71</v>
      </c>
      <c r="AU1294">
        <v>-27.04</v>
      </c>
      <c r="AV1294">
        <v>-33.74</v>
      </c>
      <c r="AW1294" t="s">
        <v>72</v>
      </c>
      <c r="AX1294">
        <v>291</v>
      </c>
      <c r="AY1294" t="s">
        <v>71</v>
      </c>
      <c r="AZ1294">
        <v>-37.770000000000003</v>
      </c>
      <c r="BA1294">
        <v>-49.84</v>
      </c>
      <c r="BB1294" t="s">
        <v>73</v>
      </c>
    </row>
    <row r="1295" spans="1:54" x14ac:dyDescent="0.4">
      <c r="A1295">
        <v>923809</v>
      </c>
      <c r="D1295" t="s">
        <v>54</v>
      </c>
      <c r="G1295">
        <v>1</v>
      </c>
      <c r="H1295" t="s">
        <v>56</v>
      </c>
      <c r="I1295" t="s">
        <v>57</v>
      </c>
      <c r="K1295" t="s">
        <v>159</v>
      </c>
      <c r="L1295" t="s">
        <v>165</v>
      </c>
      <c r="M1295" t="s">
        <v>59</v>
      </c>
      <c r="P1295" t="s">
        <v>111</v>
      </c>
      <c r="R1295" t="s">
        <v>112</v>
      </c>
      <c r="S1295" t="s">
        <v>61</v>
      </c>
      <c r="T1295">
        <v>242</v>
      </c>
      <c r="U1295">
        <v>237</v>
      </c>
      <c r="V1295">
        <f>(T1295+U1295)/2</f>
        <v>239.5</v>
      </c>
      <c r="W1295">
        <f>T1295-U1295</f>
        <v>5</v>
      </c>
      <c r="X1295">
        <v>-67.833336000000003</v>
      </c>
      <c r="Y1295">
        <v>-29.783332999999999</v>
      </c>
      <c r="Z1295" t="s">
        <v>113</v>
      </c>
      <c r="AA1295" t="s">
        <v>114</v>
      </c>
      <c r="AB1295" t="s">
        <v>115</v>
      </c>
      <c r="AD1295" t="s">
        <v>116</v>
      </c>
      <c r="AE1295" t="s">
        <v>117</v>
      </c>
      <c r="AH1295" t="s">
        <v>65</v>
      </c>
      <c r="AI1295" t="s">
        <v>1562</v>
      </c>
      <c r="AJ1295">
        <v>1990</v>
      </c>
      <c r="AK1295" t="s">
        <v>1507</v>
      </c>
      <c r="AM1295" t="s">
        <v>1508</v>
      </c>
      <c r="AN1295" t="s">
        <v>121</v>
      </c>
      <c r="AO1295" t="s">
        <v>106</v>
      </c>
      <c r="AP1295" t="s">
        <v>182</v>
      </c>
      <c r="AR1295" t="s">
        <v>70</v>
      </c>
      <c r="AS1295">
        <v>291</v>
      </c>
      <c r="AT1295" t="s">
        <v>71</v>
      </c>
      <c r="AU1295">
        <v>-27.04</v>
      </c>
      <c r="AV1295">
        <v>-33.74</v>
      </c>
      <c r="AW1295" t="s">
        <v>72</v>
      </c>
      <c r="AX1295">
        <v>291</v>
      </c>
      <c r="AY1295" t="s">
        <v>71</v>
      </c>
      <c r="AZ1295">
        <v>-37.770000000000003</v>
      </c>
      <c r="BA1295">
        <v>-49.84</v>
      </c>
      <c r="BB1295" t="s">
        <v>73</v>
      </c>
    </row>
    <row r="1296" spans="1:54" x14ac:dyDescent="0.4">
      <c r="A1296">
        <v>923809</v>
      </c>
      <c r="D1296" t="s">
        <v>54</v>
      </c>
      <c r="G1296">
        <v>1</v>
      </c>
      <c r="H1296" t="s">
        <v>56</v>
      </c>
      <c r="I1296" t="s">
        <v>57</v>
      </c>
      <c r="K1296" t="s">
        <v>159</v>
      </c>
      <c r="L1296" t="s">
        <v>165</v>
      </c>
      <c r="M1296" t="s">
        <v>59</v>
      </c>
      <c r="P1296" t="s">
        <v>111</v>
      </c>
      <c r="R1296" t="s">
        <v>112</v>
      </c>
      <c r="S1296" t="s">
        <v>61</v>
      </c>
      <c r="T1296">
        <v>242</v>
      </c>
      <c r="U1296">
        <v>237</v>
      </c>
      <c r="V1296">
        <f>(T1296+U1296)/2</f>
        <v>239.5</v>
      </c>
      <c r="W1296">
        <f>T1296-U1296</f>
        <v>5</v>
      </c>
      <c r="X1296">
        <v>-67.833336000000003</v>
      </c>
      <c r="Y1296">
        <v>-29.783332999999999</v>
      </c>
      <c r="Z1296" t="s">
        <v>113</v>
      </c>
      <c r="AA1296" t="s">
        <v>114</v>
      </c>
      <c r="AB1296" t="s">
        <v>115</v>
      </c>
      <c r="AD1296" t="s">
        <v>116</v>
      </c>
      <c r="AE1296" t="s">
        <v>117</v>
      </c>
      <c r="AH1296" t="s">
        <v>65</v>
      </c>
      <c r="AI1296" t="s">
        <v>1562</v>
      </c>
      <c r="AJ1296">
        <v>1990</v>
      </c>
      <c r="AK1296" t="s">
        <v>1507</v>
      </c>
      <c r="AM1296" t="s">
        <v>1508</v>
      </c>
      <c r="AN1296" t="s">
        <v>121</v>
      </c>
      <c r="AO1296" t="s">
        <v>106</v>
      </c>
      <c r="AP1296" t="s">
        <v>182</v>
      </c>
      <c r="AR1296" t="s">
        <v>70</v>
      </c>
      <c r="AS1296">
        <v>291</v>
      </c>
      <c r="AT1296" t="s">
        <v>71</v>
      </c>
      <c r="AU1296">
        <v>-27.04</v>
      </c>
      <c r="AV1296">
        <v>-33.74</v>
      </c>
      <c r="AW1296" t="s">
        <v>72</v>
      </c>
      <c r="AX1296">
        <v>291</v>
      </c>
      <c r="AY1296" t="s">
        <v>71</v>
      </c>
      <c r="AZ1296">
        <v>-37.770000000000003</v>
      </c>
      <c r="BA1296">
        <v>-49.84</v>
      </c>
      <c r="BB1296" t="s">
        <v>73</v>
      </c>
    </row>
    <row r="1297" spans="1:54" x14ac:dyDescent="0.4">
      <c r="A1297">
        <v>923809</v>
      </c>
      <c r="D1297" t="s">
        <v>54</v>
      </c>
      <c r="G1297">
        <v>1</v>
      </c>
      <c r="H1297" t="s">
        <v>56</v>
      </c>
      <c r="I1297" t="s">
        <v>57</v>
      </c>
      <c r="K1297" t="s">
        <v>159</v>
      </c>
      <c r="L1297" t="s">
        <v>165</v>
      </c>
      <c r="M1297" t="s">
        <v>59</v>
      </c>
      <c r="P1297" t="s">
        <v>111</v>
      </c>
      <c r="R1297" t="s">
        <v>112</v>
      </c>
      <c r="S1297" t="s">
        <v>61</v>
      </c>
      <c r="T1297">
        <v>242</v>
      </c>
      <c r="U1297">
        <v>237</v>
      </c>
      <c r="V1297">
        <f>(T1297+U1297)/2</f>
        <v>239.5</v>
      </c>
      <c r="W1297">
        <f>T1297-U1297</f>
        <v>5</v>
      </c>
      <c r="X1297">
        <v>-67.833336000000003</v>
      </c>
      <c r="Y1297">
        <v>-29.783332999999999</v>
      </c>
      <c r="Z1297" t="s">
        <v>113</v>
      </c>
      <c r="AA1297" t="s">
        <v>114</v>
      </c>
      <c r="AB1297" t="s">
        <v>115</v>
      </c>
      <c r="AD1297" t="s">
        <v>116</v>
      </c>
      <c r="AE1297" t="s">
        <v>117</v>
      </c>
      <c r="AH1297" t="s">
        <v>65</v>
      </c>
      <c r="AI1297" t="s">
        <v>1562</v>
      </c>
      <c r="AJ1297">
        <v>1990</v>
      </c>
      <c r="AK1297" t="s">
        <v>1507</v>
      </c>
      <c r="AM1297" t="s">
        <v>1508</v>
      </c>
      <c r="AN1297" t="s">
        <v>121</v>
      </c>
      <c r="AO1297" t="s">
        <v>106</v>
      </c>
      <c r="AP1297" t="s">
        <v>182</v>
      </c>
      <c r="AR1297" t="s">
        <v>70</v>
      </c>
      <c r="AS1297">
        <v>291</v>
      </c>
      <c r="AT1297" t="s">
        <v>71</v>
      </c>
      <c r="AU1297">
        <v>-27.04</v>
      </c>
      <c r="AV1297">
        <v>-33.74</v>
      </c>
      <c r="AW1297" t="s">
        <v>72</v>
      </c>
      <c r="AX1297">
        <v>291</v>
      </c>
      <c r="AY1297" t="s">
        <v>71</v>
      </c>
      <c r="AZ1297">
        <v>-37.770000000000003</v>
      </c>
      <c r="BA1297">
        <v>-49.84</v>
      </c>
      <c r="BB1297" t="s">
        <v>73</v>
      </c>
    </row>
    <row r="1298" spans="1:54" x14ac:dyDescent="0.4">
      <c r="A1298">
        <v>923809</v>
      </c>
      <c r="D1298" t="s">
        <v>54</v>
      </c>
      <c r="G1298">
        <v>1</v>
      </c>
      <c r="H1298" t="s">
        <v>56</v>
      </c>
      <c r="I1298" t="s">
        <v>57</v>
      </c>
      <c r="K1298" t="s">
        <v>159</v>
      </c>
      <c r="L1298" t="s">
        <v>165</v>
      </c>
      <c r="M1298" t="s">
        <v>59</v>
      </c>
      <c r="P1298" t="s">
        <v>111</v>
      </c>
      <c r="R1298" t="s">
        <v>112</v>
      </c>
      <c r="S1298" t="s">
        <v>61</v>
      </c>
      <c r="T1298">
        <v>242</v>
      </c>
      <c r="U1298">
        <v>237</v>
      </c>
      <c r="V1298">
        <f>(T1298+U1298)/2</f>
        <v>239.5</v>
      </c>
      <c r="W1298">
        <f>T1298-U1298</f>
        <v>5</v>
      </c>
      <c r="X1298">
        <v>-67.833336000000003</v>
      </c>
      <c r="Y1298">
        <v>-29.783332999999999</v>
      </c>
      <c r="Z1298" t="s">
        <v>113</v>
      </c>
      <c r="AA1298" t="s">
        <v>114</v>
      </c>
      <c r="AB1298" t="s">
        <v>115</v>
      </c>
      <c r="AD1298" t="s">
        <v>116</v>
      </c>
      <c r="AE1298" t="s">
        <v>117</v>
      </c>
      <c r="AH1298" t="s">
        <v>65</v>
      </c>
      <c r="AI1298" t="s">
        <v>1562</v>
      </c>
      <c r="AJ1298">
        <v>1990</v>
      </c>
      <c r="AK1298" t="s">
        <v>1507</v>
      </c>
      <c r="AM1298" t="s">
        <v>1508</v>
      </c>
      <c r="AN1298" t="s">
        <v>121</v>
      </c>
      <c r="AO1298" t="s">
        <v>106</v>
      </c>
      <c r="AP1298" t="s">
        <v>182</v>
      </c>
      <c r="AR1298" t="s">
        <v>70</v>
      </c>
      <c r="AS1298">
        <v>291</v>
      </c>
      <c r="AT1298" t="s">
        <v>71</v>
      </c>
      <c r="AU1298">
        <v>-27.04</v>
      </c>
      <c r="AV1298">
        <v>-33.74</v>
      </c>
      <c r="AW1298" t="s">
        <v>72</v>
      </c>
      <c r="AX1298">
        <v>291</v>
      </c>
      <c r="AY1298" t="s">
        <v>71</v>
      </c>
      <c r="AZ1298">
        <v>-37.770000000000003</v>
      </c>
      <c r="BA1298">
        <v>-49.84</v>
      </c>
      <c r="BB1298" t="s">
        <v>73</v>
      </c>
    </row>
    <row r="1299" spans="1:54" x14ac:dyDescent="0.4">
      <c r="A1299">
        <v>923809</v>
      </c>
      <c r="D1299" t="s">
        <v>54</v>
      </c>
      <c r="G1299">
        <v>1</v>
      </c>
      <c r="H1299" t="s">
        <v>56</v>
      </c>
      <c r="I1299" t="s">
        <v>57</v>
      </c>
      <c r="K1299" t="s">
        <v>159</v>
      </c>
      <c r="L1299" t="s">
        <v>165</v>
      </c>
      <c r="M1299" t="s">
        <v>59</v>
      </c>
      <c r="P1299" t="s">
        <v>111</v>
      </c>
      <c r="R1299" t="s">
        <v>112</v>
      </c>
      <c r="S1299" t="s">
        <v>61</v>
      </c>
      <c r="T1299">
        <v>242</v>
      </c>
      <c r="U1299">
        <v>237</v>
      </c>
      <c r="V1299">
        <f>(T1299+U1299)/2</f>
        <v>239.5</v>
      </c>
      <c r="W1299">
        <f>T1299-U1299</f>
        <v>5</v>
      </c>
      <c r="X1299">
        <v>-67.833336000000003</v>
      </c>
      <c r="Y1299">
        <v>-29.783332999999999</v>
      </c>
      <c r="Z1299" t="s">
        <v>113</v>
      </c>
      <c r="AA1299" t="s">
        <v>114</v>
      </c>
      <c r="AB1299" t="s">
        <v>115</v>
      </c>
      <c r="AD1299" t="s">
        <v>116</v>
      </c>
      <c r="AE1299" t="s">
        <v>117</v>
      </c>
      <c r="AH1299" t="s">
        <v>65</v>
      </c>
      <c r="AI1299" t="s">
        <v>1562</v>
      </c>
      <c r="AJ1299">
        <v>1990</v>
      </c>
      <c r="AK1299" t="s">
        <v>1507</v>
      </c>
      <c r="AM1299" t="s">
        <v>1508</v>
      </c>
      <c r="AN1299" t="s">
        <v>121</v>
      </c>
      <c r="AO1299" t="s">
        <v>106</v>
      </c>
      <c r="AP1299" t="s">
        <v>182</v>
      </c>
      <c r="AR1299" t="s">
        <v>70</v>
      </c>
      <c r="AS1299">
        <v>291</v>
      </c>
      <c r="AT1299" t="s">
        <v>71</v>
      </c>
      <c r="AU1299">
        <v>-27.04</v>
      </c>
      <c r="AV1299">
        <v>-33.74</v>
      </c>
      <c r="AW1299" t="s">
        <v>72</v>
      </c>
      <c r="AX1299">
        <v>291</v>
      </c>
      <c r="AY1299" t="s">
        <v>71</v>
      </c>
      <c r="AZ1299">
        <v>-37.770000000000003</v>
      </c>
      <c r="BA1299">
        <v>-49.84</v>
      </c>
      <c r="BB1299" t="s">
        <v>73</v>
      </c>
    </row>
    <row r="1300" spans="1:54" x14ac:dyDescent="0.4">
      <c r="A1300">
        <v>923809</v>
      </c>
      <c r="D1300" t="s">
        <v>54</v>
      </c>
      <c r="G1300">
        <v>1</v>
      </c>
      <c r="H1300" t="s">
        <v>56</v>
      </c>
      <c r="I1300" t="s">
        <v>57</v>
      </c>
      <c r="K1300" t="s">
        <v>159</v>
      </c>
      <c r="L1300" t="s">
        <v>165</v>
      </c>
      <c r="M1300" t="s">
        <v>59</v>
      </c>
      <c r="P1300" t="s">
        <v>111</v>
      </c>
      <c r="R1300" t="s">
        <v>112</v>
      </c>
      <c r="S1300" t="s">
        <v>61</v>
      </c>
      <c r="T1300">
        <v>242</v>
      </c>
      <c r="U1300">
        <v>237</v>
      </c>
      <c r="V1300">
        <f>(T1300+U1300)/2</f>
        <v>239.5</v>
      </c>
      <c r="W1300">
        <f>T1300-U1300</f>
        <v>5</v>
      </c>
      <c r="X1300">
        <v>-67.833336000000003</v>
      </c>
      <c r="Y1300">
        <v>-29.783332999999999</v>
      </c>
      <c r="Z1300" t="s">
        <v>113</v>
      </c>
      <c r="AA1300" t="s">
        <v>114</v>
      </c>
      <c r="AB1300" t="s">
        <v>115</v>
      </c>
      <c r="AD1300" t="s">
        <v>116</v>
      </c>
      <c r="AE1300" t="s">
        <v>117</v>
      </c>
      <c r="AH1300" t="s">
        <v>65</v>
      </c>
      <c r="AI1300" t="s">
        <v>1562</v>
      </c>
      <c r="AJ1300">
        <v>1990</v>
      </c>
      <c r="AK1300" t="s">
        <v>1507</v>
      </c>
      <c r="AM1300" t="s">
        <v>1508</v>
      </c>
      <c r="AN1300" t="s">
        <v>121</v>
      </c>
      <c r="AO1300" t="s">
        <v>106</v>
      </c>
      <c r="AP1300" t="s">
        <v>182</v>
      </c>
      <c r="AR1300" t="s">
        <v>70</v>
      </c>
      <c r="AS1300">
        <v>291</v>
      </c>
      <c r="AT1300" t="s">
        <v>71</v>
      </c>
      <c r="AU1300">
        <v>-27.04</v>
      </c>
      <c r="AV1300">
        <v>-33.74</v>
      </c>
      <c r="AW1300" t="s">
        <v>72</v>
      </c>
      <c r="AX1300">
        <v>291</v>
      </c>
      <c r="AY1300" t="s">
        <v>71</v>
      </c>
      <c r="AZ1300">
        <v>-37.770000000000003</v>
      </c>
      <c r="BA1300">
        <v>-49.84</v>
      </c>
      <c r="BB1300" t="s">
        <v>73</v>
      </c>
    </row>
    <row r="1301" spans="1:54" x14ac:dyDescent="0.4">
      <c r="A1301">
        <v>924724</v>
      </c>
      <c r="D1301" t="s">
        <v>54</v>
      </c>
      <c r="G1301">
        <v>1</v>
      </c>
      <c r="H1301" t="s">
        <v>56</v>
      </c>
      <c r="I1301" t="s">
        <v>57</v>
      </c>
      <c r="K1301" t="s">
        <v>102</v>
      </c>
      <c r="L1301" t="s">
        <v>466</v>
      </c>
      <c r="M1301" t="s">
        <v>59</v>
      </c>
      <c r="O1301" t="s">
        <v>76</v>
      </c>
      <c r="P1301" t="s">
        <v>111</v>
      </c>
      <c r="R1301" t="s">
        <v>112</v>
      </c>
      <c r="S1301" t="s">
        <v>61</v>
      </c>
      <c r="T1301">
        <v>242</v>
      </c>
      <c r="U1301">
        <v>237</v>
      </c>
      <c r="V1301">
        <f>(T1301+U1301)/2</f>
        <v>239.5</v>
      </c>
      <c r="W1301">
        <f>T1301-U1301</f>
        <v>5</v>
      </c>
      <c r="X1301">
        <v>-54.366698999999997</v>
      </c>
      <c r="Y1301">
        <v>-29.666699999999999</v>
      </c>
      <c r="Z1301" t="s">
        <v>99</v>
      </c>
      <c r="AA1301" t="s">
        <v>367</v>
      </c>
      <c r="AB1301" t="s">
        <v>368</v>
      </c>
      <c r="AD1301" t="s">
        <v>382</v>
      </c>
      <c r="AE1301" t="s">
        <v>369</v>
      </c>
      <c r="AG1301" t="s">
        <v>385</v>
      </c>
      <c r="AH1301" t="s">
        <v>65</v>
      </c>
      <c r="AI1301" t="s">
        <v>335</v>
      </c>
      <c r="AJ1301">
        <v>1942</v>
      </c>
      <c r="AK1301" t="s">
        <v>1563</v>
      </c>
      <c r="AM1301" t="s">
        <v>1564</v>
      </c>
      <c r="AN1301" t="s">
        <v>94</v>
      </c>
      <c r="AO1301">
        <v>4</v>
      </c>
      <c r="AP1301" t="s">
        <v>95</v>
      </c>
      <c r="AQ1301" t="s">
        <v>1565</v>
      </c>
      <c r="AR1301" t="s">
        <v>70</v>
      </c>
      <c r="AS1301">
        <v>201</v>
      </c>
      <c r="AT1301" t="s">
        <v>71</v>
      </c>
      <c r="AU1301">
        <v>-13.32</v>
      </c>
      <c r="AV1301">
        <v>-35.17</v>
      </c>
      <c r="AW1301" t="s">
        <v>72</v>
      </c>
      <c r="AX1301">
        <v>202</v>
      </c>
      <c r="AY1301" t="s">
        <v>71</v>
      </c>
      <c r="AZ1301">
        <v>-19.57</v>
      </c>
      <c r="BA1301">
        <v>-51.75</v>
      </c>
      <c r="BB1301" t="s">
        <v>73</v>
      </c>
    </row>
    <row r="1302" spans="1:54" x14ac:dyDescent="0.4">
      <c r="A1302">
        <v>924725</v>
      </c>
      <c r="D1302" t="s">
        <v>54</v>
      </c>
      <c r="I1302" t="s">
        <v>57</v>
      </c>
      <c r="K1302" t="s">
        <v>102</v>
      </c>
      <c r="L1302" t="s">
        <v>466</v>
      </c>
      <c r="M1302" t="s">
        <v>59</v>
      </c>
      <c r="O1302" t="s">
        <v>76</v>
      </c>
      <c r="P1302" t="s">
        <v>111</v>
      </c>
      <c r="R1302" t="s">
        <v>112</v>
      </c>
      <c r="S1302" t="s">
        <v>61</v>
      </c>
      <c r="T1302">
        <v>242</v>
      </c>
      <c r="U1302">
        <v>237</v>
      </c>
      <c r="V1302">
        <f>(T1302+U1302)/2</f>
        <v>239.5</v>
      </c>
      <c r="W1302">
        <f>T1302-U1302</f>
        <v>5</v>
      </c>
      <c r="X1302">
        <v>-54.366698999999997</v>
      </c>
      <c r="Y1302">
        <v>-29.666699999999999</v>
      </c>
      <c r="Z1302" t="s">
        <v>99</v>
      </c>
      <c r="AA1302" t="s">
        <v>367</v>
      </c>
      <c r="AB1302" t="s">
        <v>368</v>
      </c>
      <c r="AD1302" t="s">
        <v>382</v>
      </c>
      <c r="AE1302" t="s">
        <v>369</v>
      </c>
      <c r="AG1302" t="s">
        <v>385</v>
      </c>
      <c r="AH1302" t="s">
        <v>65</v>
      </c>
      <c r="AI1302" t="s">
        <v>335</v>
      </c>
      <c r="AJ1302">
        <v>1942</v>
      </c>
      <c r="AK1302" t="s">
        <v>1566</v>
      </c>
      <c r="AM1302" t="s">
        <v>1564</v>
      </c>
      <c r="AN1302" t="s">
        <v>94</v>
      </c>
      <c r="AO1302">
        <v>4</v>
      </c>
      <c r="AP1302" t="s">
        <v>95</v>
      </c>
      <c r="AQ1302" t="s">
        <v>1565</v>
      </c>
      <c r="AR1302" t="s">
        <v>70</v>
      </c>
      <c r="AS1302">
        <v>201</v>
      </c>
      <c r="AT1302" t="s">
        <v>71</v>
      </c>
      <c r="AU1302">
        <v>-13.32</v>
      </c>
      <c r="AV1302">
        <v>-35.17</v>
      </c>
      <c r="AW1302" t="s">
        <v>72</v>
      </c>
      <c r="AX1302">
        <v>202</v>
      </c>
      <c r="AY1302" t="s">
        <v>71</v>
      </c>
      <c r="AZ1302">
        <v>-19.57</v>
      </c>
      <c r="BA1302">
        <v>-51.75</v>
      </c>
      <c r="BB1302" t="s">
        <v>73</v>
      </c>
    </row>
    <row r="1303" spans="1:54" x14ac:dyDescent="0.4">
      <c r="A1303">
        <v>924728</v>
      </c>
      <c r="D1303" t="s">
        <v>54</v>
      </c>
      <c r="G1303">
        <v>1</v>
      </c>
      <c r="H1303" t="s">
        <v>56</v>
      </c>
      <c r="I1303" t="s">
        <v>57</v>
      </c>
      <c r="K1303" t="s">
        <v>102</v>
      </c>
      <c r="L1303" t="s">
        <v>1567</v>
      </c>
      <c r="M1303" t="s">
        <v>59</v>
      </c>
      <c r="O1303" t="s">
        <v>76</v>
      </c>
      <c r="P1303" t="s">
        <v>111</v>
      </c>
      <c r="R1303" t="s">
        <v>112</v>
      </c>
      <c r="S1303" t="s">
        <v>61</v>
      </c>
      <c r="T1303">
        <v>242</v>
      </c>
      <c r="U1303">
        <v>237</v>
      </c>
      <c r="V1303">
        <f>(T1303+U1303)/2</f>
        <v>239.5</v>
      </c>
      <c r="W1303">
        <f>T1303-U1303</f>
        <v>5</v>
      </c>
      <c r="X1303">
        <v>-54.366698999999997</v>
      </c>
      <c r="Y1303">
        <v>-29.666699999999999</v>
      </c>
      <c r="Z1303" t="s">
        <v>99</v>
      </c>
      <c r="AA1303" t="s">
        <v>367</v>
      </c>
      <c r="AB1303" t="s">
        <v>368</v>
      </c>
      <c r="AD1303" t="s">
        <v>382</v>
      </c>
      <c r="AE1303" t="s">
        <v>369</v>
      </c>
      <c r="AG1303" t="s">
        <v>385</v>
      </c>
      <c r="AH1303" t="s">
        <v>65</v>
      </c>
      <c r="AI1303" t="s">
        <v>335</v>
      </c>
      <c r="AJ1303">
        <v>1942</v>
      </c>
      <c r="AK1303" t="s">
        <v>1568</v>
      </c>
      <c r="AM1303" t="s">
        <v>1564</v>
      </c>
      <c r="AN1303" t="s">
        <v>94</v>
      </c>
      <c r="AO1303">
        <v>4</v>
      </c>
      <c r="AP1303" t="s">
        <v>95</v>
      </c>
      <c r="AQ1303" t="s">
        <v>1565</v>
      </c>
      <c r="AR1303" t="s">
        <v>70</v>
      </c>
      <c r="AS1303">
        <v>201</v>
      </c>
      <c r="AT1303" t="s">
        <v>71</v>
      </c>
      <c r="AU1303">
        <v>-13.32</v>
      </c>
      <c r="AV1303">
        <v>-35.17</v>
      </c>
      <c r="AW1303" t="s">
        <v>72</v>
      </c>
      <c r="AX1303">
        <v>202</v>
      </c>
      <c r="AY1303" t="s">
        <v>71</v>
      </c>
      <c r="AZ1303">
        <v>-19.57</v>
      </c>
      <c r="BA1303">
        <v>-51.75</v>
      </c>
      <c r="BB1303" t="s">
        <v>73</v>
      </c>
    </row>
    <row r="1304" spans="1:54" x14ac:dyDescent="0.4">
      <c r="A1304">
        <v>930780</v>
      </c>
      <c r="D1304" t="s">
        <v>54</v>
      </c>
      <c r="E1304" t="s">
        <v>104</v>
      </c>
      <c r="G1304">
        <v>1</v>
      </c>
      <c r="H1304" t="s">
        <v>56</v>
      </c>
      <c r="I1304" t="s">
        <v>57</v>
      </c>
      <c r="K1304" t="s">
        <v>166</v>
      </c>
      <c r="L1304" t="s">
        <v>1571</v>
      </c>
      <c r="M1304" t="s">
        <v>59</v>
      </c>
      <c r="P1304" t="s">
        <v>111</v>
      </c>
      <c r="R1304" t="s">
        <v>112</v>
      </c>
      <c r="S1304" t="s">
        <v>61</v>
      </c>
      <c r="T1304">
        <v>242</v>
      </c>
      <c r="U1304">
        <v>237</v>
      </c>
      <c r="V1304">
        <f>(T1304+U1304)/2</f>
        <v>239.5</v>
      </c>
      <c r="W1304">
        <f>T1304-U1304</f>
        <v>5</v>
      </c>
      <c r="X1304">
        <v>-54.366698999999997</v>
      </c>
      <c r="Y1304">
        <v>-29.666699999999999</v>
      </c>
      <c r="Z1304" t="s">
        <v>99</v>
      </c>
      <c r="AA1304" t="s">
        <v>367</v>
      </c>
      <c r="AB1304" t="s">
        <v>368</v>
      </c>
      <c r="AC1304" t="s">
        <v>1572</v>
      </c>
      <c r="AD1304" t="s">
        <v>382</v>
      </c>
      <c r="AE1304" t="s">
        <v>369</v>
      </c>
      <c r="AG1304" t="s">
        <v>385</v>
      </c>
      <c r="AH1304" t="s">
        <v>65</v>
      </c>
      <c r="AI1304" t="s">
        <v>1573</v>
      </c>
      <c r="AJ1304">
        <v>2011</v>
      </c>
      <c r="AK1304" t="s">
        <v>1574</v>
      </c>
      <c r="AM1304" t="s">
        <v>1575</v>
      </c>
      <c r="AN1304" t="s">
        <v>94</v>
      </c>
      <c r="AO1304">
        <v>4</v>
      </c>
      <c r="AP1304" t="s">
        <v>95</v>
      </c>
      <c r="AQ1304" t="s">
        <v>1576</v>
      </c>
      <c r="AR1304" t="s">
        <v>70</v>
      </c>
      <c r="AS1304">
        <v>201</v>
      </c>
      <c r="AT1304" t="s">
        <v>71</v>
      </c>
      <c r="AU1304">
        <v>-13.32</v>
      </c>
      <c r="AV1304">
        <v>-35.17</v>
      </c>
      <c r="AW1304" t="s">
        <v>72</v>
      </c>
      <c r="AX1304">
        <v>202</v>
      </c>
      <c r="AY1304" t="s">
        <v>71</v>
      </c>
      <c r="AZ1304">
        <v>-19.57</v>
      </c>
      <c r="BA1304">
        <v>-51.75</v>
      </c>
      <c r="BB1304" t="s">
        <v>73</v>
      </c>
    </row>
    <row r="1305" spans="1:54" x14ac:dyDescent="0.4">
      <c r="A1305">
        <v>931425</v>
      </c>
      <c r="D1305" t="s">
        <v>376</v>
      </c>
      <c r="E1305" t="s">
        <v>153</v>
      </c>
      <c r="G1305">
        <v>1</v>
      </c>
      <c r="H1305" t="s">
        <v>56</v>
      </c>
      <c r="I1305" t="s">
        <v>57</v>
      </c>
      <c r="K1305" t="s">
        <v>355</v>
      </c>
      <c r="L1305" t="s">
        <v>826</v>
      </c>
      <c r="M1305" t="s">
        <v>59</v>
      </c>
      <c r="P1305" t="s">
        <v>111</v>
      </c>
      <c r="R1305" t="s">
        <v>112</v>
      </c>
      <c r="S1305" t="s">
        <v>61</v>
      </c>
      <c r="T1305">
        <v>242</v>
      </c>
      <c r="U1305">
        <v>237</v>
      </c>
      <c r="V1305">
        <f>(T1305+U1305)/2</f>
        <v>239.5</v>
      </c>
      <c r="W1305">
        <f>T1305-U1305</f>
        <v>5</v>
      </c>
      <c r="X1305">
        <v>104.666664</v>
      </c>
      <c r="Y1305">
        <v>25.083331999999999</v>
      </c>
      <c r="Z1305" t="s">
        <v>132</v>
      </c>
      <c r="AA1305" t="s">
        <v>186</v>
      </c>
      <c r="AB1305" t="s">
        <v>371</v>
      </c>
      <c r="AC1305" t="s">
        <v>1578</v>
      </c>
      <c r="AD1305" t="s">
        <v>1367</v>
      </c>
      <c r="AF1305" t="s">
        <v>1369</v>
      </c>
      <c r="AH1305" t="s">
        <v>65</v>
      </c>
      <c r="AI1305" t="s">
        <v>626</v>
      </c>
      <c r="AJ1305">
        <v>2007</v>
      </c>
      <c r="AK1305" t="s">
        <v>1579</v>
      </c>
      <c r="AM1305" t="s">
        <v>1578</v>
      </c>
      <c r="AN1305" t="s">
        <v>94</v>
      </c>
      <c r="AO1305" t="s">
        <v>106</v>
      </c>
      <c r="AP1305" t="s">
        <v>69</v>
      </c>
      <c r="AQ1305" t="s">
        <v>1580</v>
      </c>
      <c r="AR1305" t="s">
        <v>70</v>
      </c>
      <c r="AS1305">
        <v>611</v>
      </c>
      <c r="AT1305" t="s">
        <v>71</v>
      </c>
      <c r="AU1305">
        <v>108.16</v>
      </c>
      <c r="AV1305">
        <v>-8</v>
      </c>
      <c r="AW1305" t="s">
        <v>72</v>
      </c>
      <c r="AX1305">
        <v>611</v>
      </c>
      <c r="AY1305" t="s">
        <v>71</v>
      </c>
      <c r="AZ1305">
        <v>94</v>
      </c>
      <c r="BA1305">
        <v>16.149999999999999</v>
      </c>
      <c r="BB1305" t="s">
        <v>73</v>
      </c>
    </row>
    <row r="1306" spans="1:54" x14ac:dyDescent="0.4">
      <c r="A1306">
        <v>931425</v>
      </c>
      <c r="D1306" t="s">
        <v>376</v>
      </c>
      <c r="E1306" t="s">
        <v>153</v>
      </c>
      <c r="G1306">
        <v>1</v>
      </c>
      <c r="H1306" t="s">
        <v>56</v>
      </c>
      <c r="I1306" t="s">
        <v>57</v>
      </c>
      <c r="K1306" t="s">
        <v>355</v>
      </c>
      <c r="L1306" t="s">
        <v>826</v>
      </c>
      <c r="M1306" t="s">
        <v>59</v>
      </c>
      <c r="P1306" t="s">
        <v>111</v>
      </c>
      <c r="R1306" t="s">
        <v>112</v>
      </c>
      <c r="S1306" t="s">
        <v>61</v>
      </c>
      <c r="T1306">
        <v>242</v>
      </c>
      <c r="U1306">
        <v>237</v>
      </c>
      <c r="V1306">
        <f>(T1306+U1306)/2</f>
        <v>239.5</v>
      </c>
      <c r="W1306">
        <f>T1306-U1306</f>
        <v>5</v>
      </c>
      <c r="X1306">
        <v>104.666664</v>
      </c>
      <c r="Y1306">
        <v>25.083331999999999</v>
      </c>
      <c r="Z1306" t="s">
        <v>132</v>
      </c>
      <c r="AA1306" t="s">
        <v>186</v>
      </c>
      <c r="AB1306" t="s">
        <v>371</v>
      </c>
      <c r="AC1306" t="s">
        <v>1578</v>
      </c>
      <c r="AD1306" t="s">
        <v>1367</v>
      </c>
      <c r="AF1306" t="s">
        <v>1369</v>
      </c>
      <c r="AH1306" t="s">
        <v>65</v>
      </c>
      <c r="AI1306" t="s">
        <v>626</v>
      </c>
      <c r="AJ1306">
        <v>2007</v>
      </c>
      <c r="AK1306" t="s">
        <v>1579</v>
      </c>
      <c r="AM1306" t="s">
        <v>1578</v>
      </c>
      <c r="AN1306" t="s">
        <v>94</v>
      </c>
      <c r="AO1306" t="s">
        <v>106</v>
      </c>
      <c r="AP1306" t="s">
        <v>69</v>
      </c>
      <c r="AQ1306" t="s">
        <v>1580</v>
      </c>
      <c r="AR1306" t="s">
        <v>70</v>
      </c>
      <c r="AS1306">
        <v>611</v>
      </c>
      <c r="AT1306" t="s">
        <v>71</v>
      </c>
      <c r="AU1306">
        <v>108.16</v>
      </c>
      <c r="AV1306">
        <v>-8</v>
      </c>
      <c r="AW1306" t="s">
        <v>72</v>
      </c>
      <c r="AX1306">
        <v>611</v>
      </c>
      <c r="AY1306" t="s">
        <v>71</v>
      </c>
      <c r="AZ1306">
        <v>94</v>
      </c>
      <c r="BA1306">
        <v>16.149999999999999</v>
      </c>
      <c r="BB1306" t="s">
        <v>73</v>
      </c>
    </row>
    <row r="1307" spans="1:54" x14ac:dyDescent="0.4">
      <c r="A1307">
        <v>931597</v>
      </c>
      <c r="D1307" t="s">
        <v>293</v>
      </c>
      <c r="I1307" t="s">
        <v>57</v>
      </c>
      <c r="K1307" t="s">
        <v>355</v>
      </c>
      <c r="L1307" t="s">
        <v>451</v>
      </c>
      <c r="M1307" t="s">
        <v>59</v>
      </c>
      <c r="N1307" t="s">
        <v>97</v>
      </c>
      <c r="O1307" t="s">
        <v>179</v>
      </c>
      <c r="P1307" t="s">
        <v>111</v>
      </c>
      <c r="R1307" t="s">
        <v>112</v>
      </c>
      <c r="S1307" t="s">
        <v>61</v>
      </c>
      <c r="T1307">
        <v>242</v>
      </c>
      <c r="U1307">
        <v>237</v>
      </c>
      <c r="V1307">
        <f>(T1307+U1307)/2</f>
        <v>239.5</v>
      </c>
      <c r="W1307">
        <f>T1307-U1307</f>
        <v>5</v>
      </c>
      <c r="X1307">
        <v>8.9499999999999993</v>
      </c>
      <c r="Y1307">
        <v>45.900002000000001</v>
      </c>
      <c r="Z1307" t="s">
        <v>452</v>
      </c>
      <c r="AA1307" t="s">
        <v>133</v>
      </c>
      <c r="AB1307" t="s">
        <v>833</v>
      </c>
      <c r="AD1307" t="s">
        <v>1581</v>
      </c>
      <c r="AF1307" t="s">
        <v>1582</v>
      </c>
      <c r="AH1307" t="s">
        <v>65</v>
      </c>
      <c r="AI1307" t="s">
        <v>1264</v>
      </c>
      <c r="AJ1307">
        <v>2005</v>
      </c>
      <c r="AK1307" t="s">
        <v>1583</v>
      </c>
      <c r="AM1307" t="s">
        <v>848</v>
      </c>
      <c r="AN1307" t="s">
        <v>121</v>
      </c>
      <c r="AO1307" t="s">
        <v>106</v>
      </c>
      <c r="AP1307" t="s">
        <v>95</v>
      </c>
      <c r="AQ1307" t="s">
        <v>1584</v>
      </c>
      <c r="AR1307" t="s">
        <v>70</v>
      </c>
      <c r="AS1307">
        <v>307</v>
      </c>
      <c r="AT1307" t="s">
        <v>71</v>
      </c>
      <c r="AU1307">
        <v>33.630000000000003</v>
      </c>
      <c r="AV1307">
        <v>18.02</v>
      </c>
      <c r="AW1307" t="s">
        <v>72</v>
      </c>
      <c r="AX1307">
        <v>307</v>
      </c>
      <c r="AY1307" t="s">
        <v>71</v>
      </c>
      <c r="AZ1307">
        <v>20.6</v>
      </c>
      <c r="BA1307">
        <v>7.95</v>
      </c>
      <c r="BB1307" t="s">
        <v>73</v>
      </c>
    </row>
    <row r="1308" spans="1:54" x14ac:dyDescent="0.4">
      <c r="A1308">
        <v>931662</v>
      </c>
      <c r="D1308" t="s">
        <v>54</v>
      </c>
      <c r="G1308">
        <v>1</v>
      </c>
      <c r="H1308" t="s">
        <v>228</v>
      </c>
      <c r="I1308" t="s">
        <v>57</v>
      </c>
      <c r="K1308" t="s">
        <v>355</v>
      </c>
      <c r="L1308" t="s">
        <v>451</v>
      </c>
      <c r="M1308" t="s">
        <v>59</v>
      </c>
      <c r="N1308" t="s">
        <v>97</v>
      </c>
      <c r="O1308" t="s">
        <v>179</v>
      </c>
      <c r="P1308" t="s">
        <v>111</v>
      </c>
      <c r="R1308" t="s">
        <v>112</v>
      </c>
      <c r="S1308" t="s">
        <v>61</v>
      </c>
      <c r="T1308">
        <v>242</v>
      </c>
      <c r="U1308">
        <v>237</v>
      </c>
      <c r="V1308">
        <f>(T1308+U1308)/2</f>
        <v>239.5</v>
      </c>
      <c r="W1308">
        <f>T1308-U1308</f>
        <v>5</v>
      </c>
      <c r="X1308">
        <v>9.7711109999999994</v>
      </c>
      <c r="Y1308">
        <v>49.038891</v>
      </c>
      <c r="Z1308" t="s">
        <v>99</v>
      </c>
      <c r="AA1308" t="s">
        <v>128</v>
      </c>
      <c r="AB1308" t="s">
        <v>129</v>
      </c>
      <c r="AD1308" t="s">
        <v>390</v>
      </c>
      <c r="AE1308" t="s">
        <v>130</v>
      </c>
      <c r="AF1308" t="s">
        <v>391</v>
      </c>
      <c r="AH1308" t="s">
        <v>11</v>
      </c>
      <c r="AI1308" t="s">
        <v>184</v>
      </c>
      <c r="AJ1308">
        <v>2001</v>
      </c>
      <c r="AK1308" t="s">
        <v>393</v>
      </c>
      <c r="AM1308" t="s">
        <v>394</v>
      </c>
      <c r="AN1308" t="s">
        <v>94</v>
      </c>
      <c r="AO1308">
        <v>5</v>
      </c>
      <c r="AP1308" t="s">
        <v>95</v>
      </c>
      <c r="AQ1308" t="s">
        <v>395</v>
      </c>
      <c r="AR1308" t="s">
        <v>70</v>
      </c>
      <c r="AS1308">
        <v>305</v>
      </c>
      <c r="AT1308" t="s">
        <v>71</v>
      </c>
      <c r="AU1308">
        <v>28.12</v>
      </c>
      <c r="AV1308">
        <v>28.71</v>
      </c>
      <c r="AW1308" t="s">
        <v>72</v>
      </c>
      <c r="AX1308">
        <v>305</v>
      </c>
      <c r="AY1308" t="s">
        <v>71</v>
      </c>
      <c r="AZ1308">
        <v>17.82</v>
      </c>
      <c r="BA1308">
        <v>15.3</v>
      </c>
      <c r="BB1308" t="s">
        <v>73</v>
      </c>
    </row>
    <row r="1309" spans="1:54" x14ac:dyDescent="0.4">
      <c r="A1309">
        <v>933819</v>
      </c>
      <c r="D1309" t="s">
        <v>54</v>
      </c>
      <c r="E1309" t="s">
        <v>55</v>
      </c>
      <c r="F1309" t="s">
        <v>294</v>
      </c>
      <c r="G1309">
        <v>1</v>
      </c>
      <c r="H1309" t="s">
        <v>56</v>
      </c>
      <c r="I1309" t="s">
        <v>57</v>
      </c>
      <c r="K1309" t="s">
        <v>102</v>
      </c>
      <c r="L1309" t="s">
        <v>1595</v>
      </c>
      <c r="M1309" t="s">
        <v>59</v>
      </c>
      <c r="O1309" t="s">
        <v>76</v>
      </c>
      <c r="P1309" t="s">
        <v>111</v>
      </c>
      <c r="R1309" t="s">
        <v>112</v>
      </c>
      <c r="S1309" t="s">
        <v>61</v>
      </c>
      <c r="T1309">
        <v>242</v>
      </c>
      <c r="U1309">
        <v>237</v>
      </c>
      <c r="V1309">
        <f>(T1309+U1309)/2</f>
        <v>239.5</v>
      </c>
      <c r="W1309">
        <f>T1309-U1309</f>
        <v>5</v>
      </c>
      <c r="X1309">
        <v>-53.368609999999997</v>
      </c>
      <c r="Y1309">
        <v>-29.627222</v>
      </c>
      <c r="Z1309" t="s">
        <v>354</v>
      </c>
      <c r="AA1309" t="s">
        <v>367</v>
      </c>
      <c r="AB1309" t="s">
        <v>368</v>
      </c>
      <c r="AD1309" t="s">
        <v>382</v>
      </c>
      <c r="AE1309" t="s">
        <v>369</v>
      </c>
      <c r="AF1309" t="s">
        <v>383</v>
      </c>
      <c r="AG1309" t="s">
        <v>385</v>
      </c>
      <c r="AH1309" t="s">
        <v>65</v>
      </c>
      <c r="AI1309" t="s">
        <v>1596</v>
      </c>
      <c r="AJ1309">
        <v>2011</v>
      </c>
      <c r="AK1309" t="s">
        <v>1597</v>
      </c>
      <c r="AM1309" t="s">
        <v>1598</v>
      </c>
      <c r="AN1309" t="s">
        <v>67</v>
      </c>
      <c r="AO1309" t="s">
        <v>68</v>
      </c>
      <c r="AP1309" t="s">
        <v>95</v>
      </c>
      <c r="AQ1309" t="s">
        <v>1599</v>
      </c>
      <c r="AR1309" t="s">
        <v>70</v>
      </c>
      <c r="AS1309">
        <v>201</v>
      </c>
      <c r="AT1309" t="s">
        <v>71</v>
      </c>
      <c r="AU1309">
        <v>-12.26</v>
      </c>
      <c r="AV1309">
        <v>-35.15</v>
      </c>
      <c r="AW1309" t="s">
        <v>72</v>
      </c>
      <c r="AX1309">
        <v>202</v>
      </c>
      <c r="AY1309" t="s">
        <v>71</v>
      </c>
      <c r="AZ1309">
        <v>-18.170000000000002</v>
      </c>
      <c r="BA1309">
        <v>-51.71</v>
      </c>
      <c r="BB1309" t="s">
        <v>73</v>
      </c>
    </row>
    <row r="1310" spans="1:54" x14ac:dyDescent="0.4">
      <c r="A1310">
        <v>933819</v>
      </c>
      <c r="D1310" t="s">
        <v>54</v>
      </c>
      <c r="E1310" t="s">
        <v>55</v>
      </c>
      <c r="F1310" t="s">
        <v>294</v>
      </c>
      <c r="G1310">
        <v>1</v>
      </c>
      <c r="H1310" t="s">
        <v>56</v>
      </c>
      <c r="I1310" t="s">
        <v>57</v>
      </c>
      <c r="K1310" t="s">
        <v>102</v>
      </c>
      <c r="L1310" t="s">
        <v>1595</v>
      </c>
      <c r="M1310" t="s">
        <v>59</v>
      </c>
      <c r="O1310" t="s">
        <v>76</v>
      </c>
      <c r="P1310" t="s">
        <v>111</v>
      </c>
      <c r="R1310" t="s">
        <v>112</v>
      </c>
      <c r="S1310" t="s">
        <v>61</v>
      </c>
      <c r="T1310">
        <v>242</v>
      </c>
      <c r="U1310">
        <v>237</v>
      </c>
      <c r="V1310">
        <f>(T1310+U1310)/2</f>
        <v>239.5</v>
      </c>
      <c r="W1310">
        <f>T1310-U1310</f>
        <v>5</v>
      </c>
      <c r="X1310">
        <v>-53.368609999999997</v>
      </c>
      <c r="Y1310">
        <v>-29.627222</v>
      </c>
      <c r="Z1310" t="s">
        <v>354</v>
      </c>
      <c r="AA1310" t="s">
        <v>367</v>
      </c>
      <c r="AB1310" t="s">
        <v>368</v>
      </c>
      <c r="AD1310" t="s">
        <v>382</v>
      </c>
      <c r="AE1310" t="s">
        <v>369</v>
      </c>
      <c r="AF1310" t="s">
        <v>383</v>
      </c>
      <c r="AG1310" t="s">
        <v>385</v>
      </c>
      <c r="AH1310" t="s">
        <v>65</v>
      </c>
      <c r="AI1310" t="s">
        <v>1596</v>
      </c>
      <c r="AJ1310">
        <v>2011</v>
      </c>
      <c r="AK1310" t="s">
        <v>1597</v>
      </c>
      <c r="AM1310" t="s">
        <v>1598</v>
      </c>
      <c r="AN1310" t="s">
        <v>67</v>
      </c>
      <c r="AO1310" t="s">
        <v>68</v>
      </c>
      <c r="AP1310" t="s">
        <v>95</v>
      </c>
      <c r="AQ1310" t="s">
        <v>1599</v>
      </c>
      <c r="AR1310" t="s">
        <v>70</v>
      </c>
      <c r="AS1310">
        <v>201</v>
      </c>
      <c r="AT1310" t="s">
        <v>71</v>
      </c>
      <c r="AU1310">
        <v>-12.26</v>
      </c>
      <c r="AV1310">
        <v>-35.15</v>
      </c>
      <c r="AW1310" t="s">
        <v>72</v>
      </c>
      <c r="AX1310">
        <v>202</v>
      </c>
      <c r="AY1310" t="s">
        <v>71</v>
      </c>
      <c r="AZ1310">
        <v>-18.170000000000002</v>
      </c>
      <c r="BA1310">
        <v>-51.71</v>
      </c>
      <c r="BB1310" t="s">
        <v>73</v>
      </c>
    </row>
    <row r="1311" spans="1:54" x14ac:dyDescent="0.4">
      <c r="A1311">
        <v>933819</v>
      </c>
      <c r="D1311" t="s">
        <v>54</v>
      </c>
      <c r="E1311" t="s">
        <v>55</v>
      </c>
      <c r="F1311" t="s">
        <v>294</v>
      </c>
      <c r="G1311">
        <v>1</v>
      </c>
      <c r="H1311" t="s">
        <v>56</v>
      </c>
      <c r="I1311" t="s">
        <v>57</v>
      </c>
      <c r="K1311" t="s">
        <v>102</v>
      </c>
      <c r="L1311" t="s">
        <v>1595</v>
      </c>
      <c r="M1311" t="s">
        <v>59</v>
      </c>
      <c r="O1311" t="s">
        <v>76</v>
      </c>
      <c r="P1311" t="s">
        <v>111</v>
      </c>
      <c r="R1311" t="s">
        <v>112</v>
      </c>
      <c r="S1311" t="s">
        <v>61</v>
      </c>
      <c r="T1311">
        <v>242</v>
      </c>
      <c r="U1311">
        <v>237</v>
      </c>
      <c r="V1311">
        <f>(T1311+U1311)/2</f>
        <v>239.5</v>
      </c>
      <c r="W1311">
        <f>T1311-U1311</f>
        <v>5</v>
      </c>
      <c r="X1311">
        <v>-53.368609999999997</v>
      </c>
      <c r="Y1311">
        <v>-29.627222</v>
      </c>
      <c r="Z1311" t="s">
        <v>354</v>
      </c>
      <c r="AA1311" t="s">
        <v>367</v>
      </c>
      <c r="AB1311" t="s">
        <v>368</v>
      </c>
      <c r="AD1311" t="s">
        <v>382</v>
      </c>
      <c r="AE1311" t="s">
        <v>369</v>
      </c>
      <c r="AF1311" t="s">
        <v>383</v>
      </c>
      <c r="AG1311" t="s">
        <v>385</v>
      </c>
      <c r="AH1311" t="s">
        <v>65</v>
      </c>
      <c r="AI1311" t="s">
        <v>1596</v>
      </c>
      <c r="AJ1311">
        <v>2011</v>
      </c>
      <c r="AK1311" t="s">
        <v>1597</v>
      </c>
      <c r="AM1311" t="s">
        <v>1598</v>
      </c>
      <c r="AN1311" t="s">
        <v>67</v>
      </c>
      <c r="AO1311" t="s">
        <v>68</v>
      </c>
      <c r="AP1311" t="s">
        <v>95</v>
      </c>
      <c r="AQ1311" t="s">
        <v>1599</v>
      </c>
      <c r="AR1311" t="s">
        <v>70</v>
      </c>
      <c r="AS1311">
        <v>201</v>
      </c>
      <c r="AT1311" t="s">
        <v>71</v>
      </c>
      <c r="AU1311">
        <v>-12.26</v>
      </c>
      <c r="AV1311">
        <v>-35.15</v>
      </c>
      <c r="AW1311" t="s">
        <v>72</v>
      </c>
      <c r="AX1311">
        <v>202</v>
      </c>
      <c r="AY1311" t="s">
        <v>71</v>
      </c>
      <c r="AZ1311">
        <v>-18.170000000000002</v>
      </c>
      <c r="BA1311">
        <v>-51.71</v>
      </c>
      <c r="BB1311" t="s">
        <v>73</v>
      </c>
    </row>
    <row r="1312" spans="1:54" x14ac:dyDescent="0.4">
      <c r="A1312">
        <v>933819</v>
      </c>
      <c r="D1312" t="s">
        <v>54</v>
      </c>
      <c r="E1312" t="s">
        <v>55</v>
      </c>
      <c r="F1312" t="s">
        <v>294</v>
      </c>
      <c r="G1312">
        <v>1</v>
      </c>
      <c r="H1312" t="s">
        <v>56</v>
      </c>
      <c r="I1312" t="s">
        <v>57</v>
      </c>
      <c r="K1312" t="s">
        <v>102</v>
      </c>
      <c r="L1312" t="s">
        <v>1595</v>
      </c>
      <c r="M1312" t="s">
        <v>59</v>
      </c>
      <c r="O1312" t="s">
        <v>76</v>
      </c>
      <c r="P1312" t="s">
        <v>111</v>
      </c>
      <c r="R1312" t="s">
        <v>112</v>
      </c>
      <c r="S1312" t="s">
        <v>61</v>
      </c>
      <c r="T1312">
        <v>242</v>
      </c>
      <c r="U1312">
        <v>237</v>
      </c>
      <c r="V1312">
        <f>(T1312+U1312)/2</f>
        <v>239.5</v>
      </c>
      <c r="W1312">
        <f>T1312-U1312</f>
        <v>5</v>
      </c>
      <c r="X1312">
        <v>-53.368609999999997</v>
      </c>
      <c r="Y1312">
        <v>-29.627222</v>
      </c>
      <c r="Z1312" t="s">
        <v>354</v>
      </c>
      <c r="AA1312" t="s">
        <v>367</v>
      </c>
      <c r="AB1312" t="s">
        <v>368</v>
      </c>
      <c r="AD1312" t="s">
        <v>382</v>
      </c>
      <c r="AE1312" t="s">
        <v>369</v>
      </c>
      <c r="AF1312" t="s">
        <v>383</v>
      </c>
      <c r="AG1312" t="s">
        <v>385</v>
      </c>
      <c r="AH1312" t="s">
        <v>65</v>
      </c>
      <c r="AI1312" t="s">
        <v>1596</v>
      </c>
      <c r="AJ1312">
        <v>2011</v>
      </c>
      <c r="AK1312" t="s">
        <v>1597</v>
      </c>
      <c r="AM1312" t="s">
        <v>1598</v>
      </c>
      <c r="AN1312" t="s">
        <v>67</v>
      </c>
      <c r="AO1312" t="s">
        <v>68</v>
      </c>
      <c r="AP1312" t="s">
        <v>95</v>
      </c>
      <c r="AQ1312" t="s">
        <v>1599</v>
      </c>
      <c r="AR1312" t="s">
        <v>70</v>
      </c>
      <c r="AS1312">
        <v>201</v>
      </c>
      <c r="AT1312" t="s">
        <v>71</v>
      </c>
      <c r="AU1312">
        <v>-12.26</v>
      </c>
      <c r="AV1312">
        <v>-35.15</v>
      </c>
      <c r="AW1312" t="s">
        <v>72</v>
      </c>
      <c r="AX1312">
        <v>202</v>
      </c>
      <c r="AY1312" t="s">
        <v>71</v>
      </c>
      <c r="AZ1312">
        <v>-18.170000000000002</v>
      </c>
      <c r="BA1312">
        <v>-51.71</v>
      </c>
      <c r="BB1312" t="s">
        <v>73</v>
      </c>
    </row>
    <row r="1313" spans="1:54" x14ac:dyDescent="0.4">
      <c r="A1313">
        <v>933819</v>
      </c>
      <c r="D1313" t="s">
        <v>54</v>
      </c>
      <c r="E1313" t="s">
        <v>55</v>
      </c>
      <c r="F1313" t="s">
        <v>294</v>
      </c>
      <c r="G1313">
        <v>1</v>
      </c>
      <c r="H1313" t="s">
        <v>56</v>
      </c>
      <c r="I1313" t="s">
        <v>57</v>
      </c>
      <c r="K1313" t="s">
        <v>102</v>
      </c>
      <c r="L1313" t="s">
        <v>1595</v>
      </c>
      <c r="M1313" t="s">
        <v>59</v>
      </c>
      <c r="O1313" t="s">
        <v>76</v>
      </c>
      <c r="P1313" t="s">
        <v>111</v>
      </c>
      <c r="R1313" t="s">
        <v>112</v>
      </c>
      <c r="S1313" t="s">
        <v>61</v>
      </c>
      <c r="T1313">
        <v>242</v>
      </c>
      <c r="U1313">
        <v>237</v>
      </c>
      <c r="V1313">
        <f>(T1313+U1313)/2</f>
        <v>239.5</v>
      </c>
      <c r="W1313">
        <f>T1313-U1313</f>
        <v>5</v>
      </c>
      <c r="X1313">
        <v>-53.368609999999997</v>
      </c>
      <c r="Y1313">
        <v>-29.627222</v>
      </c>
      <c r="Z1313" t="s">
        <v>354</v>
      </c>
      <c r="AA1313" t="s">
        <v>367</v>
      </c>
      <c r="AB1313" t="s">
        <v>368</v>
      </c>
      <c r="AD1313" t="s">
        <v>382</v>
      </c>
      <c r="AE1313" t="s">
        <v>369</v>
      </c>
      <c r="AF1313" t="s">
        <v>383</v>
      </c>
      <c r="AG1313" t="s">
        <v>385</v>
      </c>
      <c r="AH1313" t="s">
        <v>65</v>
      </c>
      <c r="AI1313" t="s">
        <v>1596</v>
      </c>
      <c r="AJ1313">
        <v>2011</v>
      </c>
      <c r="AK1313" t="s">
        <v>1597</v>
      </c>
      <c r="AM1313" t="s">
        <v>1598</v>
      </c>
      <c r="AN1313" t="s">
        <v>67</v>
      </c>
      <c r="AO1313" t="s">
        <v>68</v>
      </c>
      <c r="AP1313" t="s">
        <v>95</v>
      </c>
      <c r="AQ1313" t="s">
        <v>1599</v>
      </c>
      <c r="AR1313" t="s">
        <v>70</v>
      </c>
      <c r="AS1313">
        <v>201</v>
      </c>
      <c r="AT1313" t="s">
        <v>71</v>
      </c>
      <c r="AU1313">
        <v>-12.26</v>
      </c>
      <c r="AV1313">
        <v>-35.15</v>
      </c>
      <c r="AW1313" t="s">
        <v>72</v>
      </c>
      <c r="AX1313">
        <v>202</v>
      </c>
      <c r="AY1313" t="s">
        <v>71</v>
      </c>
      <c r="AZ1313">
        <v>-18.170000000000002</v>
      </c>
      <c r="BA1313">
        <v>-51.71</v>
      </c>
      <c r="BB1313" t="s">
        <v>73</v>
      </c>
    </row>
    <row r="1314" spans="1:54" x14ac:dyDescent="0.4">
      <c r="A1314">
        <v>933819</v>
      </c>
      <c r="D1314" t="s">
        <v>54</v>
      </c>
      <c r="E1314" t="s">
        <v>55</v>
      </c>
      <c r="F1314" t="s">
        <v>294</v>
      </c>
      <c r="G1314">
        <v>1</v>
      </c>
      <c r="H1314" t="s">
        <v>56</v>
      </c>
      <c r="I1314" t="s">
        <v>57</v>
      </c>
      <c r="K1314" t="s">
        <v>102</v>
      </c>
      <c r="L1314" t="s">
        <v>1595</v>
      </c>
      <c r="M1314" t="s">
        <v>59</v>
      </c>
      <c r="O1314" t="s">
        <v>76</v>
      </c>
      <c r="P1314" t="s">
        <v>111</v>
      </c>
      <c r="R1314" t="s">
        <v>112</v>
      </c>
      <c r="S1314" t="s">
        <v>61</v>
      </c>
      <c r="T1314">
        <v>242</v>
      </c>
      <c r="U1314">
        <v>237</v>
      </c>
      <c r="V1314">
        <f>(T1314+U1314)/2</f>
        <v>239.5</v>
      </c>
      <c r="W1314">
        <f>T1314-U1314</f>
        <v>5</v>
      </c>
      <c r="X1314">
        <v>-53.368609999999997</v>
      </c>
      <c r="Y1314">
        <v>-29.627222</v>
      </c>
      <c r="Z1314" t="s">
        <v>354</v>
      </c>
      <c r="AA1314" t="s">
        <v>367</v>
      </c>
      <c r="AB1314" t="s">
        <v>368</v>
      </c>
      <c r="AD1314" t="s">
        <v>382</v>
      </c>
      <c r="AE1314" t="s">
        <v>369</v>
      </c>
      <c r="AF1314" t="s">
        <v>383</v>
      </c>
      <c r="AG1314" t="s">
        <v>385</v>
      </c>
      <c r="AH1314" t="s">
        <v>65</v>
      </c>
      <c r="AI1314" t="s">
        <v>1596</v>
      </c>
      <c r="AJ1314">
        <v>2011</v>
      </c>
      <c r="AK1314" t="s">
        <v>1597</v>
      </c>
      <c r="AM1314" t="s">
        <v>1598</v>
      </c>
      <c r="AN1314" t="s">
        <v>67</v>
      </c>
      <c r="AO1314" t="s">
        <v>68</v>
      </c>
      <c r="AP1314" t="s">
        <v>95</v>
      </c>
      <c r="AQ1314" t="s">
        <v>1599</v>
      </c>
      <c r="AR1314" t="s">
        <v>70</v>
      </c>
      <c r="AS1314">
        <v>201</v>
      </c>
      <c r="AT1314" t="s">
        <v>71</v>
      </c>
      <c r="AU1314">
        <v>-12.26</v>
      </c>
      <c r="AV1314">
        <v>-35.15</v>
      </c>
      <c r="AW1314" t="s">
        <v>72</v>
      </c>
      <c r="AX1314">
        <v>202</v>
      </c>
      <c r="AY1314" t="s">
        <v>71</v>
      </c>
      <c r="AZ1314">
        <v>-18.170000000000002</v>
      </c>
      <c r="BA1314">
        <v>-51.71</v>
      </c>
      <c r="BB1314" t="s">
        <v>73</v>
      </c>
    </row>
    <row r="1315" spans="1:54" x14ac:dyDescent="0.4">
      <c r="A1315">
        <v>933819</v>
      </c>
      <c r="D1315" t="s">
        <v>54</v>
      </c>
      <c r="E1315" t="s">
        <v>55</v>
      </c>
      <c r="F1315" t="s">
        <v>294</v>
      </c>
      <c r="G1315">
        <v>1</v>
      </c>
      <c r="H1315" t="s">
        <v>56</v>
      </c>
      <c r="I1315" t="s">
        <v>57</v>
      </c>
      <c r="K1315" t="s">
        <v>102</v>
      </c>
      <c r="L1315" t="s">
        <v>1595</v>
      </c>
      <c r="M1315" t="s">
        <v>59</v>
      </c>
      <c r="O1315" t="s">
        <v>76</v>
      </c>
      <c r="P1315" t="s">
        <v>111</v>
      </c>
      <c r="R1315" t="s">
        <v>112</v>
      </c>
      <c r="S1315" t="s">
        <v>61</v>
      </c>
      <c r="T1315">
        <v>242</v>
      </c>
      <c r="U1315">
        <v>237</v>
      </c>
      <c r="V1315">
        <f>(T1315+U1315)/2</f>
        <v>239.5</v>
      </c>
      <c r="W1315">
        <f>T1315-U1315</f>
        <v>5</v>
      </c>
      <c r="X1315">
        <v>-53.368609999999997</v>
      </c>
      <c r="Y1315">
        <v>-29.627222</v>
      </c>
      <c r="Z1315" t="s">
        <v>354</v>
      </c>
      <c r="AA1315" t="s">
        <v>367</v>
      </c>
      <c r="AB1315" t="s">
        <v>368</v>
      </c>
      <c r="AD1315" t="s">
        <v>382</v>
      </c>
      <c r="AE1315" t="s">
        <v>369</v>
      </c>
      <c r="AF1315" t="s">
        <v>383</v>
      </c>
      <c r="AG1315" t="s">
        <v>385</v>
      </c>
      <c r="AH1315" t="s">
        <v>65</v>
      </c>
      <c r="AI1315" t="s">
        <v>1596</v>
      </c>
      <c r="AJ1315">
        <v>2011</v>
      </c>
      <c r="AK1315" t="s">
        <v>1597</v>
      </c>
      <c r="AM1315" t="s">
        <v>1598</v>
      </c>
      <c r="AN1315" t="s">
        <v>67</v>
      </c>
      <c r="AO1315" t="s">
        <v>68</v>
      </c>
      <c r="AP1315" t="s">
        <v>95</v>
      </c>
      <c r="AQ1315" t="s">
        <v>1599</v>
      </c>
      <c r="AR1315" t="s">
        <v>70</v>
      </c>
      <c r="AS1315">
        <v>201</v>
      </c>
      <c r="AT1315" t="s">
        <v>71</v>
      </c>
      <c r="AU1315">
        <v>-12.26</v>
      </c>
      <c r="AV1315">
        <v>-35.15</v>
      </c>
      <c r="AW1315" t="s">
        <v>72</v>
      </c>
      <c r="AX1315">
        <v>202</v>
      </c>
      <c r="AY1315" t="s">
        <v>71</v>
      </c>
      <c r="AZ1315">
        <v>-18.170000000000002</v>
      </c>
      <c r="BA1315">
        <v>-51.71</v>
      </c>
      <c r="BB1315" t="s">
        <v>73</v>
      </c>
    </row>
    <row r="1316" spans="1:54" x14ac:dyDescent="0.4">
      <c r="A1316">
        <v>933819</v>
      </c>
      <c r="D1316" t="s">
        <v>54</v>
      </c>
      <c r="E1316" t="s">
        <v>55</v>
      </c>
      <c r="F1316" t="s">
        <v>294</v>
      </c>
      <c r="G1316">
        <v>1</v>
      </c>
      <c r="H1316" t="s">
        <v>56</v>
      </c>
      <c r="I1316" t="s">
        <v>57</v>
      </c>
      <c r="K1316" t="s">
        <v>102</v>
      </c>
      <c r="L1316" t="s">
        <v>1595</v>
      </c>
      <c r="M1316" t="s">
        <v>59</v>
      </c>
      <c r="O1316" t="s">
        <v>76</v>
      </c>
      <c r="P1316" t="s">
        <v>111</v>
      </c>
      <c r="R1316" t="s">
        <v>112</v>
      </c>
      <c r="S1316" t="s">
        <v>61</v>
      </c>
      <c r="T1316">
        <v>242</v>
      </c>
      <c r="U1316">
        <v>237</v>
      </c>
      <c r="V1316">
        <f>(T1316+U1316)/2</f>
        <v>239.5</v>
      </c>
      <c r="W1316">
        <f>T1316-U1316</f>
        <v>5</v>
      </c>
      <c r="X1316">
        <v>-53.368609999999997</v>
      </c>
      <c r="Y1316">
        <v>-29.627222</v>
      </c>
      <c r="Z1316" t="s">
        <v>354</v>
      </c>
      <c r="AA1316" t="s">
        <v>367</v>
      </c>
      <c r="AB1316" t="s">
        <v>368</v>
      </c>
      <c r="AD1316" t="s">
        <v>382</v>
      </c>
      <c r="AE1316" t="s">
        <v>369</v>
      </c>
      <c r="AF1316" t="s">
        <v>383</v>
      </c>
      <c r="AG1316" t="s">
        <v>385</v>
      </c>
      <c r="AH1316" t="s">
        <v>65</v>
      </c>
      <c r="AI1316" t="s">
        <v>1596</v>
      </c>
      <c r="AJ1316">
        <v>2011</v>
      </c>
      <c r="AK1316" t="s">
        <v>1597</v>
      </c>
      <c r="AM1316" t="s">
        <v>1598</v>
      </c>
      <c r="AN1316" t="s">
        <v>67</v>
      </c>
      <c r="AO1316" t="s">
        <v>68</v>
      </c>
      <c r="AP1316" t="s">
        <v>95</v>
      </c>
      <c r="AQ1316" t="s">
        <v>1599</v>
      </c>
      <c r="AR1316" t="s">
        <v>70</v>
      </c>
      <c r="AS1316">
        <v>201</v>
      </c>
      <c r="AT1316" t="s">
        <v>71</v>
      </c>
      <c r="AU1316">
        <v>-12.26</v>
      </c>
      <c r="AV1316">
        <v>-35.15</v>
      </c>
      <c r="AW1316" t="s">
        <v>72</v>
      </c>
      <c r="AX1316">
        <v>202</v>
      </c>
      <c r="AY1316" t="s">
        <v>71</v>
      </c>
      <c r="AZ1316">
        <v>-18.170000000000002</v>
      </c>
      <c r="BA1316">
        <v>-51.71</v>
      </c>
      <c r="BB1316" t="s">
        <v>73</v>
      </c>
    </row>
    <row r="1317" spans="1:54" x14ac:dyDescent="0.4">
      <c r="A1317">
        <v>933819</v>
      </c>
      <c r="D1317" t="s">
        <v>54</v>
      </c>
      <c r="E1317" t="s">
        <v>55</v>
      </c>
      <c r="F1317" t="s">
        <v>294</v>
      </c>
      <c r="G1317">
        <v>1</v>
      </c>
      <c r="H1317" t="s">
        <v>56</v>
      </c>
      <c r="I1317" t="s">
        <v>57</v>
      </c>
      <c r="K1317" t="s">
        <v>102</v>
      </c>
      <c r="L1317" t="s">
        <v>1595</v>
      </c>
      <c r="M1317" t="s">
        <v>59</v>
      </c>
      <c r="O1317" t="s">
        <v>76</v>
      </c>
      <c r="P1317" t="s">
        <v>111</v>
      </c>
      <c r="R1317" t="s">
        <v>112</v>
      </c>
      <c r="S1317" t="s">
        <v>61</v>
      </c>
      <c r="T1317">
        <v>242</v>
      </c>
      <c r="U1317">
        <v>237</v>
      </c>
      <c r="V1317">
        <f>(T1317+U1317)/2</f>
        <v>239.5</v>
      </c>
      <c r="W1317">
        <f>T1317-U1317</f>
        <v>5</v>
      </c>
      <c r="X1317">
        <v>-53.368609999999997</v>
      </c>
      <c r="Y1317">
        <v>-29.627222</v>
      </c>
      <c r="Z1317" t="s">
        <v>354</v>
      </c>
      <c r="AA1317" t="s">
        <v>367</v>
      </c>
      <c r="AB1317" t="s">
        <v>368</v>
      </c>
      <c r="AD1317" t="s">
        <v>382</v>
      </c>
      <c r="AE1317" t="s">
        <v>369</v>
      </c>
      <c r="AF1317" t="s">
        <v>383</v>
      </c>
      <c r="AG1317" t="s">
        <v>385</v>
      </c>
      <c r="AH1317" t="s">
        <v>65</v>
      </c>
      <c r="AI1317" t="s">
        <v>1596</v>
      </c>
      <c r="AJ1317">
        <v>2011</v>
      </c>
      <c r="AK1317" t="s">
        <v>1597</v>
      </c>
      <c r="AM1317" t="s">
        <v>1598</v>
      </c>
      <c r="AN1317" t="s">
        <v>67</v>
      </c>
      <c r="AO1317" t="s">
        <v>68</v>
      </c>
      <c r="AP1317" t="s">
        <v>95</v>
      </c>
      <c r="AQ1317" t="s">
        <v>1599</v>
      </c>
      <c r="AR1317" t="s">
        <v>70</v>
      </c>
      <c r="AS1317">
        <v>201</v>
      </c>
      <c r="AT1317" t="s">
        <v>71</v>
      </c>
      <c r="AU1317">
        <v>-12.26</v>
      </c>
      <c r="AV1317">
        <v>-35.15</v>
      </c>
      <c r="AW1317" t="s">
        <v>72</v>
      </c>
      <c r="AX1317">
        <v>202</v>
      </c>
      <c r="AY1317" t="s">
        <v>71</v>
      </c>
      <c r="AZ1317">
        <v>-18.170000000000002</v>
      </c>
      <c r="BA1317">
        <v>-51.71</v>
      </c>
      <c r="BB1317" t="s">
        <v>73</v>
      </c>
    </row>
    <row r="1318" spans="1:54" x14ac:dyDescent="0.4">
      <c r="A1318">
        <v>933820</v>
      </c>
      <c r="D1318" t="s">
        <v>54</v>
      </c>
      <c r="G1318">
        <v>1</v>
      </c>
      <c r="H1318" t="s">
        <v>56</v>
      </c>
      <c r="I1318" t="s">
        <v>57</v>
      </c>
      <c r="K1318" t="s">
        <v>102</v>
      </c>
      <c r="L1318" t="s">
        <v>1595</v>
      </c>
      <c r="M1318" t="s">
        <v>59</v>
      </c>
      <c r="O1318" t="s">
        <v>76</v>
      </c>
      <c r="P1318" t="s">
        <v>111</v>
      </c>
      <c r="R1318" t="s">
        <v>112</v>
      </c>
      <c r="S1318" t="s">
        <v>61</v>
      </c>
      <c r="T1318">
        <v>242</v>
      </c>
      <c r="U1318">
        <v>237</v>
      </c>
      <c r="V1318">
        <f>(T1318+U1318)/2</f>
        <v>239.5</v>
      </c>
      <c r="W1318">
        <f>T1318-U1318</f>
        <v>5</v>
      </c>
      <c r="X1318">
        <v>-53.367221999999998</v>
      </c>
      <c r="Y1318">
        <v>-29.626667000000001</v>
      </c>
      <c r="Z1318" t="s">
        <v>354</v>
      </c>
      <c r="AA1318" t="s">
        <v>367</v>
      </c>
      <c r="AB1318" t="s">
        <v>368</v>
      </c>
      <c r="AD1318" t="s">
        <v>382</v>
      </c>
      <c r="AE1318" t="s">
        <v>369</v>
      </c>
      <c r="AF1318" t="s">
        <v>383</v>
      </c>
      <c r="AG1318" t="s">
        <v>385</v>
      </c>
      <c r="AH1318" t="s">
        <v>65</v>
      </c>
      <c r="AI1318" t="s">
        <v>1596</v>
      </c>
      <c r="AJ1318">
        <v>2011</v>
      </c>
      <c r="AK1318" t="s">
        <v>1600</v>
      </c>
      <c r="AM1318" t="s">
        <v>1598</v>
      </c>
      <c r="AN1318" t="s">
        <v>67</v>
      </c>
      <c r="AO1318" t="s">
        <v>68</v>
      </c>
      <c r="AP1318" t="s">
        <v>69</v>
      </c>
      <c r="AQ1318" t="s">
        <v>1601</v>
      </c>
      <c r="AR1318" t="s">
        <v>70</v>
      </c>
      <c r="AS1318">
        <v>201</v>
      </c>
      <c r="AT1318" t="s">
        <v>71</v>
      </c>
      <c r="AU1318">
        <v>-12.26</v>
      </c>
      <c r="AV1318">
        <v>-35.15</v>
      </c>
      <c r="AW1318" t="s">
        <v>72</v>
      </c>
      <c r="AX1318">
        <v>202</v>
      </c>
      <c r="AY1318" t="s">
        <v>71</v>
      </c>
      <c r="AZ1318">
        <v>-18.170000000000002</v>
      </c>
      <c r="BA1318">
        <v>-51.71</v>
      </c>
      <c r="BB1318" t="s">
        <v>73</v>
      </c>
    </row>
    <row r="1319" spans="1:54" x14ac:dyDescent="0.4">
      <c r="A1319">
        <v>1071217</v>
      </c>
      <c r="D1319" t="s">
        <v>54</v>
      </c>
      <c r="G1319">
        <v>1</v>
      </c>
      <c r="H1319" t="s">
        <v>74</v>
      </c>
      <c r="I1319" t="s">
        <v>57</v>
      </c>
      <c r="K1319" t="s">
        <v>102</v>
      </c>
      <c r="L1319" t="s">
        <v>1690</v>
      </c>
      <c r="M1319" t="s">
        <v>59</v>
      </c>
      <c r="O1319" t="s">
        <v>76</v>
      </c>
      <c r="P1319" t="s">
        <v>111</v>
      </c>
      <c r="R1319" t="s">
        <v>112</v>
      </c>
      <c r="S1319" t="s">
        <v>61</v>
      </c>
      <c r="T1319">
        <v>242</v>
      </c>
      <c r="U1319">
        <v>237</v>
      </c>
      <c r="V1319">
        <f>(T1319+U1319)/2</f>
        <v>239.5</v>
      </c>
      <c r="W1319">
        <f>T1319-U1319</f>
        <v>5</v>
      </c>
      <c r="X1319">
        <v>104.254997</v>
      </c>
      <c r="Y1319">
        <v>25.674168000000002</v>
      </c>
      <c r="Z1319" t="s">
        <v>533</v>
      </c>
      <c r="AA1319" t="s">
        <v>186</v>
      </c>
      <c r="AB1319" t="s">
        <v>371</v>
      </c>
      <c r="AC1319" t="s">
        <v>1578</v>
      </c>
      <c r="AD1319" t="s">
        <v>1367</v>
      </c>
      <c r="AF1319" t="s">
        <v>1369</v>
      </c>
      <c r="AH1319" t="s">
        <v>65</v>
      </c>
      <c r="AI1319" t="s">
        <v>626</v>
      </c>
      <c r="AJ1319">
        <v>2012</v>
      </c>
      <c r="AK1319" t="s">
        <v>1688</v>
      </c>
      <c r="AN1319" t="s">
        <v>177</v>
      </c>
      <c r="AO1319" t="s">
        <v>68</v>
      </c>
      <c r="AP1319" t="s">
        <v>95</v>
      </c>
      <c r="AQ1319" t="s">
        <v>1689</v>
      </c>
      <c r="AR1319" t="s">
        <v>70</v>
      </c>
      <c r="AS1319">
        <v>611</v>
      </c>
      <c r="AT1319" t="s">
        <v>71</v>
      </c>
      <c r="AU1319">
        <v>107.79</v>
      </c>
      <c r="AV1319">
        <v>-7.4</v>
      </c>
      <c r="AW1319" t="s">
        <v>72</v>
      </c>
      <c r="AX1319">
        <v>611</v>
      </c>
      <c r="AY1319" t="s">
        <v>71</v>
      </c>
      <c r="AZ1319">
        <v>93.36</v>
      </c>
      <c r="BA1319">
        <v>16.48</v>
      </c>
      <c r="BB1319" t="s">
        <v>73</v>
      </c>
    </row>
    <row r="1320" spans="1:54" x14ac:dyDescent="0.4">
      <c r="A1320">
        <v>1106820</v>
      </c>
      <c r="D1320" t="s">
        <v>54</v>
      </c>
      <c r="I1320" t="s">
        <v>57</v>
      </c>
      <c r="K1320" t="s">
        <v>102</v>
      </c>
      <c r="L1320" t="s">
        <v>410</v>
      </c>
      <c r="M1320" t="s">
        <v>59</v>
      </c>
      <c r="P1320" t="s">
        <v>111</v>
      </c>
      <c r="R1320" t="s">
        <v>112</v>
      </c>
      <c r="S1320" t="s">
        <v>61</v>
      </c>
      <c r="T1320">
        <v>242</v>
      </c>
      <c r="U1320">
        <v>237</v>
      </c>
      <c r="V1320">
        <f>(T1320+U1320)/2</f>
        <v>239.5</v>
      </c>
      <c r="W1320">
        <f>T1320-U1320</f>
        <v>5</v>
      </c>
      <c r="X1320">
        <v>6.4059879999999998</v>
      </c>
      <c r="Y1320">
        <v>48.555827999999998</v>
      </c>
      <c r="Z1320" t="s">
        <v>268</v>
      </c>
      <c r="AA1320" t="s">
        <v>269</v>
      </c>
      <c r="AB1320" t="s">
        <v>1741</v>
      </c>
      <c r="AC1320" t="s">
        <v>1265</v>
      </c>
      <c r="AE1320" t="s">
        <v>463</v>
      </c>
      <c r="AH1320" t="s">
        <v>11</v>
      </c>
      <c r="AI1320" t="s">
        <v>335</v>
      </c>
      <c r="AJ1320">
        <v>1905</v>
      </c>
      <c r="AK1320" t="s">
        <v>1742</v>
      </c>
      <c r="AN1320" t="s">
        <v>121</v>
      </c>
      <c r="AO1320">
        <v>6</v>
      </c>
      <c r="AP1320" t="s">
        <v>95</v>
      </c>
      <c r="AQ1320" t="s">
        <v>1743</v>
      </c>
      <c r="AR1320" t="s">
        <v>70</v>
      </c>
      <c r="AS1320">
        <v>305</v>
      </c>
      <c r="AT1320" t="s">
        <v>71</v>
      </c>
      <c r="AU1320">
        <v>25.81</v>
      </c>
      <c r="AV1320">
        <v>27.7</v>
      </c>
      <c r="AW1320" t="s">
        <v>72</v>
      </c>
      <c r="AX1320">
        <v>305</v>
      </c>
      <c r="AY1320" t="s">
        <v>71</v>
      </c>
      <c r="AZ1320">
        <v>15.95</v>
      </c>
      <c r="BA1320">
        <v>13.93</v>
      </c>
      <c r="BB1320" t="s">
        <v>73</v>
      </c>
    </row>
    <row r="1321" spans="1:54" x14ac:dyDescent="0.4">
      <c r="A1321">
        <v>1127579</v>
      </c>
      <c r="D1321" t="s">
        <v>54</v>
      </c>
      <c r="G1321">
        <v>1</v>
      </c>
      <c r="H1321" t="s">
        <v>228</v>
      </c>
      <c r="I1321" t="s">
        <v>57</v>
      </c>
      <c r="K1321" t="s">
        <v>724</v>
      </c>
      <c r="L1321" t="s">
        <v>1343</v>
      </c>
      <c r="M1321" t="s">
        <v>59</v>
      </c>
      <c r="P1321" t="s">
        <v>111</v>
      </c>
      <c r="R1321" t="s">
        <v>112</v>
      </c>
      <c r="S1321" t="s">
        <v>61</v>
      </c>
      <c r="T1321">
        <v>242</v>
      </c>
      <c r="U1321">
        <v>237</v>
      </c>
      <c r="V1321">
        <f>(T1321+U1321)/2</f>
        <v>239.5</v>
      </c>
      <c r="W1321">
        <f>T1321-U1321</f>
        <v>5</v>
      </c>
      <c r="X1321">
        <v>58.616669000000002</v>
      </c>
      <c r="Y1321">
        <v>65.116669000000002</v>
      </c>
      <c r="Z1321" t="s">
        <v>99</v>
      </c>
      <c r="AA1321" t="s">
        <v>139</v>
      </c>
      <c r="AB1321" t="s">
        <v>308</v>
      </c>
      <c r="AC1321" t="s">
        <v>1752</v>
      </c>
      <c r="AD1321" t="s">
        <v>1753</v>
      </c>
      <c r="AH1321" t="s">
        <v>65</v>
      </c>
      <c r="AI1321" t="s">
        <v>300</v>
      </c>
      <c r="AJ1321">
        <v>2005</v>
      </c>
      <c r="AK1321" t="s">
        <v>1754</v>
      </c>
      <c r="AN1321" t="s">
        <v>94</v>
      </c>
      <c r="AO1321" t="s">
        <v>106</v>
      </c>
      <c r="AP1321" t="s">
        <v>95</v>
      </c>
      <c r="AR1321" t="s">
        <v>70</v>
      </c>
      <c r="AS1321">
        <v>302</v>
      </c>
      <c r="AT1321" t="s">
        <v>71</v>
      </c>
      <c r="AU1321">
        <v>49.09</v>
      </c>
      <c r="AV1321">
        <v>54.52</v>
      </c>
      <c r="AW1321" t="s">
        <v>72</v>
      </c>
      <c r="AX1321">
        <v>301</v>
      </c>
      <c r="AY1321" t="s">
        <v>71</v>
      </c>
      <c r="AZ1321">
        <v>27.17</v>
      </c>
      <c r="BA1321">
        <v>44.16</v>
      </c>
      <c r="BB1321" t="s">
        <v>73</v>
      </c>
    </row>
    <row r="1322" spans="1:54" x14ac:dyDescent="0.4">
      <c r="A1322">
        <v>1290839</v>
      </c>
      <c r="D1322" t="s">
        <v>376</v>
      </c>
      <c r="E1322" t="s">
        <v>153</v>
      </c>
      <c r="G1322">
        <v>1</v>
      </c>
      <c r="H1322" t="s">
        <v>56</v>
      </c>
      <c r="I1322" t="s">
        <v>57</v>
      </c>
      <c r="K1322" t="s">
        <v>102</v>
      </c>
      <c r="L1322" t="s">
        <v>1865</v>
      </c>
      <c r="M1322" t="s">
        <v>59</v>
      </c>
      <c r="N1322" t="s">
        <v>97</v>
      </c>
      <c r="O1322" t="s">
        <v>76</v>
      </c>
      <c r="P1322" t="s">
        <v>111</v>
      </c>
      <c r="R1322" t="s">
        <v>112</v>
      </c>
      <c r="S1322" t="s">
        <v>61</v>
      </c>
      <c r="T1322">
        <v>242</v>
      </c>
      <c r="U1322">
        <v>237</v>
      </c>
      <c r="V1322">
        <f>(T1322+U1322)/2</f>
        <v>239.5</v>
      </c>
      <c r="W1322">
        <f>T1322-U1322</f>
        <v>5</v>
      </c>
      <c r="X1322">
        <v>104.666664</v>
      </c>
      <c r="Y1322">
        <v>25.083331999999999</v>
      </c>
      <c r="Z1322" t="s">
        <v>132</v>
      </c>
      <c r="AA1322" t="s">
        <v>186</v>
      </c>
      <c r="AB1322" t="s">
        <v>371</v>
      </c>
      <c r="AC1322" t="s">
        <v>1578</v>
      </c>
      <c r="AD1322" t="s">
        <v>1367</v>
      </c>
      <c r="AF1322" t="s">
        <v>1369</v>
      </c>
      <c r="AH1322" t="s">
        <v>65</v>
      </c>
      <c r="AI1322" t="s">
        <v>151</v>
      </c>
      <c r="AJ1322">
        <v>2013</v>
      </c>
      <c r="AK1322" t="s">
        <v>1579</v>
      </c>
      <c r="AM1322" t="s">
        <v>1578</v>
      </c>
      <c r="AN1322" t="s">
        <v>94</v>
      </c>
      <c r="AO1322" t="s">
        <v>106</v>
      </c>
      <c r="AP1322" t="s">
        <v>69</v>
      </c>
      <c r="AQ1322" t="s">
        <v>1580</v>
      </c>
      <c r="AR1322" t="s">
        <v>70</v>
      </c>
      <c r="AS1322">
        <v>611</v>
      </c>
      <c r="AT1322" t="s">
        <v>71</v>
      </c>
      <c r="AU1322">
        <v>108.16</v>
      </c>
      <c r="AV1322">
        <v>-8</v>
      </c>
      <c r="AW1322" t="s">
        <v>72</v>
      </c>
      <c r="AX1322">
        <v>611</v>
      </c>
      <c r="AY1322" t="s">
        <v>71</v>
      </c>
      <c r="AZ1322">
        <v>94</v>
      </c>
      <c r="BA1322">
        <v>16.149999999999999</v>
      </c>
      <c r="BB1322" t="s">
        <v>73</v>
      </c>
    </row>
    <row r="1323" spans="1:54" x14ac:dyDescent="0.4">
      <c r="A1323">
        <v>1347723</v>
      </c>
      <c r="D1323" t="s">
        <v>376</v>
      </c>
      <c r="E1323" t="s">
        <v>153</v>
      </c>
      <c r="G1323">
        <v>1</v>
      </c>
      <c r="H1323" t="s">
        <v>56</v>
      </c>
      <c r="I1323" t="s">
        <v>57</v>
      </c>
      <c r="K1323" t="s">
        <v>102</v>
      </c>
      <c r="L1323" t="s">
        <v>1942</v>
      </c>
      <c r="M1323" t="s">
        <v>59</v>
      </c>
      <c r="P1323" t="s">
        <v>111</v>
      </c>
      <c r="R1323" t="s">
        <v>112</v>
      </c>
      <c r="S1323" t="s">
        <v>61</v>
      </c>
      <c r="T1323">
        <v>242</v>
      </c>
      <c r="U1323">
        <v>237</v>
      </c>
      <c r="V1323">
        <f>(T1323+U1323)/2</f>
        <v>239.5</v>
      </c>
      <c r="W1323">
        <f>T1323-U1323</f>
        <v>5</v>
      </c>
      <c r="X1323">
        <v>104.666664</v>
      </c>
      <c r="Y1323">
        <v>25.083331999999999</v>
      </c>
      <c r="Z1323" t="s">
        <v>132</v>
      </c>
      <c r="AA1323" t="s">
        <v>186</v>
      </c>
      <c r="AB1323" t="s">
        <v>371</v>
      </c>
      <c r="AC1323" t="s">
        <v>1578</v>
      </c>
      <c r="AD1323" t="s">
        <v>1367</v>
      </c>
      <c r="AF1323" t="s">
        <v>1369</v>
      </c>
      <c r="AH1323" t="s">
        <v>65</v>
      </c>
      <c r="AI1323" t="s">
        <v>626</v>
      </c>
      <c r="AJ1323">
        <v>2016</v>
      </c>
      <c r="AK1323" t="s">
        <v>1579</v>
      </c>
      <c r="AM1323" t="s">
        <v>1578</v>
      </c>
      <c r="AN1323" t="s">
        <v>94</v>
      </c>
      <c r="AO1323" t="s">
        <v>106</v>
      </c>
      <c r="AP1323" t="s">
        <v>69</v>
      </c>
      <c r="AQ1323" t="s">
        <v>1580</v>
      </c>
      <c r="AR1323" t="s">
        <v>70</v>
      </c>
      <c r="AS1323">
        <v>611</v>
      </c>
      <c r="AT1323" t="s">
        <v>71</v>
      </c>
      <c r="AU1323">
        <v>108.16</v>
      </c>
      <c r="AV1323">
        <v>-8</v>
      </c>
      <c r="AW1323" t="s">
        <v>72</v>
      </c>
      <c r="AX1323">
        <v>611</v>
      </c>
      <c r="AY1323" t="s">
        <v>71</v>
      </c>
      <c r="AZ1323">
        <v>94</v>
      </c>
      <c r="BA1323">
        <v>16.149999999999999</v>
      </c>
      <c r="BB1323" t="s">
        <v>73</v>
      </c>
    </row>
    <row r="1324" spans="1:54" x14ac:dyDescent="0.4">
      <c r="A1324">
        <v>1419215</v>
      </c>
      <c r="D1324" t="s">
        <v>54</v>
      </c>
      <c r="I1324" t="s">
        <v>57</v>
      </c>
      <c r="K1324" t="s">
        <v>102</v>
      </c>
      <c r="L1324" t="s">
        <v>2156</v>
      </c>
      <c r="M1324" t="s">
        <v>59</v>
      </c>
      <c r="P1324" t="s">
        <v>111</v>
      </c>
      <c r="R1324" t="s">
        <v>112</v>
      </c>
      <c r="S1324" t="s">
        <v>61</v>
      </c>
      <c r="T1324">
        <v>242</v>
      </c>
      <c r="U1324">
        <v>237</v>
      </c>
      <c r="V1324">
        <f>(T1324+U1324)/2</f>
        <v>239.5</v>
      </c>
      <c r="W1324">
        <f>T1324-U1324</f>
        <v>5</v>
      </c>
      <c r="X1324">
        <v>9.6524999999999999</v>
      </c>
      <c r="Y1324">
        <v>48.088054999999997</v>
      </c>
      <c r="Z1324" t="s">
        <v>268</v>
      </c>
      <c r="AA1324" t="s">
        <v>128</v>
      </c>
      <c r="AB1324" t="s">
        <v>129</v>
      </c>
      <c r="AE1324" t="s">
        <v>1739</v>
      </c>
      <c r="AH1324" t="s">
        <v>65</v>
      </c>
      <c r="AI1324" t="s">
        <v>2157</v>
      </c>
      <c r="AJ1324">
        <v>2014</v>
      </c>
      <c r="AK1324" t="s">
        <v>1740</v>
      </c>
      <c r="AN1324" t="s">
        <v>121</v>
      </c>
      <c r="AO1324" t="s">
        <v>68</v>
      </c>
      <c r="AP1324" t="s">
        <v>95</v>
      </c>
      <c r="AR1324" t="s">
        <v>70</v>
      </c>
      <c r="AS1324">
        <v>305</v>
      </c>
      <c r="AT1324" t="s">
        <v>71</v>
      </c>
      <c r="AU1324">
        <v>28.31</v>
      </c>
      <c r="AV1324">
        <v>27.77</v>
      </c>
      <c r="AW1324" t="s">
        <v>72</v>
      </c>
      <c r="AX1324">
        <v>305</v>
      </c>
      <c r="AY1324" t="s">
        <v>71</v>
      </c>
      <c r="AZ1324">
        <v>18.18</v>
      </c>
      <c r="BA1324">
        <v>14.41</v>
      </c>
      <c r="BB1324" t="s">
        <v>73</v>
      </c>
    </row>
    <row r="1325" spans="1:54" x14ac:dyDescent="0.4">
      <c r="A1325">
        <v>1419795</v>
      </c>
      <c r="D1325" t="s">
        <v>376</v>
      </c>
      <c r="E1325" t="s">
        <v>153</v>
      </c>
      <c r="I1325" t="s">
        <v>57</v>
      </c>
      <c r="K1325" t="s">
        <v>355</v>
      </c>
      <c r="L1325" t="s">
        <v>451</v>
      </c>
      <c r="M1325" t="s">
        <v>59</v>
      </c>
      <c r="N1325" t="s">
        <v>97</v>
      </c>
      <c r="O1325" t="s">
        <v>179</v>
      </c>
      <c r="P1325" t="s">
        <v>111</v>
      </c>
      <c r="R1325" t="s">
        <v>112</v>
      </c>
      <c r="S1325" t="s">
        <v>61</v>
      </c>
      <c r="T1325">
        <v>242</v>
      </c>
      <c r="U1325">
        <v>237</v>
      </c>
      <c r="V1325">
        <f>(T1325+U1325)/2</f>
        <v>239.5</v>
      </c>
      <c r="W1325">
        <f>T1325-U1325</f>
        <v>5</v>
      </c>
      <c r="X1325">
        <v>8.9463889999999999</v>
      </c>
      <c r="Y1325">
        <v>45.906944000000003</v>
      </c>
      <c r="Z1325" t="s">
        <v>465</v>
      </c>
      <c r="AA1325" t="s">
        <v>133</v>
      </c>
      <c r="AB1325" t="s">
        <v>833</v>
      </c>
      <c r="AC1325" t="s">
        <v>834</v>
      </c>
      <c r="AD1325" t="s">
        <v>846</v>
      </c>
      <c r="AF1325" t="s">
        <v>847</v>
      </c>
      <c r="AH1325" t="s">
        <v>65</v>
      </c>
      <c r="AI1325" t="s">
        <v>2164</v>
      </c>
      <c r="AJ1325">
        <v>2009</v>
      </c>
      <c r="AK1325" t="s">
        <v>847</v>
      </c>
      <c r="AM1325" t="s">
        <v>848</v>
      </c>
      <c r="AN1325" t="s">
        <v>121</v>
      </c>
      <c r="AO1325" t="s">
        <v>68</v>
      </c>
      <c r="AP1325" t="s">
        <v>95</v>
      </c>
      <c r="AQ1325" t="s">
        <v>849</v>
      </c>
      <c r="AR1325" t="s">
        <v>70</v>
      </c>
      <c r="AS1325">
        <v>307</v>
      </c>
      <c r="AT1325" t="s">
        <v>71</v>
      </c>
      <c r="AU1325">
        <v>33.630000000000003</v>
      </c>
      <c r="AV1325">
        <v>18.02</v>
      </c>
      <c r="AW1325" t="s">
        <v>72</v>
      </c>
      <c r="AX1325">
        <v>307</v>
      </c>
      <c r="AY1325" t="s">
        <v>71</v>
      </c>
      <c r="AZ1325">
        <v>20.6</v>
      </c>
      <c r="BA1325">
        <v>7.95</v>
      </c>
      <c r="BB1325" t="s">
        <v>73</v>
      </c>
    </row>
    <row r="1326" spans="1:54" x14ac:dyDescent="0.4">
      <c r="A1326">
        <v>1565299</v>
      </c>
      <c r="D1326" t="s">
        <v>108</v>
      </c>
      <c r="E1326" t="s">
        <v>104</v>
      </c>
      <c r="G1326">
        <v>1</v>
      </c>
      <c r="H1326" t="s">
        <v>74</v>
      </c>
      <c r="I1326" t="s">
        <v>57</v>
      </c>
      <c r="K1326" t="s">
        <v>159</v>
      </c>
      <c r="L1326" t="s">
        <v>160</v>
      </c>
      <c r="M1326" t="s">
        <v>59</v>
      </c>
      <c r="P1326" t="s">
        <v>111</v>
      </c>
      <c r="R1326" t="s">
        <v>112</v>
      </c>
      <c r="S1326" t="s">
        <v>61</v>
      </c>
      <c r="T1326">
        <v>242</v>
      </c>
      <c r="U1326">
        <v>237</v>
      </c>
      <c r="V1326">
        <f>(T1326+U1326)/2</f>
        <v>239.5</v>
      </c>
      <c r="W1326">
        <f>T1326-U1326</f>
        <v>5</v>
      </c>
      <c r="X1326">
        <v>-67.820556999999994</v>
      </c>
      <c r="Y1326">
        <v>-29.823055</v>
      </c>
      <c r="Z1326" t="s">
        <v>113</v>
      </c>
      <c r="AA1326" t="s">
        <v>114</v>
      </c>
      <c r="AB1326" t="s">
        <v>115</v>
      </c>
      <c r="AD1326" t="s">
        <v>116</v>
      </c>
      <c r="AE1326" t="s">
        <v>117</v>
      </c>
      <c r="AH1326" t="s">
        <v>11</v>
      </c>
      <c r="AI1326" t="s">
        <v>2220</v>
      </c>
      <c r="AJ1326">
        <v>2014</v>
      </c>
      <c r="AK1326" t="s">
        <v>119</v>
      </c>
      <c r="AL1326">
        <v>26092</v>
      </c>
      <c r="AM1326" t="s">
        <v>120</v>
      </c>
      <c r="AN1326" t="s">
        <v>121</v>
      </c>
      <c r="AO1326" t="s">
        <v>68</v>
      </c>
      <c r="AP1326" t="s">
        <v>95</v>
      </c>
      <c r="AQ1326" t="s">
        <v>122</v>
      </c>
      <c r="AR1326" t="s">
        <v>70</v>
      </c>
      <c r="AS1326">
        <v>291</v>
      </c>
      <c r="AT1326" t="s">
        <v>71</v>
      </c>
      <c r="AU1326">
        <v>-27.03</v>
      </c>
      <c r="AV1326">
        <v>-33.78</v>
      </c>
      <c r="AW1326" t="s">
        <v>72</v>
      </c>
      <c r="AX1326">
        <v>291</v>
      </c>
      <c r="AY1326" t="s">
        <v>71</v>
      </c>
      <c r="AZ1326">
        <v>-37.770000000000003</v>
      </c>
      <c r="BA1326">
        <v>-49.88</v>
      </c>
      <c r="BB1326" t="s">
        <v>73</v>
      </c>
    </row>
    <row r="1327" spans="1:54" x14ac:dyDescent="0.4">
      <c r="A1327">
        <v>1615939</v>
      </c>
      <c r="D1327" t="s">
        <v>54</v>
      </c>
      <c r="G1327">
        <v>1</v>
      </c>
      <c r="H1327" t="s">
        <v>74</v>
      </c>
      <c r="I1327" t="s">
        <v>57</v>
      </c>
      <c r="K1327" t="s">
        <v>109</v>
      </c>
      <c r="L1327" t="s">
        <v>2249</v>
      </c>
      <c r="M1327" t="s">
        <v>59</v>
      </c>
      <c r="N1327" t="s">
        <v>97</v>
      </c>
      <c r="P1327" t="s">
        <v>111</v>
      </c>
      <c r="R1327" t="s">
        <v>112</v>
      </c>
      <c r="S1327" t="s">
        <v>61</v>
      </c>
      <c r="T1327">
        <v>242</v>
      </c>
      <c r="U1327">
        <v>237</v>
      </c>
      <c r="V1327">
        <f>(T1327+U1327)/2</f>
        <v>239.5</v>
      </c>
      <c r="W1327">
        <f>T1327-U1327</f>
        <v>5</v>
      </c>
      <c r="X1327">
        <v>-54.099997999999999</v>
      </c>
      <c r="Y1327">
        <v>-29.776942999999999</v>
      </c>
      <c r="Z1327" t="s">
        <v>85</v>
      </c>
      <c r="AA1327" t="s">
        <v>367</v>
      </c>
      <c r="AB1327" t="s">
        <v>368</v>
      </c>
      <c r="AC1327" t="s">
        <v>2250</v>
      </c>
      <c r="AD1327" t="s">
        <v>382</v>
      </c>
      <c r="AG1327" t="s">
        <v>2251</v>
      </c>
      <c r="AH1327" t="s">
        <v>65</v>
      </c>
      <c r="AI1327" t="s">
        <v>2252</v>
      </c>
      <c r="AJ1327">
        <v>2022</v>
      </c>
      <c r="AK1327" t="s">
        <v>2253</v>
      </c>
      <c r="AN1327" t="s">
        <v>67</v>
      </c>
      <c r="AO1327" t="s">
        <v>68</v>
      </c>
      <c r="AP1327" t="s">
        <v>69</v>
      </c>
      <c r="AQ1327" t="s">
        <v>2254</v>
      </c>
      <c r="AR1327" t="s">
        <v>70</v>
      </c>
      <c r="AS1327">
        <v>201</v>
      </c>
      <c r="AT1327" t="s">
        <v>71</v>
      </c>
      <c r="AU1327">
        <v>-13.04</v>
      </c>
      <c r="AV1327">
        <v>-35.29</v>
      </c>
      <c r="AW1327" t="s">
        <v>72</v>
      </c>
      <c r="AX1327">
        <v>202</v>
      </c>
      <c r="AY1327" t="s">
        <v>71</v>
      </c>
      <c r="AZ1327">
        <v>-19.2</v>
      </c>
      <c r="BA1327">
        <v>-51.86</v>
      </c>
      <c r="BB1327" t="s">
        <v>73</v>
      </c>
    </row>
    <row r="1328" spans="1:54" x14ac:dyDescent="0.4">
      <c r="A1328" s="1" t="s">
        <v>2404</v>
      </c>
      <c r="B1328" s="1"/>
      <c r="C1328" s="1"/>
      <c r="D1328" s="1" t="s">
        <v>54</v>
      </c>
      <c r="E1328" s="1"/>
      <c r="F1328" s="1" t="s">
        <v>2405</v>
      </c>
      <c r="G1328" s="1">
        <v>1</v>
      </c>
      <c r="H1328" s="1" t="s">
        <v>2281</v>
      </c>
      <c r="I1328" s="2" t="s">
        <v>57</v>
      </c>
      <c r="J1328" s="2" t="s">
        <v>2282</v>
      </c>
      <c r="K1328" s="2" t="s">
        <v>373</v>
      </c>
      <c r="L1328" s="3" t="s">
        <v>1524</v>
      </c>
      <c r="M1328" s="2" t="s">
        <v>59</v>
      </c>
      <c r="N1328" s="3"/>
      <c r="O1328" s="3"/>
      <c r="P1328" s="2" t="s">
        <v>111</v>
      </c>
      <c r="Q1328" s="2"/>
      <c r="R1328" s="2" t="s">
        <v>112</v>
      </c>
      <c r="S1328" s="2" t="s">
        <v>61</v>
      </c>
      <c r="T1328">
        <v>242</v>
      </c>
      <c r="U1328">
        <v>237</v>
      </c>
      <c r="V1328">
        <f>(T1328+U1328)/2</f>
        <v>239.5</v>
      </c>
      <c r="W1328">
        <f>T1328-U1328</f>
        <v>5</v>
      </c>
      <c r="X1328" s="4">
        <v>-51.94</v>
      </c>
      <c r="Y1328" s="4">
        <v>-29.69</v>
      </c>
      <c r="Z1328" s="2"/>
      <c r="AA1328" s="2" t="s">
        <v>367</v>
      </c>
      <c r="AB1328" s="2" t="s">
        <v>2387</v>
      </c>
      <c r="AC1328" s="2" t="s">
        <v>2406</v>
      </c>
      <c r="AD1328" s="2" t="s">
        <v>382</v>
      </c>
      <c r="AE1328" s="2" t="s">
        <v>2388</v>
      </c>
      <c r="AF1328" s="2" t="s">
        <v>383</v>
      </c>
      <c r="AG1328" s="3" t="s">
        <v>385</v>
      </c>
      <c r="AH1328" s="3"/>
      <c r="AI1328" s="2" t="s">
        <v>2407</v>
      </c>
      <c r="AJ1328" s="2">
        <v>2016</v>
      </c>
      <c r="AK1328" s="9" t="s">
        <v>2389</v>
      </c>
      <c r="AL1328" s="10" t="s">
        <v>2408</v>
      </c>
      <c r="AM1328" s="4"/>
      <c r="AN1328" s="4"/>
      <c r="AO1328" s="2"/>
      <c r="AP1328" s="2"/>
      <c r="AQ1328" s="2"/>
      <c r="AR1328" s="2"/>
      <c r="AS1328" s="2"/>
      <c r="AT1328" s="2"/>
      <c r="AU1328" s="2"/>
      <c r="AV1328" s="2"/>
      <c r="AW1328" s="2"/>
      <c r="AX1328" s="2"/>
      <c r="AY1328" s="2"/>
      <c r="AZ1328" s="2"/>
      <c r="BA1328" s="2"/>
      <c r="BB1328" s="2"/>
    </row>
    <row r="1329" spans="1:54" x14ac:dyDescent="0.4">
      <c r="A1329" s="1" t="s">
        <v>2409</v>
      </c>
      <c r="B1329" s="1"/>
      <c r="C1329" s="1"/>
      <c r="D1329" s="1" t="s">
        <v>54</v>
      </c>
      <c r="E1329" s="1"/>
      <c r="F1329" s="1" t="s">
        <v>2410</v>
      </c>
      <c r="G1329" s="1">
        <v>1</v>
      </c>
      <c r="H1329" s="1" t="s">
        <v>2281</v>
      </c>
      <c r="I1329" s="2" t="s">
        <v>57</v>
      </c>
      <c r="J1329" s="2" t="s">
        <v>2390</v>
      </c>
      <c r="K1329" s="2" t="s">
        <v>537</v>
      </c>
      <c r="L1329" s="3" t="s">
        <v>1088</v>
      </c>
      <c r="M1329" s="2" t="s">
        <v>59</v>
      </c>
      <c r="N1329" s="3"/>
      <c r="O1329" s="3"/>
      <c r="P1329" s="2" t="s">
        <v>111</v>
      </c>
      <c r="Q1329" s="2"/>
      <c r="R1329" s="2" t="s">
        <v>112</v>
      </c>
      <c r="S1329" s="2" t="s">
        <v>61</v>
      </c>
      <c r="T1329">
        <v>242</v>
      </c>
      <c r="U1329">
        <v>237</v>
      </c>
      <c r="V1329">
        <f>(T1329+U1329)/2</f>
        <v>239.5</v>
      </c>
      <c r="W1329">
        <f>T1329-U1329</f>
        <v>5</v>
      </c>
      <c r="X1329" s="4">
        <v>-53.37</v>
      </c>
      <c r="Y1329" s="4">
        <v>-29.63</v>
      </c>
      <c r="Z1329" s="2"/>
      <c r="AA1329" s="2" t="s">
        <v>367</v>
      </c>
      <c r="AB1329" s="2" t="s">
        <v>2387</v>
      </c>
      <c r="AC1329" s="2" t="s">
        <v>2283</v>
      </c>
      <c r="AD1329" s="2" t="s">
        <v>382</v>
      </c>
      <c r="AE1329" s="2" t="s">
        <v>2388</v>
      </c>
      <c r="AF1329" s="2" t="s">
        <v>383</v>
      </c>
      <c r="AG1329" s="3" t="s">
        <v>385</v>
      </c>
      <c r="AH1329" s="3"/>
      <c r="AI1329" s="2" t="s">
        <v>2411</v>
      </c>
      <c r="AJ1329" s="2">
        <v>2021</v>
      </c>
      <c r="AK1329" s="9" t="s">
        <v>2393</v>
      </c>
      <c r="AL1329" s="10" t="s">
        <v>2412</v>
      </c>
      <c r="AM1329" s="4"/>
      <c r="AN1329" s="4"/>
      <c r="AO1329" s="2"/>
      <c r="AP1329" s="2"/>
      <c r="AQ1329" s="2"/>
      <c r="AR1329" s="2"/>
      <c r="AS1329" s="2"/>
      <c r="AT1329" s="2"/>
      <c r="AU1329" s="2"/>
      <c r="AV1329" s="2"/>
      <c r="AW1329" s="2"/>
      <c r="AX1329" s="2"/>
      <c r="AY1329" s="2"/>
      <c r="AZ1329" s="2"/>
      <c r="BA1329" s="2"/>
      <c r="BB1329" s="2"/>
    </row>
    <row r="1330" spans="1:54" x14ac:dyDescent="0.4">
      <c r="A1330" s="1" t="s">
        <v>2413</v>
      </c>
      <c r="B1330" s="1"/>
      <c r="C1330" s="1"/>
      <c r="D1330" s="1" t="s">
        <v>54</v>
      </c>
      <c r="E1330" s="1"/>
      <c r="F1330" s="1" t="s">
        <v>2414</v>
      </c>
      <c r="G1330" s="1">
        <v>1</v>
      </c>
      <c r="H1330" s="1" t="s">
        <v>2281</v>
      </c>
      <c r="I1330" s="2" t="s">
        <v>57</v>
      </c>
      <c r="J1330" s="2" t="s">
        <v>2282</v>
      </c>
      <c r="K1330" s="2" t="s">
        <v>109</v>
      </c>
      <c r="L1330" s="3" t="s">
        <v>2249</v>
      </c>
      <c r="M1330" s="2" t="s">
        <v>59</v>
      </c>
      <c r="N1330" s="3"/>
      <c r="O1330" s="3"/>
      <c r="P1330" s="2" t="s">
        <v>111</v>
      </c>
      <c r="Q1330" s="2"/>
      <c r="R1330" s="2" t="s">
        <v>112</v>
      </c>
      <c r="S1330" s="2" t="s">
        <v>61</v>
      </c>
      <c r="T1330">
        <v>242</v>
      </c>
      <c r="U1330">
        <v>237</v>
      </c>
      <c r="V1330">
        <f>(T1330+U1330)/2</f>
        <v>239.5</v>
      </c>
      <c r="W1330">
        <f>T1330-U1330</f>
        <v>5</v>
      </c>
      <c r="X1330" s="4">
        <v>-54.1</v>
      </c>
      <c r="Y1330" s="4">
        <v>-29.78</v>
      </c>
      <c r="Z1330" s="2"/>
      <c r="AA1330" s="2" t="s">
        <v>367</v>
      </c>
      <c r="AB1330" s="2" t="s">
        <v>2387</v>
      </c>
      <c r="AC1330" s="2" t="s">
        <v>2415</v>
      </c>
      <c r="AD1330" s="2" t="s">
        <v>382</v>
      </c>
      <c r="AE1330" s="2" t="s">
        <v>2388</v>
      </c>
      <c r="AF1330" s="2" t="s">
        <v>383</v>
      </c>
      <c r="AG1330" s="3" t="s">
        <v>385</v>
      </c>
      <c r="AH1330" s="3"/>
      <c r="AI1330" s="2" t="s">
        <v>2416</v>
      </c>
      <c r="AJ1330" s="2">
        <v>2022</v>
      </c>
      <c r="AK1330" s="9" t="s">
        <v>2392</v>
      </c>
      <c r="AL1330" s="10" t="s">
        <v>2417</v>
      </c>
      <c r="AM1330" s="4"/>
      <c r="AN1330" s="4"/>
      <c r="AO1330" s="2"/>
      <c r="AP1330" s="2"/>
      <c r="AQ1330" s="2"/>
      <c r="AR1330" s="2"/>
      <c r="AS1330" s="2"/>
      <c r="AT1330" s="2"/>
      <c r="AU1330" s="2"/>
      <c r="AV1330" s="2"/>
      <c r="AW1330" s="2"/>
      <c r="AX1330" s="2"/>
      <c r="AY1330" s="2"/>
      <c r="AZ1330" s="2"/>
      <c r="BA1330" s="2"/>
      <c r="BB1330" s="2"/>
    </row>
    <row r="1331" spans="1:54" x14ac:dyDescent="0.4">
      <c r="A1331" s="1" t="s">
        <v>2418</v>
      </c>
      <c r="B1331" s="1"/>
      <c r="C1331" s="1"/>
      <c r="D1331" s="1" t="s">
        <v>54</v>
      </c>
      <c r="E1331" s="1"/>
      <c r="F1331" s="1" t="s">
        <v>2419</v>
      </c>
      <c r="G1331" s="1">
        <v>1</v>
      </c>
      <c r="H1331" s="1" t="s">
        <v>2281</v>
      </c>
      <c r="I1331" s="2" t="s">
        <v>57</v>
      </c>
      <c r="J1331" s="2" t="s">
        <v>2282</v>
      </c>
      <c r="K1331" s="2" t="s">
        <v>162</v>
      </c>
      <c r="L1331" s="3" t="s">
        <v>2420</v>
      </c>
      <c r="M1331" s="2" t="s">
        <v>59</v>
      </c>
      <c r="N1331" s="3"/>
      <c r="O1331" s="3"/>
      <c r="P1331" s="2" t="s">
        <v>111</v>
      </c>
      <c r="Q1331" s="2"/>
      <c r="R1331" s="2" t="s">
        <v>112</v>
      </c>
      <c r="S1331" s="2" t="s">
        <v>61</v>
      </c>
      <c r="T1331">
        <v>242</v>
      </c>
      <c r="U1331">
        <v>237</v>
      </c>
      <c r="V1331">
        <f>(T1331+U1331)/2</f>
        <v>239.5</v>
      </c>
      <c r="W1331">
        <f>T1331-U1331</f>
        <v>5</v>
      </c>
      <c r="X1331" s="4">
        <v>-53.18</v>
      </c>
      <c r="Y1331" s="4">
        <v>-29.73</v>
      </c>
      <c r="Z1331" s="2"/>
      <c r="AA1331" s="2" t="s">
        <v>367</v>
      </c>
      <c r="AB1331" s="2" t="s">
        <v>2387</v>
      </c>
      <c r="AC1331" s="2" t="s">
        <v>2283</v>
      </c>
      <c r="AD1331" s="2" t="s">
        <v>382</v>
      </c>
      <c r="AE1331" s="2" t="s">
        <v>2388</v>
      </c>
      <c r="AF1331" s="2" t="s">
        <v>383</v>
      </c>
      <c r="AG1331" s="3" t="s">
        <v>385</v>
      </c>
      <c r="AH1331" s="3"/>
      <c r="AI1331" s="2" t="s">
        <v>2421</v>
      </c>
      <c r="AJ1331" s="2">
        <v>2024</v>
      </c>
      <c r="AK1331" s="9" t="s">
        <v>2393</v>
      </c>
      <c r="AL1331" s="5" t="s">
        <v>2422</v>
      </c>
      <c r="AM1331" s="4"/>
      <c r="AN1331" s="4"/>
      <c r="AO1331" s="2"/>
      <c r="AP1331" s="2"/>
      <c r="AQ1331" s="2"/>
      <c r="AR1331" s="2"/>
      <c r="AS1331" s="2"/>
      <c r="AT1331" s="2"/>
      <c r="AU1331" s="2"/>
      <c r="AV1331" s="2"/>
      <c r="AW1331" s="2"/>
      <c r="AX1331" s="2"/>
      <c r="AY1331" s="2"/>
      <c r="AZ1331" s="2"/>
      <c r="BA1331" s="2"/>
      <c r="BB1331" s="2"/>
    </row>
    <row r="1332" spans="1:54" x14ac:dyDescent="0.4">
      <c r="A1332" s="1" t="s">
        <v>2423</v>
      </c>
      <c r="B1332" s="1"/>
      <c r="C1332" s="1"/>
      <c r="D1332" s="1" t="s">
        <v>54</v>
      </c>
      <c r="E1332" s="1"/>
      <c r="F1332" s="1" t="s">
        <v>2283</v>
      </c>
      <c r="G1332" s="1">
        <v>1</v>
      </c>
      <c r="H1332" s="1" t="s">
        <v>2281</v>
      </c>
      <c r="I1332" s="2" t="s">
        <v>57</v>
      </c>
      <c r="J1332" s="2" t="s">
        <v>2282</v>
      </c>
      <c r="K1332" s="2" t="s">
        <v>2424</v>
      </c>
      <c r="L1332" s="3" t="s">
        <v>466</v>
      </c>
      <c r="M1332" s="2" t="s">
        <v>59</v>
      </c>
      <c r="N1332" s="3"/>
      <c r="O1332" s="3"/>
      <c r="P1332" s="2" t="s">
        <v>111</v>
      </c>
      <c r="Q1332" s="2"/>
      <c r="R1332" s="2" t="s">
        <v>112</v>
      </c>
      <c r="S1332" s="2" t="s">
        <v>61</v>
      </c>
      <c r="T1332">
        <v>242</v>
      </c>
      <c r="U1332">
        <v>237</v>
      </c>
      <c r="V1332">
        <f>(T1332+U1332)/2</f>
        <v>239.5</v>
      </c>
      <c r="W1332">
        <f>T1332-U1332</f>
        <v>5</v>
      </c>
      <c r="X1332" s="4">
        <v>-53.37</v>
      </c>
      <c r="Y1332" s="4">
        <v>-29.61</v>
      </c>
      <c r="Z1332" s="2"/>
      <c r="AA1332" s="2" t="s">
        <v>367</v>
      </c>
      <c r="AB1332" s="2" t="s">
        <v>2387</v>
      </c>
      <c r="AC1332" s="2" t="s">
        <v>2283</v>
      </c>
      <c r="AD1332" s="2" t="s">
        <v>382</v>
      </c>
      <c r="AE1332" s="2" t="s">
        <v>2388</v>
      </c>
      <c r="AF1332" s="2" t="s">
        <v>383</v>
      </c>
      <c r="AG1332" s="3" t="s">
        <v>385</v>
      </c>
      <c r="AH1332" s="3"/>
      <c r="AI1332" s="2" t="s">
        <v>2425</v>
      </c>
      <c r="AJ1332" s="2">
        <v>2013</v>
      </c>
      <c r="AK1332" s="9" t="s">
        <v>2389</v>
      </c>
      <c r="AL1332" s="13" t="s">
        <v>2426</v>
      </c>
      <c r="AM1332" s="4"/>
      <c r="AN1332" s="4"/>
      <c r="AO1332" s="2"/>
      <c r="AP1332" s="2"/>
      <c r="AQ1332" s="2"/>
      <c r="AR1332" s="2"/>
      <c r="AS1332" s="2"/>
      <c r="AT1332" s="2"/>
      <c r="AU1332" s="2"/>
      <c r="AV1332" s="2"/>
      <c r="AW1332" s="2"/>
      <c r="AX1332" s="2"/>
      <c r="AY1332" s="2"/>
      <c r="AZ1332" s="2"/>
      <c r="BA1332" s="2"/>
      <c r="BB1332" s="2"/>
    </row>
    <row r="1333" spans="1:54" x14ac:dyDescent="0.4">
      <c r="A1333" s="1" t="s">
        <v>2427</v>
      </c>
      <c r="B1333" s="1"/>
      <c r="C1333" s="1"/>
      <c r="D1333" s="1" t="s">
        <v>54</v>
      </c>
      <c r="E1333" s="1"/>
      <c r="F1333" s="14" t="s">
        <v>2428</v>
      </c>
      <c r="G1333" s="1">
        <v>1</v>
      </c>
      <c r="H1333" s="1" t="s">
        <v>2281</v>
      </c>
      <c r="I1333" s="2" t="s">
        <v>57</v>
      </c>
      <c r="J1333" s="2" t="s">
        <v>2282</v>
      </c>
      <c r="K1333" s="2" t="s">
        <v>2424</v>
      </c>
      <c r="L1333" s="3" t="s">
        <v>466</v>
      </c>
      <c r="M1333" s="2" t="s">
        <v>59</v>
      </c>
      <c r="N1333" s="3"/>
      <c r="O1333" s="3"/>
      <c r="P1333" s="2" t="s">
        <v>111</v>
      </c>
      <c r="Q1333" s="2"/>
      <c r="R1333" s="2" t="s">
        <v>112</v>
      </c>
      <c r="S1333" s="2" t="s">
        <v>61</v>
      </c>
      <c r="T1333">
        <v>242</v>
      </c>
      <c r="U1333">
        <v>237</v>
      </c>
      <c r="V1333">
        <f>(T1333+U1333)/2</f>
        <v>239.5</v>
      </c>
      <c r="W1333">
        <f>T1333-U1333</f>
        <v>5</v>
      </c>
      <c r="X1333" s="4">
        <v>-52.75</v>
      </c>
      <c r="Y1333" s="4">
        <v>-29.77</v>
      </c>
      <c r="Z1333" s="2"/>
      <c r="AA1333" s="2" t="s">
        <v>367</v>
      </c>
      <c r="AB1333" s="2" t="s">
        <v>2387</v>
      </c>
      <c r="AC1333" s="15" t="s">
        <v>2429</v>
      </c>
      <c r="AD1333" s="2" t="s">
        <v>382</v>
      </c>
      <c r="AE1333" s="2" t="s">
        <v>2388</v>
      </c>
      <c r="AF1333" s="2" t="s">
        <v>383</v>
      </c>
      <c r="AG1333" s="3" t="s">
        <v>385</v>
      </c>
      <c r="AH1333" s="3"/>
      <c r="AI1333" s="2" t="s">
        <v>2283</v>
      </c>
      <c r="AJ1333" s="2">
        <v>2022</v>
      </c>
      <c r="AK1333" s="16" t="s">
        <v>2430</v>
      </c>
      <c r="AL1333" s="17" t="s">
        <v>2431</v>
      </c>
      <c r="AM1333" s="4"/>
      <c r="AN1333" s="4"/>
      <c r="AO1333" s="2"/>
      <c r="AP1333" s="2"/>
      <c r="AQ1333" s="2"/>
      <c r="AR1333" s="2"/>
      <c r="AS1333" s="2"/>
      <c r="AT1333" s="2"/>
      <c r="AU1333" s="2"/>
      <c r="AV1333" s="2"/>
      <c r="AW1333" s="2"/>
      <c r="AX1333" s="2"/>
      <c r="AY1333" s="2"/>
      <c r="AZ1333" s="2"/>
      <c r="BA1333" s="2"/>
      <c r="BB1333" s="2"/>
    </row>
    <row r="1334" spans="1:54" x14ac:dyDescent="0.4">
      <c r="A1334" s="1" t="s">
        <v>2432</v>
      </c>
      <c r="B1334" s="1"/>
      <c r="C1334" s="1"/>
      <c r="D1334" s="1" t="s">
        <v>54</v>
      </c>
      <c r="E1334" s="1"/>
      <c r="F1334" s="1" t="s">
        <v>2433</v>
      </c>
      <c r="G1334" s="1">
        <v>1</v>
      </c>
      <c r="H1334" s="1" t="s">
        <v>2281</v>
      </c>
      <c r="I1334" s="2" t="s">
        <v>57</v>
      </c>
      <c r="J1334" s="2" t="s">
        <v>2282</v>
      </c>
      <c r="K1334" s="2" t="s">
        <v>2424</v>
      </c>
      <c r="L1334" s="2" t="s">
        <v>466</v>
      </c>
      <c r="M1334" s="2" t="s">
        <v>59</v>
      </c>
      <c r="N1334" s="2"/>
      <c r="O1334" s="2"/>
      <c r="P1334" s="2" t="s">
        <v>111</v>
      </c>
      <c r="Q1334" s="2"/>
      <c r="R1334" s="2" t="s">
        <v>112</v>
      </c>
      <c r="S1334" s="2" t="s">
        <v>61</v>
      </c>
      <c r="T1334">
        <v>242</v>
      </c>
      <c r="U1334">
        <v>237</v>
      </c>
      <c r="V1334">
        <f>(T1334+U1334)/2</f>
        <v>239.5</v>
      </c>
      <c r="W1334">
        <f>T1334-U1334</f>
        <v>5</v>
      </c>
      <c r="X1334" s="4">
        <v>-52.75</v>
      </c>
      <c r="Y1334" s="4">
        <v>-29.77</v>
      </c>
      <c r="Z1334" s="2"/>
      <c r="AA1334" s="2" t="s">
        <v>367</v>
      </c>
      <c r="AB1334" s="2" t="s">
        <v>2387</v>
      </c>
      <c r="AC1334" s="2" t="s">
        <v>2283</v>
      </c>
      <c r="AD1334" s="2" t="s">
        <v>2283</v>
      </c>
      <c r="AE1334" s="2" t="s">
        <v>2283</v>
      </c>
      <c r="AF1334" s="2" t="s">
        <v>2283</v>
      </c>
      <c r="AG1334" s="3" t="s">
        <v>385</v>
      </c>
      <c r="AH1334" s="3"/>
      <c r="AI1334" s="2" t="s">
        <v>2283</v>
      </c>
      <c r="AJ1334" s="2" t="s">
        <v>2283</v>
      </c>
      <c r="AK1334" s="9" t="s">
        <v>2434</v>
      </c>
      <c r="AL1334" s="10" t="s">
        <v>2435</v>
      </c>
      <c r="AM1334" s="4"/>
      <c r="AN1334" s="4"/>
      <c r="AO1334" s="2"/>
      <c r="AP1334" s="2"/>
      <c r="AQ1334" s="2"/>
      <c r="AR1334" s="2"/>
      <c r="AS1334" s="2"/>
      <c r="AT1334" s="2"/>
      <c r="AU1334" s="2"/>
      <c r="AV1334" s="2"/>
      <c r="AW1334" s="2"/>
      <c r="AX1334" s="2"/>
      <c r="AY1334" s="2"/>
      <c r="AZ1334" s="2"/>
      <c r="BA1334" s="2"/>
      <c r="BB1334" s="2"/>
    </row>
    <row r="1335" spans="1:54" x14ac:dyDescent="0.4">
      <c r="A1335" s="1" t="s">
        <v>2436</v>
      </c>
      <c r="B1335" s="1"/>
      <c r="C1335" s="1"/>
      <c r="D1335" s="1" t="s">
        <v>54</v>
      </c>
      <c r="E1335" s="1"/>
      <c r="F1335" s="1" t="s">
        <v>2437</v>
      </c>
      <c r="G1335" s="1">
        <v>1</v>
      </c>
      <c r="H1335" s="1" t="s">
        <v>2281</v>
      </c>
      <c r="I1335" s="2" t="s">
        <v>57</v>
      </c>
      <c r="J1335" s="2" t="s">
        <v>2282</v>
      </c>
      <c r="K1335" s="2" t="s">
        <v>2424</v>
      </c>
      <c r="L1335" s="3" t="s">
        <v>466</v>
      </c>
      <c r="M1335" s="2" t="s">
        <v>59</v>
      </c>
      <c r="N1335" s="3"/>
      <c r="O1335" s="3"/>
      <c r="P1335" s="2" t="s">
        <v>111</v>
      </c>
      <c r="Q1335" s="2"/>
      <c r="R1335" s="2" t="s">
        <v>112</v>
      </c>
      <c r="S1335" s="2" t="s">
        <v>61</v>
      </c>
      <c r="T1335">
        <v>242</v>
      </c>
      <c r="U1335">
        <v>237</v>
      </c>
      <c r="V1335">
        <f>(T1335+U1335)/2</f>
        <v>239.5</v>
      </c>
      <c r="W1335">
        <f>T1335-U1335</f>
        <v>5</v>
      </c>
      <c r="X1335" s="4">
        <v>-53.36</v>
      </c>
      <c r="Y1335" s="4" t="s">
        <v>2438</v>
      </c>
      <c r="Z1335" s="2"/>
      <c r="AA1335" s="2" t="s">
        <v>367</v>
      </c>
      <c r="AB1335" s="2" t="s">
        <v>2387</v>
      </c>
      <c r="AC1335" s="2" t="s">
        <v>2283</v>
      </c>
      <c r="AD1335" s="2" t="s">
        <v>382</v>
      </c>
      <c r="AE1335" s="2" t="s">
        <v>2388</v>
      </c>
      <c r="AF1335" s="2" t="s">
        <v>383</v>
      </c>
      <c r="AG1335" s="3" t="s">
        <v>385</v>
      </c>
      <c r="AH1335" s="3"/>
      <c r="AI1335" s="2" t="s">
        <v>2283</v>
      </c>
      <c r="AJ1335" s="2" t="s">
        <v>2283</v>
      </c>
      <c r="AK1335" s="9" t="s">
        <v>2439</v>
      </c>
      <c r="AL1335" s="10" t="s">
        <v>2440</v>
      </c>
      <c r="AM1335" s="4"/>
      <c r="AN1335" s="4"/>
      <c r="AO1335" s="2"/>
      <c r="AP1335" s="2"/>
      <c r="AQ1335" s="2"/>
      <c r="AR1335" s="2"/>
      <c r="AS1335" s="2"/>
      <c r="AT1335" s="2"/>
      <c r="AU1335" s="2"/>
      <c r="AV1335" s="2"/>
      <c r="AW1335" s="2"/>
      <c r="AX1335" s="2"/>
      <c r="AY1335" s="2"/>
      <c r="AZ1335" s="2"/>
      <c r="BA1335" s="2"/>
      <c r="BB1335" s="2"/>
    </row>
    <row r="1336" spans="1:54" x14ac:dyDescent="0.4">
      <c r="A1336" s="1" t="s">
        <v>2441</v>
      </c>
      <c r="B1336" s="1"/>
      <c r="C1336" s="1"/>
      <c r="D1336" s="1" t="s">
        <v>54</v>
      </c>
      <c r="E1336" s="1"/>
      <c r="F1336" s="18" t="s">
        <v>2442</v>
      </c>
      <c r="G1336" s="1">
        <v>1</v>
      </c>
      <c r="H1336" s="1" t="s">
        <v>2281</v>
      </c>
      <c r="I1336" s="2" t="s">
        <v>57</v>
      </c>
      <c r="J1336" s="2" t="s">
        <v>2282</v>
      </c>
      <c r="K1336" s="2" t="s">
        <v>159</v>
      </c>
      <c r="L1336" s="6" t="s">
        <v>2443</v>
      </c>
      <c r="M1336" s="2" t="s">
        <v>59</v>
      </c>
      <c r="N1336" s="6"/>
      <c r="O1336" s="6"/>
      <c r="P1336" s="2" t="s">
        <v>111</v>
      </c>
      <c r="Q1336" s="2"/>
      <c r="R1336" s="2" t="s">
        <v>112</v>
      </c>
      <c r="S1336" s="2" t="s">
        <v>61</v>
      </c>
      <c r="T1336">
        <v>242</v>
      </c>
      <c r="U1336">
        <v>237</v>
      </c>
      <c r="V1336">
        <f>(T1336+U1336)/2</f>
        <v>239.5</v>
      </c>
      <c r="W1336">
        <f>T1336-U1336</f>
        <v>5</v>
      </c>
      <c r="X1336" s="4">
        <v>-53.15</v>
      </c>
      <c r="Y1336" s="4">
        <v>-29.73</v>
      </c>
      <c r="Z1336" s="2"/>
      <c r="AA1336" s="2" t="s">
        <v>367</v>
      </c>
      <c r="AB1336" s="2" t="s">
        <v>2387</v>
      </c>
      <c r="AC1336" s="2" t="s">
        <v>2444</v>
      </c>
      <c r="AD1336" s="2" t="s">
        <v>382</v>
      </c>
      <c r="AE1336" s="2" t="s">
        <v>2388</v>
      </c>
      <c r="AF1336" s="2" t="s">
        <v>383</v>
      </c>
      <c r="AG1336" s="2" t="s">
        <v>385</v>
      </c>
      <c r="AH1336" s="2"/>
      <c r="AI1336" s="2" t="s">
        <v>2445</v>
      </c>
      <c r="AJ1336" s="2">
        <v>2025</v>
      </c>
      <c r="AK1336" s="2" t="s">
        <v>2393</v>
      </c>
      <c r="AL1336" s="5" t="s">
        <v>2446</v>
      </c>
      <c r="AM1336" s="2"/>
      <c r="AN1336" s="2"/>
      <c r="AO1336" s="2"/>
      <c r="AP1336" s="2"/>
      <c r="AQ1336" s="2"/>
      <c r="AR1336" s="2"/>
      <c r="AS1336" s="2"/>
      <c r="AT1336" s="2"/>
      <c r="AU1336" s="2"/>
      <c r="AV1336" s="2"/>
      <c r="AW1336" s="2"/>
      <c r="AX1336" s="2"/>
      <c r="AY1336" s="2"/>
      <c r="AZ1336" s="2"/>
      <c r="BA1336" s="2"/>
      <c r="BB1336" s="2"/>
    </row>
    <row r="1337" spans="1:54" x14ac:dyDescent="0.4">
      <c r="A1337" s="1" t="s">
        <v>2447</v>
      </c>
      <c r="B1337" s="1"/>
      <c r="C1337" s="1"/>
      <c r="D1337" s="1" t="s">
        <v>54</v>
      </c>
      <c r="E1337" s="1"/>
      <c r="F1337" s="18" t="s">
        <v>2448</v>
      </c>
      <c r="G1337" s="1">
        <v>1</v>
      </c>
      <c r="H1337" s="1" t="s">
        <v>2281</v>
      </c>
      <c r="I1337" s="2" t="s">
        <v>57</v>
      </c>
      <c r="J1337" s="2" t="s">
        <v>2282</v>
      </c>
      <c r="K1337" s="2" t="s">
        <v>2424</v>
      </c>
      <c r="L1337" s="6" t="s">
        <v>2449</v>
      </c>
      <c r="M1337" s="2" t="s">
        <v>59</v>
      </c>
      <c r="N1337" s="6"/>
      <c r="O1337" s="6"/>
      <c r="P1337" s="2" t="s">
        <v>111</v>
      </c>
      <c r="Q1337" s="2"/>
      <c r="R1337" s="2" t="s">
        <v>112</v>
      </c>
      <c r="S1337" s="2" t="s">
        <v>61</v>
      </c>
      <c r="T1337">
        <v>242</v>
      </c>
      <c r="U1337">
        <v>237</v>
      </c>
      <c r="V1337">
        <f>(T1337+U1337)/2</f>
        <v>239.5</v>
      </c>
      <c r="W1337">
        <f>T1337-U1337</f>
        <v>5</v>
      </c>
      <c r="X1337" s="4">
        <v>-54.37</v>
      </c>
      <c r="Y1337" s="4">
        <v>-29.67</v>
      </c>
      <c r="Z1337" s="2"/>
      <c r="AA1337" s="2" t="s">
        <v>367</v>
      </c>
      <c r="AB1337" s="2" t="s">
        <v>2387</v>
      </c>
      <c r="AC1337" s="7" t="s">
        <v>2450</v>
      </c>
      <c r="AD1337" s="2" t="s">
        <v>382</v>
      </c>
      <c r="AE1337" s="2" t="s">
        <v>2388</v>
      </c>
      <c r="AF1337" s="2" t="s">
        <v>383</v>
      </c>
      <c r="AG1337" s="2" t="s">
        <v>385</v>
      </c>
      <c r="AH1337" s="2"/>
      <c r="AI1337" s="2" t="s">
        <v>2451</v>
      </c>
      <c r="AJ1337" s="2">
        <v>2024</v>
      </c>
      <c r="AK1337" s="2" t="s">
        <v>2452</v>
      </c>
      <c r="AL1337" s="2" t="s">
        <v>2453</v>
      </c>
      <c r="AM1337" s="2"/>
      <c r="AN1337" s="2"/>
      <c r="AO1337" s="2"/>
      <c r="AP1337" s="2"/>
      <c r="AQ1337" s="2"/>
      <c r="AR1337" s="2"/>
      <c r="AS1337" s="2"/>
      <c r="AT1337" s="2"/>
      <c r="AU1337" s="2"/>
      <c r="AV1337" s="2"/>
      <c r="AW1337" s="2"/>
      <c r="AX1337" s="2"/>
      <c r="AY1337" s="2"/>
      <c r="AZ1337" s="2"/>
      <c r="BA1337" s="2"/>
      <c r="BB1337" s="2"/>
    </row>
    <row r="1338" spans="1:54" x14ac:dyDescent="0.4">
      <c r="A1338" s="1" t="s">
        <v>2454</v>
      </c>
      <c r="B1338" s="1"/>
      <c r="C1338" s="1"/>
      <c r="D1338" s="1" t="s">
        <v>54</v>
      </c>
      <c r="E1338" s="1"/>
      <c r="F1338" s="19" t="s">
        <v>2455</v>
      </c>
      <c r="G1338" s="1">
        <v>1</v>
      </c>
      <c r="H1338" s="1" t="s">
        <v>2281</v>
      </c>
      <c r="I1338" s="2" t="s">
        <v>57</v>
      </c>
      <c r="J1338" s="2" t="s">
        <v>2282</v>
      </c>
      <c r="K1338" s="2" t="s">
        <v>159</v>
      </c>
      <c r="L1338" s="3" t="s">
        <v>2456</v>
      </c>
      <c r="M1338" s="2" t="s">
        <v>59</v>
      </c>
      <c r="N1338" s="3"/>
      <c r="O1338" s="3"/>
      <c r="P1338" s="2" t="s">
        <v>111</v>
      </c>
      <c r="Q1338" s="2"/>
      <c r="R1338" s="2" t="s">
        <v>112</v>
      </c>
      <c r="S1338" s="2" t="s">
        <v>61</v>
      </c>
      <c r="T1338">
        <v>242</v>
      </c>
      <c r="U1338">
        <v>237</v>
      </c>
      <c r="V1338">
        <f>(T1338+U1338)/2</f>
        <v>239.5</v>
      </c>
      <c r="W1338">
        <f>T1338-U1338</f>
        <v>5</v>
      </c>
      <c r="X1338" s="4">
        <v>-52.75</v>
      </c>
      <c r="Y1338" s="4">
        <v>-29.78</v>
      </c>
      <c r="Z1338" s="2"/>
      <c r="AA1338" s="2" t="s">
        <v>367</v>
      </c>
      <c r="AB1338" s="2" t="s">
        <v>2387</v>
      </c>
      <c r="AC1338" s="2" t="s">
        <v>2429</v>
      </c>
      <c r="AD1338" s="2" t="s">
        <v>382</v>
      </c>
      <c r="AE1338" s="2" t="s">
        <v>2388</v>
      </c>
      <c r="AF1338" s="2" t="s">
        <v>383</v>
      </c>
      <c r="AG1338" s="3" t="s">
        <v>385</v>
      </c>
      <c r="AH1338" s="3"/>
      <c r="AI1338" s="2" t="s">
        <v>2457</v>
      </c>
      <c r="AJ1338" s="4">
        <v>2023</v>
      </c>
      <c r="AK1338" s="7" t="s">
        <v>2389</v>
      </c>
      <c r="AL1338" s="5" t="s">
        <v>2458</v>
      </c>
      <c r="AM1338" s="2"/>
      <c r="AN1338" s="2"/>
      <c r="AO1338" s="2"/>
      <c r="AP1338" s="2"/>
      <c r="AQ1338" s="2"/>
      <c r="AR1338" s="2"/>
      <c r="AS1338" s="2"/>
      <c r="AT1338" s="2"/>
      <c r="AU1338" s="2"/>
      <c r="AV1338" s="2"/>
      <c r="AW1338" s="2"/>
      <c r="AX1338" s="2"/>
      <c r="AY1338" s="2"/>
      <c r="AZ1338" s="2"/>
      <c r="BA1338" s="2"/>
      <c r="BB1338" s="2"/>
    </row>
    <row r="1339" spans="1:54" x14ac:dyDescent="0.4">
      <c r="A1339" s="1" t="s">
        <v>2459</v>
      </c>
      <c r="B1339" s="1"/>
      <c r="C1339" s="1"/>
      <c r="D1339" s="1" t="s">
        <v>54</v>
      </c>
      <c r="E1339" s="1"/>
      <c r="F1339" s="11" t="s">
        <v>2460</v>
      </c>
      <c r="G1339" s="1">
        <v>1</v>
      </c>
      <c r="H1339" s="1" t="s">
        <v>2281</v>
      </c>
      <c r="I1339" s="2" t="s">
        <v>57</v>
      </c>
      <c r="J1339" s="2" t="s">
        <v>2282</v>
      </c>
      <c r="K1339" s="2" t="s">
        <v>109</v>
      </c>
      <c r="L1339" s="3" t="s">
        <v>2461</v>
      </c>
      <c r="M1339" s="2" t="s">
        <v>59</v>
      </c>
      <c r="N1339" s="3"/>
      <c r="O1339" s="3"/>
      <c r="P1339" s="2" t="s">
        <v>111</v>
      </c>
      <c r="Q1339" s="2"/>
      <c r="R1339" s="2" t="s">
        <v>112</v>
      </c>
      <c r="S1339" s="2" t="s">
        <v>61</v>
      </c>
      <c r="T1339">
        <v>242</v>
      </c>
      <c r="U1339">
        <v>237</v>
      </c>
      <c r="V1339">
        <f>(T1339+U1339)/2</f>
        <v>239.5</v>
      </c>
      <c r="W1339">
        <f>T1339-U1339</f>
        <v>5</v>
      </c>
      <c r="X1339" s="4">
        <v>-53.15</v>
      </c>
      <c r="Y1339" s="4">
        <v>-29.73</v>
      </c>
      <c r="Z1339" s="2"/>
      <c r="AA1339" s="2" t="s">
        <v>367</v>
      </c>
      <c r="AB1339" s="2" t="s">
        <v>2387</v>
      </c>
      <c r="AC1339" s="2" t="s">
        <v>2444</v>
      </c>
      <c r="AD1339" s="2" t="s">
        <v>382</v>
      </c>
      <c r="AE1339" s="2" t="s">
        <v>2388</v>
      </c>
      <c r="AF1339" s="2" t="s">
        <v>383</v>
      </c>
      <c r="AG1339" s="3" t="s">
        <v>385</v>
      </c>
      <c r="AH1339" s="3"/>
      <c r="AI1339" s="2" t="s">
        <v>2462</v>
      </c>
      <c r="AJ1339" s="4">
        <v>2024</v>
      </c>
      <c r="AK1339" s="7" t="s">
        <v>2393</v>
      </c>
      <c r="AL1339" s="5" t="s">
        <v>2463</v>
      </c>
      <c r="AM1339" s="2"/>
      <c r="AN1339" s="2"/>
      <c r="AO1339" s="2"/>
      <c r="AP1339" s="2"/>
      <c r="AQ1339" s="2"/>
      <c r="AR1339" s="2"/>
      <c r="AS1339" s="2"/>
      <c r="AT1339" s="2"/>
      <c r="AU1339" s="2"/>
      <c r="AV1339" s="2"/>
      <c r="AW1339" s="2"/>
      <c r="AX1339" s="2"/>
      <c r="AY1339" s="2"/>
      <c r="AZ1339" s="2"/>
      <c r="BA1339" s="2"/>
      <c r="BB1339" s="2"/>
    </row>
    <row r="1340" spans="1:54" x14ac:dyDescent="0.4">
      <c r="A1340" s="1" t="s">
        <v>2464</v>
      </c>
      <c r="B1340" s="1"/>
      <c r="C1340" s="1"/>
      <c r="D1340" s="1" t="s">
        <v>54</v>
      </c>
      <c r="E1340" s="1"/>
      <c r="F1340" s="1" t="s">
        <v>2465</v>
      </c>
      <c r="G1340" s="1">
        <v>1</v>
      </c>
      <c r="H1340" s="1" t="s">
        <v>2281</v>
      </c>
      <c r="I1340" s="2" t="s">
        <v>57</v>
      </c>
      <c r="J1340" s="2" t="s">
        <v>2282</v>
      </c>
      <c r="K1340" s="2" t="s">
        <v>373</v>
      </c>
      <c r="L1340" s="3" t="s">
        <v>2466</v>
      </c>
      <c r="M1340" s="2" t="s">
        <v>59</v>
      </c>
      <c r="N1340" s="3"/>
      <c r="O1340" s="3"/>
      <c r="P1340" s="2" t="s">
        <v>111</v>
      </c>
      <c r="Q1340" s="2"/>
      <c r="R1340" s="2" t="s">
        <v>112</v>
      </c>
      <c r="S1340" s="2" t="s">
        <v>61</v>
      </c>
      <c r="T1340">
        <v>242</v>
      </c>
      <c r="U1340">
        <v>237</v>
      </c>
      <c r="V1340">
        <f>(T1340+U1340)/2</f>
        <v>239.5</v>
      </c>
      <c r="W1340">
        <f>T1340-U1340</f>
        <v>5</v>
      </c>
      <c r="X1340" s="4">
        <v>-67.753100000000003</v>
      </c>
      <c r="Y1340" s="4">
        <v>-29.817399999999999</v>
      </c>
      <c r="Z1340" s="4"/>
      <c r="AA1340" s="2" t="s">
        <v>114</v>
      </c>
      <c r="AB1340" s="2" t="s">
        <v>2467</v>
      </c>
      <c r="AC1340" s="2" t="s">
        <v>2468</v>
      </c>
      <c r="AD1340" s="3" t="s">
        <v>2469</v>
      </c>
      <c r="AE1340" s="2" t="s">
        <v>2470</v>
      </c>
      <c r="AF1340" s="2" t="s">
        <v>2283</v>
      </c>
      <c r="AG1340" s="2" t="s">
        <v>167</v>
      </c>
      <c r="AH1340" s="2"/>
      <c r="AI1340" s="2" t="s">
        <v>2471</v>
      </c>
      <c r="AJ1340" s="2">
        <v>2020</v>
      </c>
      <c r="AK1340" s="4" t="s">
        <v>2472</v>
      </c>
      <c r="AL1340" s="8" t="s">
        <v>2473</v>
      </c>
      <c r="AM1340" s="2"/>
      <c r="AN1340" s="2"/>
      <c r="AO1340" s="2"/>
      <c r="AP1340" s="2"/>
      <c r="AQ1340" s="2"/>
      <c r="AR1340" s="2"/>
      <c r="AS1340" s="2"/>
      <c r="AT1340" s="2"/>
      <c r="AU1340" s="2"/>
      <c r="AV1340" s="2"/>
      <c r="AW1340" s="2"/>
      <c r="AX1340" s="2"/>
      <c r="AY1340" s="2"/>
      <c r="AZ1340" s="2"/>
      <c r="BA1340" s="2"/>
      <c r="BB1340" s="2"/>
    </row>
    <row r="1341" spans="1:54" x14ac:dyDescent="0.4">
      <c r="A1341" s="1" t="s">
        <v>2474</v>
      </c>
      <c r="B1341" s="1"/>
      <c r="C1341" s="1"/>
      <c r="D1341" s="1" t="s">
        <v>54</v>
      </c>
      <c r="E1341" s="1"/>
      <c r="F1341" s="1" t="s">
        <v>2475</v>
      </c>
      <c r="G1341" s="1">
        <v>1</v>
      </c>
      <c r="H1341" s="1" t="s">
        <v>2281</v>
      </c>
      <c r="I1341" s="2" t="s">
        <v>57</v>
      </c>
      <c r="J1341" s="2" t="s">
        <v>2282</v>
      </c>
      <c r="K1341" s="2" t="s">
        <v>2283</v>
      </c>
      <c r="L1341" s="3" t="s">
        <v>2476</v>
      </c>
      <c r="M1341" s="2" t="s">
        <v>59</v>
      </c>
      <c r="N1341" s="3"/>
      <c r="O1341" s="3"/>
      <c r="P1341" s="2" t="s">
        <v>111</v>
      </c>
      <c r="Q1341" s="2"/>
      <c r="R1341" s="2" t="s">
        <v>112</v>
      </c>
      <c r="S1341" s="2" t="s">
        <v>61</v>
      </c>
      <c r="T1341">
        <v>242</v>
      </c>
      <c r="U1341">
        <v>237</v>
      </c>
      <c r="V1341">
        <f>(T1341+U1341)/2</f>
        <v>239.5</v>
      </c>
      <c r="W1341">
        <f>T1341-U1341</f>
        <v>5</v>
      </c>
      <c r="X1341" s="12">
        <v>-68.5</v>
      </c>
      <c r="Y1341" s="12">
        <v>-34.909999999999997</v>
      </c>
      <c r="Z1341" s="7"/>
      <c r="AA1341" s="2" t="s">
        <v>114</v>
      </c>
      <c r="AB1341" s="2" t="s">
        <v>2477</v>
      </c>
      <c r="AC1341" s="2" t="s">
        <v>2478</v>
      </c>
      <c r="AD1341" s="2" t="s">
        <v>2479</v>
      </c>
      <c r="AE1341" s="2" t="s">
        <v>2283</v>
      </c>
      <c r="AF1341" s="2" t="s">
        <v>2283</v>
      </c>
      <c r="AG1341" s="3" t="s">
        <v>2283</v>
      </c>
      <c r="AH1341" s="3"/>
      <c r="AI1341" s="2" t="s">
        <v>2480</v>
      </c>
      <c r="AJ1341" s="2">
        <v>2010</v>
      </c>
      <c r="AK1341" s="4" t="s">
        <v>2481</v>
      </c>
      <c r="AL1341" s="8" t="s">
        <v>2482</v>
      </c>
      <c r="AM1341" s="2"/>
      <c r="AN1341" s="2"/>
      <c r="AO1341" s="2"/>
      <c r="AP1341" s="2"/>
      <c r="AQ1341" s="2"/>
      <c r="AR1341" s="2"/>
      <c r="AS1341" s="2"/>
      <c r="AT1341" s="2"/>
      <c r="AU1341" s="2"/>
      <c r="AV1341" s="2"/>
      <c r="AW1341" s="2"/>
      <c r="AX1341" s="2"/>
      <c r="AY1341" s="2"/>
      <c r="AZ1341" s="2"/>
      <c r="BA1341" s="2"/>
      <c r="BB1341" s="2"/>
    </row>
    <row r="1342" spans="1:54" x14ac:dyDescent="0.4">
      <c r="A1342">
        <v>1289434</v>
      </c>
      <c r="D1342" t="s">
        <v>54</v>
      </c>
      <c r="E1342" t="s">
        <v>55</v>
      </c>
      <c r="G1342">
        <v>1</v>
      </c>
      <c r="H1342" t="s">
        <v>56</v>
      </c>
      <c r="I1342" t="s">
        <v>57</v>
      </c>
      <c r="K1342" t="s">
        <v>355</v>
      </c>
      <c r="L1342" t="s">
        <v>826</v>
      </c>
      <c r="M1342" t="s">
        <v>59</v>
      </c>
      <c r="P1342" t="s">
        <v>111</v>
      </c>
      <c r="R1342" t="s">
        <v>112</v>
      </c>
      <c r="S1342" t="s">
        <v>61</v>
      </c>
      <c r="T1342">
        <v>242</v>
      </c>
      <c r="U1342">
        <v>239.7</v>
      </c>
      <c r="V1342">
        <f>(T1342+U1342)/2</f>
        <v>240.85</v>
      </c>
      <c r="W1342">
        <f>T1342-U1342</f>
        <v>2.3000000000000114</v>
      </c>
      <c r="X1342">
        <v>9.82</v>
      </c>
      <c r="Y1342">
        <v>46.68</v>
      </c>
      <c r="Z1342" t="s">
        <v>268</v>
      </c>
      <c r="AA1342" t="s">
        <v>133</v>
      </c>
      <c r="AB1342" t="s">
        <v>1859</v>
      </c>
      <c r="AD1342" t="s">
        <v>1860</v>
      </c>
      <c r="AH1342" t="s">
        <v>65</v>
      </c>
      <c r="AI1342" t="s">
        <v>1861</v>
      </c>
      <c r="AJ1342">
        <v>2013</v>
      </c>
      <c r="AK1342" t="s">
        <v>1862</v>
      </c>
      <c r="AN1342" t="s">
        <v>94</v>
      </c>
      <c r="AO1342">
        <v>2</v>
      </c>
      <c r="AP1342" t="s">
        <v>95</v>
      </c>
      <c r="AR1342" t="s">
        <v>70</v>
      </c>
      <c r="AS1342">
        <v>307</v>
      </c>
      <c r="AT1342" t="s">
        <v>71</v>
      </c>
      <c r="AU1342">
        <v>34.409999999999997</v>
      </c>
      <c r="AV1342">
        <v>17.920000000000002</v>
      </c>
      <c r="AW1342" t="s">
        <v>72</v>
      </c>
      <c r="AX1342">
        <v>307</v>
      </c>
      <c r="AY1342" t="s">
        <v>71</v>
      </c>
      <c r="AZ1342">
        <v>21.16</v>
      </c>
      <c r="BA1342">
        <v>9.14</v>
      </c>
      <c r="BB1342" t="s">
        <v>73</v>
      </c>
    </row>
    <row r="1343" spans="1:54" x14ac:dyDescent="0.4">
      <c r="A1343">
        <v>1289435</v>
      </c>
      <c r="D1343" t="s">
        <v>54</v>
      </c>
      <c r="E1343" t="s">
        <v>55</v>
      </c>
      <c r="G1343">
        <v>1</v>
      </c>
      <c r="H1343" t="s">
        <v>56</v>
      </c>
      <c r="I1343" t="s">
        <v>57</v>
      </c>
      <c r="K1343" t="s">
        <v>355</v>
      </c>
      <c r="L1343" t="s">
        <v>826</v>
      </c>
      <c r="M1343" t="s">
        <v>59</v>
      </c>
      <c r="P1343" t="s">
        <v>111</v>
      </c>
      <c r="R1343" t="s">
        <v>112</v>
      </c>
      <c r="S1343" t="s">
        <v>61</v>
      </c>
      <c r="T1343">
        <v>242</v>
      </c>
      <c r="U1343">
        <v>239.7</v>
      </c>
      <c r="V1343">
        <f>(T1343+U1343)/2</f>
        <v>240.85</v>
      </c>
      <c r="W1343">
        <f>T1343-U1343</f>
        <v>2.3000000000000114</v>
      </c>
      <c r="X1343">
        <v>9.8301689999999997</v>
      </c>
      <c r="Y1343">
        <v>46.674847</v>
      </c>
      <c r="Z1343" t="s">
        <v>268</v>
      </c>
      <c r="AA1343" t="s">
        <v>133</v>
      </c>
      <c r="AB1343" t="s">
        <v>1863</v>
      </c>
      <c r="AD1343" t="s">
        <v>1860</v>
      </c>
      <c r="AH1343" t="s">
        <v>65</v>
      </c>
      <c r="AI1343" t="s">
        <v>1861</v>
      </c>
      <c r="AJ1343">
        <v>2013</v>
      </c>
      <c r="AK1343" t="s">
        <v>1864</v>
      </c>
      <c r="AN1343" t="s">
        <v>94</v>
      </c>
      <c r="AO1343">
        <v>6</v>
      </c>
      <c r="AP1343" t="s">
        <v>95</v>
      </c>
      <c r="AR1343" t="s">
        <v>70</v>
      </c>
      <c r="AS1343">
        <v>307</v>
      </c>
      <c r="AT1343" t="s">
        <v>71</v>
      </c>
      <c r="AU1343">
        <v>34.409999999999997</v>
      </c>
      <c r="AV1343">
        <v>17.91</v>
      </c>
      <c r="AW1343" t="s">
        <v>72</v>
      </c>
      <c r="AX1343">
        <v>307</v>
      </c>
      <c r="AY1343" t="s">
        <v>71</v>
      </c>
      <c r="AZ1343">
        <v>21.16</v>
      </c>
      <c r="BA1343">
        <v>9.1300000000000008</v>
      </c>
      <c r="BB1343" t="s">
        <v>73</v>
      </c>
    </row>
    <row r="1344" spans="1:54" x14ac:dyDescent="0.4">
      <c r="A1344">
        <v>1417908</v>
      </c>
      <c r="D1344" t="s">
        <v>376</v>
      </c>
      <c r="F1344" t="s">
        <v>1012</v>
      </c>
      <c r="I1344" t="s">
        <v>57</v>
      </c>
      <c r="K1344" t="s">
        <v>1320</v>
      </c>
      <c r="L1344" t="s">
        <v>1321</v>
      </c>
      <c r="M1344" t="s">
        <v>59</v>
      </c>
      <c r="P1344" t="s">
        <v>111</v>
      </c>
      <c r="R1344" t="s">
        <v>112</v>
      </c>
      <c r="S1344" t="s">
        <v>61</v>
      </c>
      <c r="T1344">
        <v>242</v>
      </c>
      <c r="U1344">
        <v>239.7</v>
      </c>
      <c r="V1344">
        <f>(T1344+U1344)/2</f>
        <v>240.85</v>
      </c>
      <c r="W1344">
        <f>T1344-U1344</f>
        <v>2.3000000000000114</v>
      </c>
      <c r="X1344">
        <v>9.82</v>
      </c>
      <c r="Y1344">
        <v>46.68</v>
      </c>
      <c r="Z1344" t="s">
        <v>586</v>
      </c>
      <c r="AA1344" t="s">
        <v>133</v>
      </c>
      <c r="AD1344" t="s">
        <v>1860</v>
      </c>
      <c r="AH1344" t="s">
        <v>65</v>
      </c>
      <c r="AI1344" t="s">
        <v>2147</v>
      </c>
      <c r="AJ1344">
        <v>2017</v>
      </c>
      <c r="AK1344" t="s">
        <v>2148</v>
      </c>
      <c r="AN1344" t="s">
        <v>94</v>
      </c>
      <c r="AO1344">
        <v>2</v>
      </c>
      <c r="AP1344" t="s">
        <v>69</v>
      </c>
      <c r="AQ1344" t="s">
        <v>2149</v>
      </c>
      <c r="AR1344" t="s">
        <v>70</v>
      </c>
      <c r="AS1344">
        <v>307</v>
      </c>
      <c r="AT1344" t="s">
        <v>71</v>
      </c>
      <c r="AU1344">
        <v>34.409999999999997</v>
      </c>
      <c r="AV1344">
        <v>17.920000000000002</v>
      </c>
      <c r="AW1344" t="s">
        <v>72</v>
      </c>
      <c r="AX1344">
        <v>307</v>
      </c>
      <c r="AY1344" t="s">
        <v>71</v>
      </c>
      <c r="AZ1344">
        <v>21.16</v>
      </c>
      <c r="BA1344">
        <v>9.14</v>
      </c>
      <c r="BB1344" t="s">
        <v>73</v>
      </c>
    </row>
    <row r="1345" spans="1:54" x14ac:dyDescent="0.4">
      <c r="A1345">
        <v>880946</v>
      </c>
      <c r="D1345" t="s">
        <v>54</v>
      </c>
      <c r="E1345" t="s">
        <v>55</v>
      </c>
      <c r="G1345">
        <v>1</v>
      </c>
      <c r="H1345" t="s">
        <v>56</v>
      </c>
      <c r="I1345" t="s">
        <v>57</v>
      </c>
      <c r="K1345" t="s">
        <v>355</v>
      </c>
      <c r="L1345" t="s">
        <v>451</v>
      </c>
      <c r="M1345" t="s">
        <v>59</v>
      </c>
      <c r="N1345" t="s">
        <v>97</v>
      </c>
      <c r="O1345" t="s">
        <v>179</v>
      </c>
      <c r="P1345" t="s">
        <v>111</v>
      </c>
      <c r="R1345" t="s">
        <v>112</v>
      </c>
      <c r="S1345" t="s">
        <v>61</v>
      </c>
      <c r="T1345">
        <v>239.7</v>
      </c>
      <c r="U1345">
        <v>237</v>
      </c>
      <c r="V1345">
        <f>(T1345+U1345)/2</f>
        <v>238.35</v>
      </c>
      <c r="W1345">
        <f>T1345-U1345</f>
        <v>2.6999999999999886</v>
      </c>
      <c r="X1345">
        <v>104.900002</v>
      </c>
      <c r="Y1345">
        <v>25.083331999999999</v>
      </c>
      <c r="Z1345" t="s">
        <v>268</v>
      </c>
      <c r="AA1345" t="s">
        <v>186</v>
      </c>
      <c r="AB1345" t="s">
        <v>332</v>
      </c>
      <c r="AC1345" t="s">
        <v>1368</v>
      </c>
      <c r="AD1345" t="s">
        <v>1367</v>
      </c>
      <c r="AF1345" t="s">
        <v>1369</v>
      </c>
      <c r="AH1345" t="s">
        <v>65</v>
      </c>
      <c r="AI1345" t="s">
        <v>1370</v>
      </c>
      <c r="AJ1345">
        <v>2010</v>
      </c>
      <c r="AK1345" t="s">
        <v>1371</v>
      </c>
      <c r="AN1345" t="s">
        <v>94</v>
      </c>
      <c r="AO1345" t="s">
        <v>106</v>
      </c>
      <c r="AP1345" t="s">
        <v>95</v>
      </c>
      <c r="AQ1345" t="s">
        <v>1372</v>
      </c>
      <c r="AR1345" t="s">
        <v>70</v>
      </c>
      <c r="AS1345">
        <v>611</v>
      </c>
      <c r="AT1345" t="s">
        <v>71</v>
      </c>
      <c r="AU1345">
        <v>108.63</v>
      </c>
      <c r="AV1345">
        <v>-6.77</v>
      </c>
      <c r="AW1345" t="s">
        <v>72</v>
      </c>
      <c r="AX1345">
        <v>611</v>
      </c>
      <c r="AY1345" t="s">
        <v>71</v>
      </c>
      <c r="AZ1345">
        <v>93.98</v>
      </c>
      <c r="BA1345">
        <v>16.8</v>
      </c>
      <c r="BB1345" t="s">
        <v>73</v>
      </c>
    </row>
    <row r="1346" spans="1:54" x14ac:dyDescent="0.4">
      <c r="A1346">
        <v>906398</v>
      </c>
      <c r="D1346" t="s">
        <v>54</v>
      </c>
      <c r="E1346" t="s">
        <v>55</v>
      </c>
      <c r="F1346" t="s">
        <v>1427</v>
      </c>
      <c r="I1346" t="s">
        <v>57</v>
      </c>
      <c r="K1346" t="s">
        <v>102</v>
      </c>
      <c r="L1346" t="s">
        <v>1466</v>
      </c>
      <c r="M1346" t="s">
        <v>59</v>
      </c>
      <c r="O1346" t="s">
        <v>76</v>
      </c>
      <c r="P1346" t="s">
        <v>111</v>
      </c>
      <c r="R1346" t="s">
        <v>112</v>
      </c>
      <c r="S1346" t="s">
        <v>61</v>
      </c>
      <c r="T1346">
        <v>239.7</v>
      </c>
      <c r="U1346">
        <v>237</v>
      </c>
      <c r="V1346">
        <f>(T1346+U1346)/2</f>
        <v>238.35</v>
      </c>
      <c r="W1346">
        <f>T1346-U1346</f>
        <v>2.6999999999999886</v>
      </c>
      <c r="X1346">
        <v>9.6811109999999996</v>
      </c>
      <c r="Y1346">
        <v>49.214443000000003</v>
      </c>
      <c r="Z1346" t="s">
        <v>1467</v>
      </c>
      <c r="AA1346" t="s">
        <v>128</v>
      </c>
      <c r="AB1346" t="s">
        <v>129</v>
      </c>
      <c r="AC1346" t="s">
        <v>1468</v>
      </c>
      <c r="AD1346" t="s">
        <v>390</v>
      </c>
      <c r="AE1346" t="s">
        <v>130</v>
      </c>
      <c r="AF1346" t="s">
        <v>1469</v>
      </c>
      <c r="AH1346" t="s">
        <v>65</v>
      </c>
      <c r="AI1346" t="s">
        <v>1470</v>
      </c>
      <c r="AJ1346">
        <v>1999</v>
      </c>
      <c r="AK1346" t="s">
        <v>1471</v>
      </c>
      <c r="AM1346" t="s">
        <v>1472</v>
      </c>
      <c r="AN1346" t="s">
        <v>67</v>
      </c>
      <c r="AO1346" t="s">
        <v>68</v>
      </c>
      <c r="AP1346" t="s">
        <v>69</v>
      </c>
      <c r="AQ1346" t="s">
        <v>1473</v>
      </c>
      <c r="AR1346" t="s">
        <v>70</v>
      </c>
      <c r="AS1346">
        <v>305</v>
      </c>
      <c r="AT1346" t="s">
        <v>71</v>
      </c>
      <c r="AU1346">
        <v>27.71</v>
      </c>
      <c r="AV1346">
        <v>28.87</v>
      </c>
      <c r="AW1346" t="s">
        <v>72</v>
      </c>
      <c r="AX1346">
        <v>305</v>
      </c>
      <c r="AY1346" t="s">
        <v>71</v>
      </c>
      <c r="AZ1346">
        <v>17.3</v>
      </c>
      <c r="BA1346">
        <v>16.309999999999999</v>
      </c>
      <c r="BB1346" t="s">
        <v>73</v>
      </c>
    </row>
    <row r="1347" spans="1:54" x14ac:dyDescent="0.4">
      <c r="A1347">
        <v>906404</v>
      </c>
      <c r="D1347" t="s">
        <v>54</v>
      </c>
      <c r="E1347" t="s">
        <v>55</v>
      </c>
      <c r="F1347" t="s">
        <v>1427</v>
      </c>
      <c r="G1347">
        <v>4</v>
      </c>
      <c r="H1347" t="s">
        <v>74</v>
      </c>
      <c r="I1347" t="s">
        <v>57</v>
      </c>
      <c r="K1347" t="s">
        <v>102</v>
      </c>
      <c r="L1347" t="s">
        <v>1466</v>
      </c>
      <c r="M1347" t="s">
        <v>59</v>
      </c>
      <c r="O1347" t="s">
        <v>76</v>
      </c>
      <c r="P1347" t="s">
        <v>111</v>
      </c>
      <c r="R1347" t="s">
        <v>112</v>
      </c>
      <c r="S1347" t="s">
        <v>61</v>
      </c>
      <c r="T1347">
        <v>239.7</v>
      </c>
      <c r="U1347">
        <v>237</v>
      </c>
      <c r="V1347">
        <f>(T1347+U1347)/2</f>
        <v>238.35</v>
      </c>
      <c r="W1347">
        <f>T1347-U1347</f>
        <v>2.6999999999999886</v>
      </c>
      <c r="X1347">
        <v>9.8866669999999992</v>
      </c>
      <c r="Y1347">
        <v>49.077499000000003</v>
      </c>
      <c r="Z1347" t="s">
        <v>1467</v>
      </c>
      <c r="AA1347" t="s">
        <v>128</v>
      </c>
      <c r="AB1347" t="s">
        <v>129</v>
      </c>
      <c r="AC1347" t="s">
        <v>1474</v>
      </c>
      <c r="AD1347" t="s">
        <v>390</v>
      </c>
      <c r="AE1347" t="s">
        <v>130</v>
      </c>
      <c r="AF1347" t="s">
        <v>1469</v>
      </c>
      <c r="AH1347" t="s">
        <v>65</v>
      </c>
      <c r="AI1347" t="s">
        <v>1475</v>
      </c>
      <c r="AJ1347">
        <v>2009</v>
      </c>
      <c r="AK1347" t="s">
        <v>1476</v>
      </c>
      <c r="AM1347" t="s">
        <v>1477</v>
      </c>
      <c r="AN1347" t="s">
        <v>121</v>
      </c>
      <c r="AO1347" t="s">
        <v>68</v>
      </c>
      <c r="AP1347" t="s">
        <v>69</v>
      </c>
      <c r="AQ1347" t="s">
        <v>1478</v>
      </c>
      <c r="AR1347" t="s">
        <v>70</v>
      </c>
      <c r="AS1347">
        <v>305</v>
      </c>
      <c r="AT1347" t="s">
        <v>71</v>
      </c>
      <c r="AU1347">
        <v>27.89</v>
      </c>
      <c r="AV1347">
        <v>28.77</v>
      </c>
      <c r="AW1347" t="s">
        <v>72</v>
      </c>
      <c r="AX1347">
        <v>305</v>
      </c>
      <c r="AY1347" t="s">
        <v>71</v>
      </c>
      <c r="AZ1347">
        <v>17.489999999999998</v>
      </c>
      <c r="BA1347">
        <v>16.25</v>
      </c>
      <c r="BB1347" t="s">
        <v>73</v>
      </c>
    </row>
    <row r="1348" spans="1:54" x14ac:dyDescent="0.4">
      <c r="A1348">
        <v>906408</v>
      </c>
      <c r="D1348" t="s">
        <v>54</v>
      </c>
      <c r="G1348">
        <v>1</v>
      </c>
      <c r="H1348" t="s">
        <v>228</v>
      </c>
      <c r="I1348" t="s">
        <v>57</v>
      </c>
      <c r="K1348" t="s">
        <v>102</v>
      </c>
      <c r="L1348" t="s">
        <v>1466</v>
      </c>
      <c r="M1348" t="s">
        <v>59</v>
      </c>
      <c r="O1348" t="s">
        <v>76</v>
      </c>
      <c r="P1348" t="s">
        <v>111</v>
      </c>
      <c r="R1348" t="s">
        <v>112</v>
      </c>
      <c r="S1348" t="s">
        <v>61</v>
      </c>
      <c r="T1348">
        <v>239.7</v>
      </c>
      <c r="U1348">
        <v>237</v>
      </c>
      <c r="V1348">
        <f>(T1348+U1348)/2</f>
        <v>238.35</v>
      </c>
      <c r="W1348">
        <f>T1348-U1348</f>
        <v>2.6999999999999886</v>
      </c>
      <c r="X1348">
        <v>10.071944</v>
      </c>
      <c r="Y1348">
        <v>49.134166999999998</v>
      </c>
      <c r="Z1348" t="s">
        <v>428</v>
      </c>
      <c r="AA1348" t="s">
        <v>128</v>
      </c>
      <c r="AB1348" t="s">
        <v>129</v>
      </c>
      <c r="AC1348" t="s">
        <v>1474</v>
      </c>
      <c r="AD1348" t="s">
        <v>390</v>
      </c>
      <c r="AE1348" t="s">
        <v>130</v>
      </c>
      <c r="AF1348" t="s">
        <v>1469</v>
      </c>
      <c r="AH1348" t="s">
        <v>65</v>
      </c>
      <c r="AI1348" t="s">
        <v>1475</v>
      </c>
      <c r="AJ1348">
        <v>2009</v>
      </c>
      <c r="AK1348" t="s">
        <v>1479</v>
      </c>
      <c r="AN1348" t="s">
        <v>94</v>
      </c>
      <c r="AO1348" t="s">
        <v>68</v>
      </c>
      <c r="AP1348" t="s">
        <v>69</v>
      </c>
      <c r="AQ1348" t="s">
        <v>1480</v>
      </c>
      <c r="AR1348" t="s">
        <v>70</v>
      </c>
      <c r="AS1348">
        <v>305</v>
      </c>
      <c r="AT1348" t="s">
        <v>71</v>
      </c>
      <c r="AU1348">
        <v>28.01</v>
      </c>
      <c r="AV1348">
        <v>28.86</v>
      </c>
      <c r="AW1348" t="s">
        <v>72</v>
      </c>
      <c r="AX1348">
        <v>305</v>
      </c>
      <c r="AY1348" t="s">
        <v>71</v>
      </c>
      <c r="AZ1348">
        <v>17.579999999999998</v>
      </c>
      <c r="BA1348">
        <v>16.350000000000001</v>
      </c>
      <c r="BB1348" t="s">
        <v>73</v>
      </c>
    </row>
    <row r="1349" spans="1:54" x14ac:dyDescent="0.4">
      <c r="A1349">
        <v>929794</v>
      </c>
      <c r="D1349" t="s">
        <v>54</v>
      </c>
      <c r="E1349" t="s">
        <v>55</v>
      </c>
      <c r="F1349" t="s">
        <v>1427</v>
      </c>
      <c r="I1349" t="s">
        <v>57</v>
      </c>
      <c r="K1349" t="s">
        <v>355</v>
      </c>
      <c r="L1349" t="s">
        <v>451</v>
      </c>
      <c r="M1349" t="s">
        <v>59</v>
      </c>
      <c r="N1349" t="s">
        <v>97</v>
      </c>
      <c r="O1349" t="s">
        <v>179</v>
      </c>
      <c r="P1349" t="s">
        <v>111</v>
      </c>
      <c r="R1349" t="s">
        <v>112</v>
      </c>
      <c r="S1349" t="s">
        <v>61</v>
      </c>
      <c r="T1349">
        <v>239.7</v>
      </c>
      <c r="U1349">
        <v>237</v>
      </c>
      <c r="V1349">
        <f>(T1349+U1349)/2</f>
        <v>238.35</v>
      </c>
      <c r="W1349">
        <f>T1349-U1349</f>
        <v>2.6999999999999886</v>
      </c>
      <c r="X1349">
        <v>9.6811109999999996</v>
      </c>
      <c r="Y1349">
        <v>49.214443000000003</v>
      </c>
      <c r="Z1349" t="s">
        <v>1467</v>
      </c>
      <c r="AA1349" t="s">
        <v>128</v>
      </c>
      <c r="AB1349" t="s">
        <v>129</v>
      </c>
      <c r="AC1349" t="s">
        <v>1468</v>
      </c>
      <c r="AD1349" t="s">
        <v>390</v>
      </c>
      <c r="AE1349" t="s">
        <v>130</v>
      </c>
      <c r="AF1349" t="s">
        <v>1469</v>
      </c>
      <c r="AH1349" t="s">
        <v>65</v>
      </c>
      <c r="AI1349" t="s">
        <v>1013</v>
      </c>
      <c r="AJ1349">
        <v>1999</v>
      </c>
      <c r="AK1349" t="s">
        <v>1471</v>
      </c>
      <c r="AM1349" t="s">
        <v>1472</v>
      </c>
      <c r="AN1349" t="s">
        <v>67</v>
      </c>
      <c r="AO1349" t="s">
        <v>68</v>
      </c>
      <c r="AP1349" t="s">
        <v>69</v>
      </c>
      <c r="AQ1349" t="s">
        <v>1473</v>
      </c>
      <c r="AR1349" t="s">
        <v>70</v>
      </c>
      <c r="AS1349">
        <v>305</v>
      </c>
      <c r="AT1349" t="s">
        <v>71</v>
      </c>
      <c r="AU1349">
        <v>27.71</v>
      </c>
      <c r="AV1349">
        <v>28.87</v>
      </c>
      <c r="AW1349" t="s">
        <v>72</v>
      </c>
      <c r="AX1349">
        <v>305</v>
      </c>
      <c r="AY1349" t="s">
        <v>71</v>
      </c>
      <c r="AZ1349">
        <v>17.3</v>
      </c>
      <c r="BA1349">
        <v>16.309999999999999</v>
      </c>
      <c r="BB1349" t="s">
        <v>73</v>
      </c>
    </row>
    <row r="1350" spans="1:54" x14ac:dyDescent="0.4">
      <c r="A1350">
        <v>945415</v>
      </c>
      <c r="D1350" t="s">
        <v>1612</v>
      </c>
      <c r="I1350" t="s">
        <v>57</v>
      </c>
      <c r="K1350" t="s">
        <v>102</v>
      </c>
      <c r="L1350" t="s">
        <v>1613</v>
      </c>
      <c r="M1350" t="s">
        <v>59</v>
      </c>
      <c r="P1350" t="s">
        <v>111</v>
      </c>
      <c r="R1350" t="s">
        <v>112</v>
      </c>
      <c r="S1350" t="s">
        <v>61</v>
      </c>
      <c r="T1350">
        <v>239.7</v>
      </c>
      <c r="U1350">
        <v>237</v>
      </c>
      <c r="V1350">
        <f>(T1350+U1350)/2</f>
        <v>238.35</v>
      </c>
      <c r="W1350">
        <f>T1350-U1350</f>
        <v>2.6999999999999886</v>
      </c>
      <c r="X1350">
        <v>1.1166670000000001</v>
      </c>
      <c r="Y1350">
        <v>41.266666000000001</v>
      </c>
      <c r="Z1350" t="s">
        <v>465</v>
      </c>
      <c r="AA1350" t="s">
        <v>1614</v>
      </c>
      <c r="AB1350" t="s">
        <v>1615</v>
      </c>
      <c r="AD1350" t="s">
        <v>463</v>
      </c>
      <c r="AH1350" t="s">
        <v>65</v>
      </c>
      <c r="AI1350" t="s">
        <v>1616</v>
      </c>
      <c r="AJ1350">
        <v>1977</v>
      </c>
      <c r="AK1350" t="s">
        <v>1617</v>
      </c>
      <c r="AN1350" t="s">
        <v>121</v>
      </c>
      <c r="AO1350" t="s">
        <v>106</v>
      </c>
      <c r="AP1350" t="s">
        <v>69</v>
      </c>
      <c r="AQ1350" t="s">
        <v>1618</v>
      </c>
      <c r="AR1350" t="s">
        <v>70</v>
      </c>
      <c r="AS1350">
        <v>304</v>
      </c>
      <c r="AT1350" t="s">
        <v>71</v>
      </c>
      <c r="AU1350">
        <v>22.77</v>
      </c>
      <c r="AV1350">
        <v>19.100000000000001</v>
      </c>
      <c r="AW1350" t="s">
        <v>72</v>
      </c>
      <c r="AX1350">
        <v>304</v>
      </c>
      <c r="AY1350" t="s">
        <v>71</v>
      </c>
      <c r="AZ1350">
        <v>14.47</v>
      </c>
      <c r="BA1350">
        <v>5.92</v>
      </c>
      <c r="BB1350" t="s">
        <v>73</v>
      </c>
    </row>
    <row r="1351" spans="1:54" x14ac:dyDescent="0.4">
      <c r="A1351">
        <v>1142026</v>
      </c>
      <c r="D1351" t="s">
        <v>54</v>
      </c>
      <c r="E1351" t="s">
        <v>55</v>
      </c>
      <c r="F1351" t="s">
        <v>1427</v>
      </c>
      <c r="G1351">
        <v>32</v>
      </c>
      <c r="H1351" t="s">
        <v>74</v>
      </c>
      <c r="I1351" t="s">
        <v>57</v>
      </c>
      <c r="K1351" t="s">
        <v>166</v>
      </c>
      <c r="L1351" t="s">
        <v>1776</v>
      </c>
      <c r="M1351" t="s">
        <v>59</v>
      </c>
      <c r="P1351" t="s">
        <v>111</v>
      </c>
      <c r="R1351" t="s">
        <v>112</v>
      </c>
      <c r="S1351" t="s">
        <v>61</v>
      </c>
      <c r="T1351">
        <v>239.7</v>
      </c>
      <c r="U1351">
        <v>237</v>
      </c>
      <c r="V1351">
        <f>(T1351+U1351)/2</f>
        <v>238.35</v>
      </c>
      <c r="W1351">
        <f>T1351-U1351</f>
        <v>2.6999999999999886</v>
      </c>
      <c r="X1351">
        <v>9.8866669999999992</v>
      </c>
      <c r="Y1351">
        <v>49.077499000000003</v>
      </c>
      <c r="Z1351" t="s">
        <v>1467</v>
      </c>
      <c r="AA1351" t="s">
        <v>128</v>
      </c>
      <c r="AB1351" t="s">
        <v>129</v>
      </c>
      <c r="AC1351" t="s">
        <v>1474</v>
      </c>
      <c r="AD1351" t="s">
        <v>390</v>
      </c>
      <c r="AE1351" t="s">
        <v>130</v>
      </c>
      <c r="AF1351" t="s">
        <v>1469</v>
      </c>
      <c r="AH1351" t="s">
        <v>65</v>
      </c>
      <c r="AI1351" t="s">
        <v>1777</v>
      </c>
      <c r="AJ1351">
        <v>2014</v>
      </c>
      <c r="AK1351" t="s">
        <v>1476</v>
      </c>
      <c r="AM1351" t="s">
        <v>1477</v>
      </c>
      <c r="AN1351" t="s">
        <v>121</v>
      </c>
      <c r="AO1351" t="s">
        <v>68</v>
      </c>
      <c r="AP1351" t="s">
        <v>69</v>
      </c>
      <c r="AQ1351" t="s">
        <v>1478</v>
      </c>
      <c r="AR1351" t="s">
        <v>70</v>
      </c>
      <c r="AS1351">
        <v>305</v>
      </c>
      <c r="AT1351" t="s">
        <v>71</v>
      </c>
      <c r="AU1351">
        <v>27.89</v>
      </c>
      <c r="AV1351">
        <v>28.77</v>
      </c>
      <c r="AW1351" t="s">
        <v>72</v>
      </c>
      <c r="AX1351">
        <v>305</v>
      </c>
      <c r="AY1351" t="s">
        <v>71</v>
      </c>
      <c r="AZ1351">
        <v>17.489999999999998</v>
      </c>
      <c r="BA1351">
        <v>16.25</v>
      </c>
      <c r="BB1351" t="s">
        <v>73</v>
      </c>
    </row>
    <row r="1352" spans="1:54" x14ac:dyDescent="0.4">
      <c r="A1352">
        <v>1142027</v>
      </c>
      <c r="D1352" t="s">
        <v>54</v>
      </c>
      <c r="G1352">
        <v>1</v>
      </c>
      <c r="H1352" t="s">
        <v>74</v>
      </c>
      <c r="I1352" t="s">
        <v>57</v>
      </c>
      <c r="K1352" t="s">
        <v>166</v>
      </c>
      <c r="L1352" t="s">
        <v>1776</v>
      </c>
      <c r="M1352" t="s">
        <v>59</v>
      </c>
      <c r="P1352" t="s">
        <v>111</v>
      </c>
      <c r="R1352" t="s">
        <v>112</v>
      </c>
      <c r="S1352" t="s">
        <v>61</v>
      </c>
      <c r="T1352">
        <v>239.7</v>
      </c>
      <c r="U1352">
        <v>237</v>
      </c>
      <c r="V1352">
        <f>(T1352+U1352)/2</f>
        <v>238.35</v>
      </c>
      <c r="W1352">
        <f>T1352-U1352</f>
        <v>2.6999999999999886</v>
      </c>
      <c r="X1352">
        <v>9.8894439999999992</v>
      </c>
      <c r="Y1352">
        <v>49.076388999999999</v>
      </c>
      <c r="Z1352" t="s">
        <v>1467</v>
      </c>
      <c r="AA1352" t="s">
        <v>128</v>
      </c>
      <c r="AB1352" t="s">
        <v>129</v>
      </c>
      <c r="AC1352" t="s">
        <v>1474</v>
      </c>
      <c r="AD1352" t="s">
        <v>390</v>
      </c>
      <c r="AE1352" t="s">
        <v>130</v>
      </c>
      <c r="AF1352" t="s">
        <v>1469</v>
      </c>
      <c r="AH1352" t="s">
        <v>65</v>
      </c>
      <c r="AI1352" t="s">
        <v>1777</v>
      </c>
      <c r="AJ1352">
        <v>2014</v>
      </c>
      <c r="AK1352" t="s">
        <v>1778</v>
      </c>
      <c r="AN1352" t="s">
        <v>94</v>
      </c>
      <c r="AO1352" t="s">
        <v>68</v>
      </c>
      <c r="AP1352" t="s">
        <v>95</v>
      </c>
      <c r="AQ1352" t="s">
        <v>1779</v>
      </c>
      <c r="AR1352" t="s">
        <v>70</v>
      </c>
      <c r="AS1352">
        <v>305</v>
      </c>
      <c r="AT1352" t="s">
        <v>71</v>
      </c>
      <c r="AU1352">
        <v>27.9</v>
      </c>
      <c r="AV1352">
        <v>28.77</v>
      </c>
      <c r="AW1352" t="s">
        <v>72</v>
      </c>
      <c r="AX1352">
        <v>305</v>
      </c>
      <c r="AY1352" t="s">
        <v>71</v>
      </c>
      <c r="AZ1352">
        <v>17.5</v>
      </c>
      <c r="BA1352">
        <v>16.25</v>
      </c>
      <c r="BB1352" t="s">
        <v>73</v>
      </c>
    </row>
    <row r="1353" spans="1:54" x14ac:dyDescent="0.4">
      <c r="A1353">
        <v>1142028</v>
      </c>
      <c r="D1353" t="s">
        <v>54</v>
      </c>
      <c r="E1353" t="s">
        <v>55</v>
      </c>
      <c r="F1353" t="s">
        <v>1427</v>
      </c>
      <c r="G1353">
        <v>2</v>
      </c>
      <c r="H1353" t="s">
        <v>228</v>
      </c>
      <c r="I1353" t="s">
        <v>57</v>
      </c>
      <c r="K1353" t="s">
        <v>166</v>
      </c>
      <c r="L1353" t="s">
        <v>1776</v>
      </c>
      <c r="M1353" t="s">
        <v>59</v>
      </c>
      <c r="P1353" t="s">
        <v>111</v>
      </c>
      <c r="R1353" t="s">
        <v>112</v>
      </c>
      <c r="S1353" t="s">
        <v>61</v>
      </c>
      <c r="T1353">
        <v>239.7</v>
      </c>
      <c r="U1353">
        <v>237</v>
      </c>
      <c r="V1353">
        <f>(T1353+U1353)/2</f>
        <v>238.35</v>
      </c>
      <c r="W1353">
        <f>T1353-U1353</f>
        <v>2.6999999999999886</v>
      </c>
      <c r="X1353">
        <v>9.6811109999999996</v>
      </c>
      <c r="Y1353">
        <v>49.214443000000003</v>
      </c>
      <c r="Z1353" t="s">
        <v>1467</v>
      </c>
      <c r="AA1353" t="s">
        <v>128</v>
      </c>
      <c r="AB1353" t="s">
        <v>129</v>
      </c>
      <c r="AC1353" t="s">
        <v>1468</v>
      </c>
      <c r="AD1353" t="s">
        <v>390</v>
      </c>
      <c r="AE1353" t="s">
        <v>130</v>
      </c>
      <c r="AF1353" t="s">
        <v>1469</v>
      </c>
      <c r="AH1353" t="s">
        <v>65</v>
      </c>
      <c r="AI1353" t="s">
        <v>1777</v>
      </c>
      <c r="AJ1353">
        <v>2014</v>
      </c>
      <c r="AK1353" t="s">
        <v>1471</v>
      </c>
      <c r="AM1353" t="s">
        <v>1472</v>
      </c>
      <c r="AN1353" t="s">
        <v>67</v>
      </c>
      <c r="AO1353" t="s">
        <v>68</v>
      </c>
      <c r="AP1353" t="s">
        <v>69</v>
      </c>
      <c r="AQ1353" t="s">
        <v>1473</v>
      </c>
      <c r="AR1353" t="s">
        <v>70</v>
      </c>
      <c r="AS1353">
        <v>305</v>
      </c>
      <c r="AT1353" t="s">
        <v>71</v>
      </c>
      <c r="AU1353">
        <v>27.71</v>
      </c>
      <c r="AV1353">
        <v>28.87</v>
      </c>
      <c r="AW1353" t="s">
        <v>72</v>
      </c>
      <c r="AX1353">
        <v>305</v>
      </c>
      <c r="AY1353" t="s">
        <v>71</v>
      </c>
      <c r="AZ1353">
        <v>17.3</v>
      </c>
      <c r="BA1353">
        <v>16.309999999999999</v>
      </c>
      <c r="BB1353" t="s">
        <v>73</v>
      </c>
    </row>
    <row r="1354" spans="1:54" x14ac:dyDescent="0.4">
      <c r="A1354">
        <v>1142046</v>
      </c>
      <c r="D1354" t="s">
        <v>54</v>
      </c>
      <c r="G1354">
        <v>1</v>
      </c>
      <c r="H1354" t="s">
        <v>74</v>
      </c>
      <c r="I1354" t="s">
        <v>57</v>
      </c>
      <c r="K1354" t="s">
        <v>166</v>
      </c>
      <c r="L1354" t="s">
        <v>1776</v>
      </c>
      <c r="M1354" t="s">
        <v>59</v>
      </c>
      <c r="P1354" t="s">
        <v>111</v>
      </c>
      <c r="R1354" t="s">
        <v>112</v>
      </c>
      <c r="S1354" t="s">
        <v>61</v>
      </c>
      <c r="T1354">
        <v>239.7</v>
      </c>
      <c r="U1354">
        <v>237</v>
      </c>
      <c r="V1354">
        <f>(T1354+U1354)/2</f>
        <v>238.35</v>
      </c>
      <c r="W1354">
        <f>T1354-U1354</f>
        <v>2.6999999999999886</v>
      </c>
      <c r="X1354">
        <v>9.3783329999999996</v>
      </c>
      <c r="Y1354">
        <v>48.955554999999997</v>
      </c>
      <c r="Z1354" t="s">
        <v>1467</v>
      </c>
      <c r="AA1354" t="s">
        <v>128</v>
      </c>
      <c r="AB1354" t="s">
        <v>129</v>
      </c>
      <c r="AD1354" t="s">
        <v>390</v>
      </c>
      <c r="AE1354" t="s">
        <v>130</v>
      </c>
      <c r="AH1354" t="s">
        <v>65</v>
      </c>
      <c r="AI1354" t="s">
        <v>1777</v>
      </c>
      <c r="AJ1354">
        <v>2014</v>
      </c>
      <c r="AK1354" t="s">
        <v>1780</v>
      </c>
      <c r="AN1354" t="s">
        <v>121</v>
      </c>
      <c r="AO1354" t="s">
        <v>68</v>
      </c>
      <c r="AP1354" t="s">
        <v>69</v>
      </c>
      <c r="AR1354" t="s">
        <v>70</v>
      </c>
      <c r="AS1354">
        <v>305</v>
      </c>
      <c r="AT1354" t="s">
        <v>71</v>
      </c>
      <c r="AU1354">
        <v>27.56</v>
      </c>
      <c r="AV1354">
        <v>28.57</v>
      </c>
      <c r="AW1354" t="s">
        <v>72</v>
      </c>
      <c r="AX1354">
        <v>305</v>
      </c>
      <c r="AY1354" t="s">
        <v>71</v>
      </c>
      <c r="AZ1354">
        <v>17.239999999999998</v>
      </c>
      <c r="BA1354">
        <v>15.99</v>
      </c>
      <c r="BB1354" t="s">
        <v>73</v>
      </c>
    </row>
    <row r="1355" spans="1:54" x14ac:dyDescent="0.4">
      <c r="A1355">
        <v>1285800</v>
      </c>
      <c r="D1355" t="s">
        <v>54</v>
      </c>
      <c r="E1355" t="s">
        <v>55</v>
      </c>
      <c r="F1355" t="s">
        <v>1427</v>
      </c>
      <c r="G1355">
        <v>20</v>
      </c>
      <c r="H1355" t="s">
        <v>74</v>
      </c>
      <c r="I1355" t="s">
        <v>57</v>
      </c>
      <c r="K1355" t="s">
        <v>102</v>
      </c>
      <c r="L1355" t="s">
        <v>1826</v>
      </c>
      <c r="M1355" t="s">
        <v>59</v>
      </c>
      <c r="P1355" t="s">
        <v>111</v>
      </c>
      <c r="R1355" t="s">
        <v>112</v>
      </c>
      <c r="S1355" t="s">
        <v>61</v>
      </c>
      <c r="T1355">
        <v>239.7</v>
      </c>
      <c r="U1355">
        <v>237</v>
      </c>
      <c r="V1355">
        <f>(T1355+U1355)/2</f>
        <v>238.35</v>
      </c>
      <c r="W1355">
        <f>T1355-U1355</f>
        <v>2.6999999999999886</v>
      </c>
      <c r="X1355">
        <v>9.8866669999999992</v>
      </c>
      <c r="Y1355">
        <v>49.077499000000003</v>
      </c>
      <c r="Z1355" t="s">
        <v>1467</v>
      </c>
      <c r="AA1355" t="s">
        <v>128</v>
      </c>
      <c r="AB1355" t="s">
        <v>129</v>
      </c>
      <c r="AC1355" t="s">
        <v>1474</v>
      </c>
      <c r="AD1355" t="s">
        <v>390</v>
      </c>
      <c r="AE1355" t="s">
        <v>130</v>
      </c>
      <c r="AF1355" t="s">
        <v>1469</v>
      </c>
      <c r="AH1355" t="s">
        <v>65</v>
      </c>
      <c r="AI1355" t="s">
        <v>1777</v>
      </c>
      <c r="AJ1355">
        <v>2015</v>
      </c>
      <c r="AK1355" t="s">
        <v>1476</v>
      </c>
      <c r="AM1355" t="s">
        <v>1477</v>
      </c>
      <c r="AN1355" t="s">
        <v>121</v>
      </c>
      <c r="AO1355" t="s">
        <v>68</v>
      </c>
      <c r="AP1355" t="s">
        <v>69</v>
      </c>
      <c r="AQ1355" t="s">
        <v>1478</v>
      </c>
      <c r="AR1355" t="s">
        <v>70</v>
      </c>
      <c r="AS1355">
        <v>305</v>
      </c>
      <c r="AT1355" t="s">
        <v>71</v>
      </c>
      <c r="AU1355">
        <v>27.89</v>
      </c>
      <c r="AV1355">
        <v>28.77</v>
      </c>
      <c r="AW1355" t="s">
        <v>72</v>
      </c>
      <c r="AX1355">
        <v>305</v>
      </c>
      <c r="AY1355" t="s">
        <v>71</v>
      </c>
      <c r="AZ1355">
        <v>17.489999999999998</v>
      </c>
      <c r="BA1355">
        <v>16.25</v>
      </c>
      <c r="BB1355" t="s">
        <v>73</v>
      </c>
    </row>
    <row r="1356" spans="1:54" x14ac:dyDescent="0.4">
      <c r="A1356">
        <v>1374081</v>
      </c>
      <c r="D1356" t="s">
        <v>54</v>
      </c>
      <c r="I1356" t="s">
        <v>57</v>
      </c>
      <c r="K1356" t="s">
        <v>102</v>
      </c>
      <c r="L1356" t="s">
        <v>389</v>
      </c>
      <c r="M1356" t="s">
        <v>59</v>
      </c>
      <c r="P1356" t="s">
        <v>111</v>
      </c>
      <c r="R1356" t="s">
        <v>112</v>
      </c>
      <c r="S1356" t="s">
        <v>61</v>
      </c>
      <c r="T1356">
        <v>239.7</v>
      </c>
      <c r="U1356">
        <v>237</v>
      </c>
      <c r="V1356">
        <f>(T1356+U1356)/2</f>
        <v>238.35</v>
      </c>
      <c r="W1356">
        <f>T1356-U1356</f>
        <v>2.6999999999999886</v>
      </c>
      <c r="X1356">
        <v>9.1999999999999993</v>
      </c>
      <c r="Y1356">
        <v>48.900002000000001</v>
      </c>
      <c r="Z1356" t="s">
        <v>1467</v>
      </c>
      <c r="AA1356" t="s">
        <v>128</v>
      </c>
      <c r="AB1356" t="s">
        <v>129</v>
      </c>
      <c r="AC1356" t="s">
        <v>1734</v>
      </c>
      <c r="AD1356" t="s">
        <v>390</v>
      </c>
      <c r="AF1356" t="s">
        <v>1469</v>
      </c>
      <c r="AH1356" t="s">
        <v>65</v>
      </c>
      <c r="AI1356" t="s">
        <v>335</v>
      </c>
      <c r="AJ1356">
        <v>1914</v>
      </c>
      <c r="AK1356" t="s">
        <v>1735</v>
      </c>
      <c r="AN1356" t="s">
        <v>94</v>
      </c>
      <c r="AO1356" t="s">
        <v>106</v>
      </c>
      <c r="AP1356" t="s">
        <v>95</v>
      </c>
      <c r="AQ1356" t="s">
        <v>1736</v>
      </c>
      <c r="AR1356" t="s">
        <v>70</v>
      </c>
      <c r="AS1356">
        <v>305</v>
      </c>
      <c r="AT1356" t="s">
        <v>71</v>
      </c>
      <c r="AU1356">
        <v>27.45</v>
      </c>
      <c r="AV1356">
        <v>28.49</v>
      </c>
      <c r="AW1356" t="s">
        <v>72</v>
      </c>
      <c r="AX1356">
        <v>305</v>
      </c>
      <c r="AY1356" t="s">
        <v>71</v>
      </c>
      <c r="AZ1356">
        <v>17.149999999999999</v>
      </c>
      <c r="BA1356">
        <v>15.89</v>
      </c>
      <c r="BB1356" t="s">
        <v>73</v>
      </c>
    </row>
    <row r="1357" spans="1:54" x14ac:dyDescent="0.4">
      <c r="A1357">
        <v>1406772</v>
      </c>
      <c r="D1357" t="s">
        <v>54</v>
      </c>
      <c r="E1357" t="s">
        <v>55</v>
      </c>
      <c r="F1357" t="s">
        <v>1427</v>
      </c>
      <c r="G1357">
        <v>15</v>
      </c>
      <c r="H1357" t="s">
        <v>74</v>
      </c>
      <c r="I1357" t="s">
        <v>57</v>
      </c>
      <c r="K1357" t="s">
        <v>102</v>
      </c>
      <c r="L1357" t="s">
        <v>2047</v>
      </c>
      <c r="M1357" t="s">
        <v>59</v>
      </c>
      <c r="P1357" t="s">
        <v>111</v>
      </c>
      <c r="R1357" t="s">
        <v>112</v>
      </c>
      <c r="S1357" t="s">
        <v>61</v>
      </c>
      <c r="T1357">
        <v>239.7</v>
      </c>
      <c r="U1357">
        <v>237</v>
      </c>
      <c r="V1357">
        <f>(T1357+U1357)/2</f>
        <v>238.35</v>
      </c>
      <c r="W1357">
        <f>T1357-U1357</f>
        <v>2.6999999999999886</v>
      </c>
      <c r="X1357">
        <v>9.8866669999999992</v>
      </c>
      <c r="Y1357">
        <v>49.077499000000003</v>
      </c>
      <c r="Z1357" t="s">
        <v>1467</v>
      </c>
      <c r="AA1357" t="s">
        <v>128</v>
      </c>
      <c r="AB1357" t="s">
        <v>129</v>
      </c>
      <c r="AC1357" t="s">
        <v>1474</v>
      </c>
      <c r="AD1357" t="s">
        <v>390</v>
      </c>
      <c r="AE1357" t="s">
        <v>130</v>
      </c>
      <c r="AF1357" t="s">
        <v>1469</v>
      </c>
      <c r="AH1357" t="s">
        <v>65</v>
      </c>
      <c r="AI1357" t="s">
        <v>1777</v>
      </c>
      <c r="AJ1357">
        <v>2018</v>
      </c>
      <c r="AK1357" t="s">
        <v>1476</v>
      </c>
      <c r="AM1357" t="s">
        <v>1477</v>
      </c>
      <c r="AN1357" t="s">
        <v>121</v>
      </c>
      <c r="AO1357" t="s">
        <v>68</v>
      </c>
      <c r="AP1357" t="s">
        <v>69</v>
      </c>
      <c r="AQ1357" t="s">
        <v>1478</v>
      </c>
      <c r="AR1357" t="s">
        <v>70</v>
      </c>
      <c r="AS1357">
        <v>305</v>
      </c>
      <c r="AT1357" t="s">
        <v>71</v>
      </c>
      <c r="AU1357">
        <v>27.89</v>
      </c>
      <c r="AV1357">
        <v>28.77</v>
      </c>
      <c r="AW1357" t="s">
        <v>72</v>
      </c>
      <c r="AX1357">
        <v>305</v>
      </c>
      <c r="AY1357" t="s">
        <v>71</v>
      </c>
      <c r="AZ1357">
        <v>17.489999999999998</v>
      </c>
      <c r="BA1357">
        <v>16.25</v>
      </c>
      <c r="BB1357" t="s">
        <v>73</v>
      </c>
    </row>
    <row r="1358" spans="1:54" x14ac:dyDescent="0.4">
      <c r="A1358">
        <v>1418652</v>
      </c>
      <c r="D1358" t="s">
        <v>376</v>
      </c>
      <c r="E1358" t="s">
        <v>153</v>
      </c>
      <c r="F1358" t="s">
        <v>1012</v>
      </c>
      <c r="I1358" t="s">
        <v>57</v>
      </c>
      <c r="K1358" t="s">
        <v>355</v>
      </c>
      <c r="L1358" t="s">
        <v>826</v>
      </c>
      <c r="M1358" t="s">
        <v>59</v>
      </c>
      <c r="P1358" t="s">
        <v>111</v>
      </c>
      <c r="R1358" t="s">
        <v>112</v>
      </c>
      <c r="S1358" t="s">
        <v>61</v>
      </c>
      <c r="T1358">
        <v>239.7</v>
      </c>
      <c r="U1358">
        <v>237</v>
      </c>
      <c r="V1358">
        <f>(T1358+U1358)/2</f>
        <v>238.35</v>
      </c>
      <c r="W1358">
        <f>T1358-U1358</f>
        <v>2.6999999999999886</v>
      </c>
      <c r="X1358">
        <v>104.745003</v>
      </c>
      <c r="Y1358">
        <v>25.132999000000002</v>
      </c>
      <c r="Z1358" t="s">
        <v>268</v>
      </c>
      <c r="AA1358" t="s">
        <v>186</v>
      </c>
      <c r="AB1358" t="s">
        <v>332</v>
      </c>
      <c r="AC1358" t="s">
        <v>1391</v>
      </c>
      <c r="AD1358" t="s">
        <v>1367</v>
      </c>
      <c r="AF1358" t="s">
        <v>1369</v>
      </c>
      <c r="AH1358" t="s">
        <v>65</v>
      </c>
      <c r="AI1358" t="s">
        <v>2152</v>
      </c>
      <c r="AJ1358">
        <v>2010</v>
      </c>
      <c r="AK1358" t="s">
        <v>1392</v>
      </c>
      <c r="AN1358" t="s">
        <v>121</v>
      </c>
      <c r="AO1358">
        <v>3</v>
      </c>
      <c r="AQ1358" t="s">
        <v>1393</v>
      </c>
      <c r="AR1358" t="s">
        <v>70</v>
      </c>
      <c r="AS1358">
        <v>611</v>
      </c>
      <c r="AT1358" t="s">
        <v>71</v>
      </c>
      <c r="AU1358">
        <v>108.49</v>
      </c>
      <c r="AV1358">
        <v>-6.72</v>
      </c>
      <c r="AW1358" t="s">
        <v>72</v>
      </c>
      <c r="AX1358">
        <v>611</v>
      </c>
      <c r="AY1358" t="s">
        <v>71</v>
      </c>
      <c r="AZ1358">
        <v>93.83</v>
      </c>
      <c r="BA1358">
        <v>16.78</v>
      </c>
      <c r="BB1358" t="s">
        <v>73</v>
      </c>
    </row>
    <row r="1359" spans="1:54" x14ac:dyDescent="0.4">
      <c r="A1359">
        <v>1419214</v>
      </c>
      <c r="D1359" t="s">
        <v>54</v>
      </c>
      <c r="I1359" t="s">
        <v>57</v>
      </c>
      <c r="K1359" t="s">
        <v>102</v>
      </c>
      <c r="L1359" t="s">
        <v>2156</v>
      </c>
      <c r="M1359" t="s">
        <v>59</v>
      </c>
      <c r="P1359" t="s">
        <v>111</v>
      </c>
      <c r="R1359" t="s">
        <v>112</v>
      </c>
      <c r="S1359" t="s">
        <v>61</v>
      </c>
      <c r="T1359">
        <v>239.7</v>
      </c>
      <c r="U1359">
        <v>237</v>
      </c>
      <c r="V1359">
        <f>(T1359+U1359)/2</f>
        <v>238.35</v>
      </c>
      <c r="W1359">
        <f>T1359-U1359</f>
        <v>2.6999999999999886</v>
      </c>
      <c r="X1359">
        <v>9.8894439999999992</v>
      </c>
      <c r="Y1359">
        <v>49.076388999999999</v>
      </c>
      <c r="Z1359" t="s">
        <v>1467</v>
      </c>
      <c r="AA1359" t="s">
        <v>128</v>
      </c>
      <c r="AB1359" t="s">
        <v>129</v>
      </c>
      <c r="AC1359" t="s">
        <v>1474</v>
      </c>
      <c r="AD1359" t="s">
        <v>390</v>
      </c>
      <c r="AE1359" t="s">
        <v>130</v>
      </c>
      <c r="AF1359" t="s">
        <v>1469</v>
      </c>
      <c r="AH1359" t="s">
        <v>65</v>
      </c>
      <c r="AI1359" t="s">
        <v>2157</v>
      </c>
      <c r="AJ1359">
        <v>2014</v>
      </c>
      <c r="AK1359" t="s">
        <v>1778</v>
      </c>
      <c r="AN1359" t="s">
        <v>94</v>
      </c>
      <c r="AO1359" t="s">
        <v>68</v>
      </c>
      <c r="AP1359" t="s">
        <v>95</v>
      </c>
      <c r="AQ1359" t="s">
        <v>1779</v>
      </c>
      <c r="AR1359" t="s">
        <v>70</v>
      </c>
      <c r="AS1359">
        <v>305</v>
      </c>
      <c r="AT1359" t="s">
        <v>71</v>
      </c>
      <c r="AU1359">
        <v>27.9</v>
      </c>
      <c r="AV1359">
        <v>28.77</v>
      </c>
      <c r="AW1359" t="s">
        <v>72</v>
      </c>
      <c r="AX1359">
        <v>305</v>
      </c>
      <c r="AY1359" t="s">
        <v>71</v>
      </c>
      <c r="AZ1359">
        <v>17.5</v>
      </c>
      <c r="BA1359">
        <v>16.25</v>
      </c>
      <c r="BB1359" t="s">
        <v>73</v>
      </c>
    </row>
    <row r="1360" spans="1:54" x14ac:dyDescent="0.4">
      <c r="A1360">
        <v>1419216</v>
      </c>
      <c r="D1360" t="s">
        <v>54</v>
      </c>
      <c r="E1360" t="s">
        <v>55</v>
      </c>
      <c r="F1360" t="s">
        <v>1427</v>
      </c>
      <c r="I1360" t="s">
        <v>57</v>
      </c>
      <c r="K1360" t="s">
        <v>102</v>
      </c>
      <c r="L1360" t="s">
        <v>2156</v>
      </c>
      <c r="M1360" t="s">
        <v>59</v>
      </c>
      <c r="P1360" t="s">
        <v>111</v>
      </c>
      <c r="R1360" t="s">
        <v>112</v>
      </c>
      <c r="S1360" t="s">
        <v>61</v>
      </c>
      <c r="T1360">
        <v>239.7</v>
      </c>
      <c r="U1360">
        <v>237</v>
      </c>
      <c r="V1360">
        <f>(T1360+U1360)/2</f>
        <v>238.35</v>
      </c>
      <c r="W1360">
        <f>T1360-U1360</f>
        <v>2.6999999999999886</v>
      </c>
      <c r="X1360">
        <v>9.8866669999999992</v>
      </c>
      <c r="Y1360">
        <v>49.077499000000003</v>
      </c>
      <c r="Z1360" t="s">
        <v>1467</v>
      </c>
      <c r="AA1360" t="s">
        <v>128</v>
      </c>
      <c r="AB1360" t="s">
        <v>129</v>
      </c>
      <c r="AC1360" t="s">
        <v>1474</v>
      </c>
      <c r="AD1360" t="s">
        <v>390</v>
      </c>
      <c r="AE1360" t="s">
        <v>130</v>
      </c>
      <c r="AF1360" t="s">
        <v>1469</v>
      </c>
      <c r="AH1360" t="s">
        <v>65</v>
      </c>
      <c r="AI1360" t="s">
        <v>2157</v>
      </c>
      <c r="AJ1360">
        <v>2014</v>
      </c>
      <c r="AK1360" t="s">
        <v>1476</v>
      </c>
      <c r="AM1360" t="s">
        <v>1477</v>
      </c>
      <c r="AN1360" t="s">
        <v>121</v>
      </c>
      <c r="AO1360" t="s">
        <v>68</v>
      </c>
      <c r="AP1360" t="s">
        <v>69</v>
      </c>
      <c r="AQ1360" t="s">
        <v>1478</v>
      </c>
      <c r="AR1360" t="s">
        <v>70</v>
      </c>
      <c r="AS1360">
        <v>305</v>
      </c>
      <c r="AT1360" t="s">
        <v>71</v>
      </c>
      <c r="AU1360">
        <v>27.89</v>
      </c>
      <c r="AV1360">
        <v>28.77</v>
      </c>
      <c r="AW1360" t="s">
        <v>72</v>
      </c>
      <c r="AX1360">
        <v>305</v>
      </c>
      <c r="AY1360" t="s">
        <v>71</v>
      </c>
      <c r="AZ1360">
        <v>17.489999999999998</v>
      </c>
      <c r="BA1360">
        <v>16.25</v>
      </c>
      <c r="BB1360" t="s">
        <v>73</v>
      </c>
    </row>
    <row r="1361" spans="1:54" x14ac:dyDescent="0.4">
      <c r="A1361">
        <v>1419217</v>
      </c>
      <c r="D1361" t="s">
        <v>54</v>
      </c>
      <c r="I1361" t="s">
        <v>57</v>
      </c>
      <c r="K1361" t="s">
        <v>102</v>
      </c>
      <c r="L1361" t="s">
        <v>2156</v>
      </c>
      <c r="M1361" t="s">
        <v>59</v>
      </c>
      <c r="P1361" t="s">
        <v>111</v>
      </c>
      <c r="R1361" t="s">
        <v>112</v>
      </c>
      <c r="S1361" t="s">
        <v>61</v>
      </c>
      <c r="T1361">
        <v>239.7</v>
      </c>
      <c r="U1361">
        <v>237</v>
      </c>
      <c r="V1361">
        <f>(T1361+U1361)/2</f>
        <v>238.35</v>
      </c>
      <c r="W1361">
        <f>T1361-U1361</f>
        <v>2.6999999999999886</v>
      </c>
      <c r="X1361">
        <v>10.106111</v>
      </c>
      <c r="Y1361">
        <v>49.177776000000001</v>
      </c>
      <c r="Z1361" t="s">
        <v>268</v>
      </c>
      <c r="AA1361" t="s">
        <v>128</v>
      </c>
      <c r="AB1361" t="s">
        <v>129</v>
      </c>
      <c r="AD1361" t="s">
        <v>390</v>
      </c>
      <c r="AE1361" t="s">
        <v>463</v>
      </c>
      <c r="AF1361" t="s">
        <v>2158</v>
      </c>
      <c r="AH1361" t="s">
        <v>65</v>
      </c>
      <c r="AI1361" t="s">
        <v>2157</v>
      </c>
      <c r="AJ1361">
        <v>2014</v>
      </c>
      <c r="AK1361" t="s">
        <v>2159</v>
      </c>
      <c r="AN1361" t="s">
        <v>94</v>
      </c>
      <c r="AO1361" t="s">
        <v>68</v>
      </c>
      <c r="AP1361" t="s">
        <v>69</v>
      </c>
      <c r="AR1361" t="s">
        <v>70</v>
      </c>
      <c r="AS1361">
        <v>305</v>
      </c>
      <c r="AT1361" t="s">
        <v>71</v>
      </c>
      <c r="AU1361">
        <v>28.02</v>
      </c>
      <c r="AV1361">
        <v>28.91</v>
      </c>
      <c r="AW1361" t="s">
        <v>72</v>
      </c>
      <c r="AX1361">
        <v>305</v>
      </c>
      <c r="AY1361" t="s">
        <v>71</v>
      </c>
      <c r="AZ1361">
        <v>17.579999999999998</v>
      </c>
      <c r="BA1361">
        <v>16.399999999999999</v>
      </c>
      <c r="BB1361" t="s">
        <v>73</v>
      </c>
    </row>
    <row r="1362" spans="1:54" x14ac:dyDescent="0.4">
      <c r="A1362">
        <v>1495723</v>
      </c>
      <c r="D1362" t="s">
        <v>54</v>
      </c>
      <c r="E1362" t="s">
        <v>55</v>
      </c>
      <c r="F1362" t="s">
        <v>1427</v>
      </c>
      <c r="G1362">
        <v>1</v>
      </c>
      <c r="H1362" t="s">
        <v>74</v>
      </c>
      <c r="I1362" t="s">
        <v>57</v>
      </c>
      <c r="K1362" t="s">
        <v>102</v>
      </c>
      <c r="L1362" t="s">
        <v>2205</v>
      </c>
      <c r="M1362" t="s">
        <v>59</v>
      </c>
      <c r="P1362" t="s">
        <v>111</v>
      </c>
      <c r="R1362" t="s">
        <v>112</v>
      </c>
      <c r="S1362" t="s">
        <v>61</v>
      </c>
      <c r="T1362">
        <v>239.7</v>
      </c>
      <c r="U1362">
        <v>237</v>
      </c>
      <c r="V1362">
        <f>(T1362+U1362)/2</f>
        <v>238.35</v>
      </c>
      <c r="W1362">
        <f>T1362-U1362</f>
        <v>2.6999999999999886</v>
      </c>
      <c r="X1362">
        <v>9.8866669999999992</v>
      </c>
      <c r="Y1362">
        <v>49.077499000000003</v>
      </c>
      <c r="Z1362" t="s">
        <v>1467</v>
      </c>
      <c r="AA1362" t="s">
        <v>128</v>
      </c>
      <c r="AB1362" t="s">
        <v>129</v>
      </c>
      <c r="AC1362" t="s">
        <v>1474</v>
      </c>
      <c r="AD1362" t="s">
        <v>390</v>
      </c>
      <c r="AE1362" t="s">
        <v>130</v>
      </c>
      <c r="AF1362" t="s">
        <v>1469</v>
      </c>
      <c r="AH1362" t="s">
        <v>65</v>
      </c>
      <c r="AI1362" t="s">
        <v>2206</v>
      </c>
      <c r="AJ1362">
        <v>2020</v>
      </c>
      <c r="AK1362" t="s">
        <v>1476</v>
      </c>
      <c r="AM1362" t="s">
        <v>1477</v>
      </c>
      <c r="AN1362" t="s">
        <v>121</v>
      </c>
      <c r="AO1362" t="s">
        <v>68</v>
      </c>
      <c r="AP1362" t="s">
        <v>69</v>
      </c>
      <c r="AQ1362" t="s">
        <v>1478</v>
      </c>
      <c r="AR1362" t="s">
        <v>70</v>
      </c>
      <c r="AS1362">
        <v>305</v>
      </c>
      <c r="AT1362" t="s">
        <v>71</v>
      </c>
      <c r="AU1362">
        <v>27.89</v>
      </c>
      <c r="AV1362">
        <v>28.77</v>
      </c>
      <c r="AW1362" t="s">
        <v>72</v>
      </c>
      <c r="AX1362">
        <v>305</v>
      </c>
      <c r="AY1362" t="s">
        <v>71</v>
      </c>
      <c r="AZ1362">
        <v>17.489999999999998</v>
      </c>
      <c r="BA1362">
        <v>16.25</v>
      </c>
      <c r="BB1362" t="s">
        <v>73</v>
      </c>
    </row>
    <row r="1363" spans="1:54" x14ac:dyDescent="0.4">
      <c r="A1363">
        <v>1519520</v>
      </c>
      <c r="D1363" t="s">
        <v>54</v>
      </c>
      <c r="E1363" t="s">
        <v>55</v>
      </c>
      <c r="F1363" t="s">
        <v>1427</v>
      </c>
      <c r="G1363">
        <v>2</v>
      </c>
      <c r="H1363" t="s">
        <v>74</v>
      </c>
      <c r="I1363" t="s">
        <v>57</v>
      </c>
      <c r="K1363" t="s">
        <v>102</v>
      </c>
      <c r="L1363" t="s">
        <v>2209</v>
      </c>
      <c r="M1363" t="s">
        <v>59</v>
      </c>
      <c r="P1363" t="s">
        <v>111</v>
      </c>
      <c r="R1363" t="s">
        <v>112</v>
      </c>
      <c r="S1363" t="s">
        <v>61</v>
      </c>
      <c r="T1363">
        <v>239.7</v>
      </c>
      <c r="U1363">
        <v>237</v>
      </c>
      <c r="V1363">
        <f>(T1363+U1363)/2</f>
        <v>238.35</v>
      </c>
      <c r="W1363">
        <f>T1363-U1363</f>
        <v>2.6999999999999886</v>
      </c>
      <c r="X1363">
        <v>9.8866669999999992</v>
      </c>
      <c r="Y1363">
        <v>49.077499000000003</v>
      </c>
      <c r="Z1363" t="s">
        <v>1467</v>
      </c>
      <c r="AA1363" t="s">
        <v>128</v>
      </c>
      <c r="AB1363" t="s">
        <v>129</v>
      </c>
      <c r="AC1363" t="s">
        <v>1474</v>
      </c>
      <c r="AD1363" t="s">
        <v>390</v>
      </c>
      <c r="AE1363" t="s">
        <v>130</v>
      </c>
      <c r="AF1363" t="s">
        <v>1469</v>
      </c>
      <c r="AH1363" t="s">
        <v>65</v>
      </c>
      <c r="AI1363" t="s">
        <v>353</v>
      </c>
      <c r="AJ1363">
        <v>2020</v>
      </c>
      <c r="AK1363" t="s">
        <v>1476</v>
      </c>
      <c r="AM1363" t="s">
        <v>1477</v>
      </c>
      <c r="AN1363" t="s">
        <v>121</v>
      </c>
      <c r="AO1363" t="s">
        <v>68</v>
      </c>
      <c r="AP1363" t="s">
        <v>69</v>
      </c>
      <c r="AQ1363" t="s">
        <v>1478</v>
      </c>
      <c r="AR1363" t="s">
        <v>70</v>
      </c>
      <c r="AS1363">
        <v>305</v>
      </c>
      <c r="AT1363" t="s">
        <v>71</v>
      </c>
      <c r="AU1363">
        <v>27.89</v>
      </c>
      <c r="AV1363">
        <v>28.77</v>
      </c>
      <c r="AW1363" t="s">
        <v>72</v>
      </c>
      <c r="AX1363">
        <v>305</v>
      </c>
      <c r="AY1363" t="s">
        <v>71</v>
      </c>
      <c r="AZ1363">
        <v>17.489999999999998</v>
      </c>
      <c r="BA1363">
        <v>16.25</v>
      </c>
      <c r="BB1363" t="s">
        <v>73</v>
      </c>
    </row>
    <row r="1364" spans="1:54" x14ac:dyDescent="0.4">
      <c r="A1364">
        <v>1565999</v>
      </c>
      <c r="D1364" t="s">
        <v>54</v>
      </c>
      <c r="E1364" t="s">
        <v>55</v>
      </c>
      <c r="F1364" t="s">
        <v>1427</v>
      </c>
      <c r="G1364">
        <v>1</v>
      </c>
      <c r="H1364" t="s">
        <v>74</v>
      </c>
      <c r="I1364" t="s">
        <v>57</v>
      </c>
      <c r="K1364" t="s">
        <v>102</v>
      </c>
      <c r="L1364" t="s">
        <v>2221</v>
      </c>
      <c r="M1364" t="s">
        <v>59</v>
      </c>
      <c r="P1364" t="s">
        <v>111</v>
      </c>
      <c r="R1364" t="s">
        <v>112</v>
      </c>
      <c r="S1364" t="s">
        <v>61</v>
      </c>
      <c r="T1364">
        <v>239.7</v>
      </c>
      <c r="U1364">
        <v>237</v>
      </c>
      <c r="V1364">
        <f>(T1364+U1364)/2</f>
        <v>238.35</v>
      </c>
      <c r="W1364">
        <f>T1364-U1364</f>
        <v>2.6999999999999886</v>
      </c>
      <c r="X1364">
        <v>9.8866669999999992</v>
      </c>
      <c r="Y1364">
        <v>49.077499000000003</v>
      </c>
      <c r="Z1364" t="s">
        <v>1467</v>
      </c>
      <c r="AA1364" t="s">
        <v>128</v>
      </c>
      <c r="AB1364" t="s">
        <v>129</v>
      </c>
      <c r="AC1364" t="s">
        <v>1474</v>
      </c>
      <c r="AD1364" t="s">
        <v>390</v>
      </c>
      <c r="AE1364" t="s">
        <v>130</v>
      </c>
      <c r="AF1364" t="s">
        <v>1469</v>
      </c>
      <c r="AH1364" t="s">
        <v>65</v>
      </c>
      <c r="AI1364" t="s">
        <v>2206</v>
      </c>
      <c r="AJ1364">
        <v>2021</v>
      </c>
      <c r="AK1364" t="s">
        <v>1476</v>
      </c>
      <c r="AM1364" t="s">
        <v>1477</v>
      </c>
      <c r="AN1364" t="s">
        <v>121</v>
      </c>
      <c r="AO1364" t="s">
        <v>68</v>
      </c>
      <c r="AP1364" t="s">
        <v>69</v>
      </c>
      <c r="AQ1364" t="s">
        <v>1478</v>
      </c>
      <c r="AR1364" t="s">
        <v>70</v>
      </c>
      <c r="AS1364">
        <v>305</v>
      </c>
      <c r="AT1364" t="s">
        <v>71</v>
      </c>
      <c r="AU1364">
        <v>27.89</v>
      </c>
      <c r="AV1364">
        <v>28.77</v>
      </c>
      <c r="AW1364" t="s">
        <v>72</v>
      </c>
      <c r="AX1364">
        <v>305</v>
      </c>
      <c r="AY1364" t="s">
        <v>71</v>
      </c>
      <c r="AZ1364">
        <v>17.489999999999998</v>
      </c>
      <c r="BA1364">
        <v>16.25</v>
      </c>
      <c r="BB1364" t="s">
        <v>73</v>
      </c>
    </row>
  </sheetData>
  <autoFilter ref="A1:BB1364" xr:uid="{D60044DF-9B6A-460B-8892-AE8C4128598C}">
    <sortState xmlns:xlrd2="http://schemas.microsoft.com/office/spreadsheetml/2017/richdata2" ref="A2:BB1364">
      <sortCondition descending="1" ref="T1:T136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reptilia_occ_(PBDB+New)_genus_f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Tiago Simões</cp:lastModifiedBy>
  <dcterms:created xsi:type="dcterms:W3CDTF">2025-05-22T19:54:36Z</dcterms:created>
  <dcterms:modified xsi:type="dcterms:W3CDTF">2025-05-23T14:43:38Z</dcterms:modified>
</cp:coreProperties>
</file>